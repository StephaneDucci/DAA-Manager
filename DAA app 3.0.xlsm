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ersons/person.xml" ContentType="application/vnd.ms-excel.perso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Questa_cartella_di_lavoro" defaultThemeVersion="124226"/>
  <bookViews>
    <workbookView xWindow="-105" yWindow="-105" windowWidth="29040" windowHeight="16440" firstSheet="4" activeTab="5"/>
  </bookViews>
  <sheets>
    <sheet name="indirizzi" sheetId="21" state="hidden" r:id="rId1"/>
    <sheet name="daa_import" sheetId="1" state="hidden" r:id="rId2"/>
    <sheet name="db_birre" sheetId="3" state="hidden" r:id="rId3"/>
    <sheet name="db_malti" sheetId="4" state="hidden" r:id="rId4"/>
    <sheet name="VETTORI" sheetId="22" r:id="rId5"/>
    <sheet name="daa_creator" sheetId="2" r:id="rId6"/>
  </sheets>
  <definedNames>
    <definedName name="_xlnm._FilterDatabase" localSheetId="3" hidden="1">db_malti!$A$1:$E$5589</definedName>
    <definedName name="_xlnm.Print_Area" localSheetId="5">daa_creator!$A$1:$P$43</definedName>
    <definedName name="_xlnm.Print_Titles" localSheetId="5">daa_creator!$1:$13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2"/>
  <c r="E30"/>
  <c r="C30"/>
  <c r="M17"/>
  <c r="D17"/>
  <c r="H17" s="1"/>
  <c r="I17" s="1"/>
  <c r="K17" s="1"/>
  <c r="M16"/>
  <c r="H16"/>
  <c r="I16" s="1"/>
  <c r="K16" s="1"/>
  <c r="D16"/>
  <c r="M15"/>
  <c r="D15"/>
  <c r="M14"/>
  <c r="D14"/>
  <c r="D30" s="1"/>
  <c r="H15" l="1"/>
  <c r="I15" s="1"/>
  <c r="K15" s="1"/>
  <c r="H14"/>
  <c r="B34"/>
  <c r="B33"/>
  <c r="I14" l="1"/>
  <c r="H30"/>
  <c r="K14" l="1"/>
  <c r="K30" s="1"/>
  <c r="I30"/>
</calcChain>
</file>

<file path=xl/connections.xml><?xml version="1.0" encoding="utf-8"?>
<connections xmlns="http://schemas.openxmlformats.org/spreadsheetml/2006/main">
  <connection id="1" name="23ESD0820000332690002" type="4" refreshedVersion="0" background="1">
    <webPr xml="1" sourceData="1" url="Z:\Stephane\angelica\daa_app\DAA VECCHI\BIRRA1.xml" htmlTables="1" htmlFormat="all"/>
  </connection>
  <connection id="2" name="LIQUORI1" type="4" refreshedVersion="0" background="1">
    <webPr xml="1" sourceData="1" url="C:\Users\steph\OneDrive\Coppo1896\LIQUORI1.xml" htmlTables="1" htmlFormat="all"/>
  </connection>
</connections>
</file>

<file path=xl/sharedStrings.xml><?xml version="1.0" encoding="utf-8"?>
<sst xmlns="http://schemas.openxmlformats.org/spreadsheetml/2006/main" count="11586" uniqueCount="10629">
  <si>
    <t>Destinatario :</t>
  </si>
  <si>
    <t>RADEBERGER GROUP SPA</t>
  </si>
  <si>
    <t>Via Renata Bianchi 40</t>
  </si>
  <si>
    <t>16152 GENOVA (GE)</t>
  </si>
  <si>
    <t>P. IVA 00276790102</t>
  </si>
  <si>
    <t xml:space="preserve">BOLLA ACCOMPAGNAMENTO N. </t>
  </si>
  <si>
    <t xml:space="preserve">DEL </t>
  </si>
  <si>
    <t>Descrizione articolo</t>
  </si>
  <si>
    <t>Confezioni</t>
  </si>
  <si>
    <t>Peso Netto</t>
  </si>
  <si>
    <t>Peso Lordo</t>
  </si>
  <si>
    <t>plt</t>
  </si>
  <si>
    <t>HL/Gplato</t>
  </si>
  <si>
    <t>Grado Plato</t>
  </si>
  <si>
    <t>Accisa</t>
  </si>
  <si>
    <t>Aliquota</t>
  </si>
  <si>
    <t>Capacità</t>
  </si>
  <si>
    <t>Taric</t>
  </si>
  <si>
    <t>CPA</t>
  </si>
  <si>
    <t>Voce Doganale</t>
  </si>
  <si>
    <t>Luogo di destinazione :</t>
  </si>
  <si>
    <t>ZANARDO SERVIZI LOGISTICA SPA</t>
  </si>
  <si>
    <t>VIA DELLE INDUSTRIE SNC - 26815 MASSALENGO (LO)</t>
  </si>
  <si>
    <t>Vettore :</t>
  </si>
  <si>
    <t>FIRMA VETTORE</t>
  </si>
  <si>
    <t>CAMEZZANA EZIO E C SNC</t>
  </si>
  <si>
    <t>VIA MONTE PASUBIO 55</t>
  </si>
  <si>
    <t>15067 NOVI LIGURE (AL)</t>
  </si>
  <si>
    <t>------------------------------------------------------------</t>
  </si>
  <si>
    <t>Trasporto a cura del destinatario</t>
  </si>
  <si>
    <t>Data e ora dell'inizio trasporto :</t>
  </si>
  <si>
    <t>EX11SRB6 - ESTRELLA DAMM BCN 4,6 1/1 SR BANDEJA 6U.</t>
  </si>
  <si>
    <t>EX20N - ESTRELLA DAMM BCN 4,6 BARRIL 20L.</t>
  </si>
  <si>
    <t>EC13P6 - DAURA DAMM 1/3 SR PACK CESTA ABIERTA 2X3</t>
  </si>
  <si>
    <t>ID34SRB6 - INEDIT DAMM 3/4 SR BANDEJA 6U. INTL</t>
  </si>
  <si>
    <t>TOTALE COLLI</t>
  </si>
  <si>
    <t>descrizione dogana</t>
  </si>
  <si>
    <t>descrizione angelica</t>
  </si>
  <si>
    <t>quantità per cassa</t>
  </si>
  <si>
    <t>SKU</t>
  </si>
  <si>
    <t>L6068800</t>
  </si>
  <si>
    <t>1866 Brandy de Jerez Gran Solera Gran Reserva + GB</t>
  </si>
  <si>
    <t>L0880300</t>
  </si>
  <si>
    <t>42 Below Pure Vodka</t>
  </si>
  <si>
    <t>L5267600</t>
  </si>
  <si>
    <t>A.H. Riise XO Reserve Superior Cask + GB</t>
  </si>
  <si>
    <t>L0513500</t>
  </si>
  <si>
    <t>Aalborg Jubileum</t>
  </si>
  <si>
    <t>L0710900</t>
  </si>
  <si>
    <t>Aberfeldy 12 Years + GB</t>
  </si>
  <si>
    <t>L5943200</t>
  </si>
  <si>
    <t>Aberfeldy 12 Years The Golden Dram + Tin GB</t>
  </si>
  <si>
    <t>L0711100</t>
  </si>
  <si>
    <t>Aberfeldy 16 Years + GB</t>
  </si>
  <si>
    <t>L5551800</t>
  </si>
  <si>
    <t>Aberlour 10 Years Forest Reserve</t>
  </si>
  <si>
    <t>L5028200</t>
  </si>
  <si>
    <t>Aberlour 14 Years Double Cask Matured + GB</t>
  </si>
  <si>
    <t>L0872100</t>
  </si>
  <si>
    <t>Absolut Citron</t>
  </si>
  <si>
    <t>L0873300</t>
  </si>
  <si>
    <t>Absolut Lime</t>
  </si>
  <si>
    <t>L0874200</t>
  </si>
  <si>
    <t>Absolut Pear</t>
  </si>
  <si>
    <t>L0876200</t>
  </si>
  <si>
    <t>Absolut Vodka</t>
  </si>
  <si>
    <t>L1005500</t>
  </si>
  <si>
    <t>Abuelo 12 Years + GB</t>
  </si>
  <si>
    <t>L5032400</t>
  </si>
  <si>
    <t>Abuelo 30 Years Centuria + GB</t>
  </si>
  <si>
    <t>L1167100</t>
  </si>
  <si>
    <t>Abuelo 7 Years</t>
  </si>
  <si>
    <t>L1005700</t>
  </si>
  <si>
    <t>Abuelo Anejo</t>
  </si>
  <si>
    <t>L1167600</t>
  </si>
  <si>
    <t>Abuelo Two Oaks + GB</t>
  </si>
  <si>
    <t>L0345700</t>
  </si>
  <si>
    <t>Aerstone 10 Years Land Cask + GB</t>
  </si>
  <si>
    <t>L6065700</t>
  </si>
  <si>
    <t>Aerstone 10 Years Sea Cask + 2 Glasses</t>
  </si>
  <si>
    <t>L0345600</t>
  </si>
  <si>
    <t>Aerstone 10 Years Sea Cask + GB</t>
  </si>
  <si>
    <t>L1169600</t>
  </si>
  <si>
    <t>Akashi Blue Blended + GB</t>
  </si>
  <si>
    <t>L1957500</t>
  </si>
  <si>
    <t>Akori Cherry Blossom</t>
  </si>
  <si>
    <t>L5621100</t>
  </si>
  <si>
    <t>Akori Yuzu</t>
  </si>
  <si>
    <t>L0955300</t>
  </si>
  <si>
    <t>Alkkemist Gin</t>
  </si>
  <si>
    <t>L0231600</t>
  </si>
  <si>
    <t>Alto Del Carmen Pisco Reservado NRF</t>
  </si>
  <si>
    <t>L5780500</t>
  </si>
  <si>
    <t>Aman Tequila Blanco</t>
  </si>
  <si>
    <t>L6098200</t>
  </si>
  <si>
    <t>Aman Tequila Blanco + Bag</t>
  </si>
  <si>
    <t>L5780300</t>
  </si>
  <si>
    <t>Aman Tequila Blanco Rosa</t>
  </si>
  <si>
    <t>L5780400</t>
  </si>
  <si>
    <t>Aman Tequila Reposado</t>
  </si>
  <si>
    <t>L5263600</t>
  </si>
  <si>
    <t>Amrut Raj Igala + GB</t>
  </si>
  <si>
    <t>L2480100</t>
  </si>
  <si>
    <t>Ancho Reyes Original</t>
  </si>
  <si>
    <t>L2484600</t>
  </si>
  <si>
    <t>Ancho Reyes Verde</t>
  </si>
  <si>
    <t>L0708800</t>
  </si>
  <si>
    <t>AnCnoc 12 Years + GB</t>
  </si>
  <si>
    <t>L0327500</t>
  </si>
  <si>
    <t>Andre Renard VS</t>
  </si>
  <si>
    <t>L5046700</t>
  </si>
  <si>
    <t>Andre Renard VSOP + GB</t>
  </si>
  <si>
    <t>L0327700</t>
  </si>
  <si>
    <t>Andre Renard XO + GB</t>
  </si>
  <si>
    <t>L0877200</t>
  </si>
  <si>
    <t>Angostura 12 Years 1824 + GB</t>
  </si>
  <si>
    <t>L1188200</t>
  </si>
  <si>
    <t>Angostura 1919 + GB</t>
  </si>
  <si>
    <t>L0878000</t>
  </si>
  <si>
    <t>Angostura 5 Years Gold</t>
  </si>
  <si>
    <t>L0877800</t>
  </si>
  <si>
    <t>Angostura Dark 7 Years</t>
  </si>
  <si>
    <t>L0338200</t>
  </si>
  <si>
    <t>Antiquary Finest</t>
  </si>
  <si>
    <t>L0338300</t>
  </si>
  <si>
    <t>Antiquary Finest + GB</t>
  </si>
  <si>
    <t>L2515200</t>
  </si>
  <si>
    <t>Appleton Estate Reserve Blend</t>
  </si>
  <si>
    <t>L0320600</t>
  </si>
  <si>
    <t>Ararat 20 Years Nairi + GB</t>
  </si>
  <si>
    <t>L0710500</t>
  </si>
  <si>
    <t>Ardmore Legacy + GB</t>
  </si>
  <si>
    <t>L2326400</t>
  </si>
  <si>
    <t>Au Vodka</t>
  </si>
  <si>
    <t>L0717000</t>
  </si>
  <si>
    <t>Auchentoshan 12 Years + GB</t>
  </si>
  <si>
    <t>L0717500</t>
  </si>
  <si>
    <t>Auchentoshan American Oak + GB</t>
  </si>
  <si>
    <t>L0466400</t>
  </si>
  <si>
    <t>Aurum Golden Orange</t>
  </si>
  <si>
    <t>L0886500</t>
  </si>
  <si>
    <t>Bacardi 10 Years Gran Reserva Diez</t>
  </si>
  <si>
    <t>L1680000</t>
  </si>
  <si>
    <t>Bacardi 8 Years Reserva Ocho</t>
  </si>
  <si>
    <t>L5809000</t>
  </si>
  <si>
    <t>Bacardi 8 Years Reserva Ocho + GB</t>
  </si>
  <si>
    <t>L0881400</t>
  </si>
  <si>
    <t>Bacardi Anejo Cuatro</t>
  </si>
  <si>
    <t>L5957000</t>
  </si>
  <si>
    <t>Bacardi Caribbean Spiced</t>
  </si>
  <si>
    <t>L0884200</t>
  </si>
  <si>
    <t>Bacardi Carta Negra</t>
  </si>
  <si>
    <t>L0884700</t>
  </si>
  <si>
    <t>Bacardi Carta Oro</t>
  </si>
  <si>
    <t>L0885600</t>
  </si>
  <si>
    <t>Bacardi Facundo Eximo 10 Years + GB</t>
  </si>
  <si>
    <t>L0885700</t>
  </si>
  <si>
    <t>Bacardi Facundo Exquisito + GB</t>
  </si>
  <si>
    <t>L0885800</t>
  </si>
  <si>
    <t>Bacardi Facundo Neo + GB</t>
  </si>
  <si>
    <t>L5120300</t>
  </si>
  <si>
    <t>Ballantine's 17 Years + GB</t>
  </si>
  <si>
    <t>L0605800</t>
  </si>
  <si>
    <t>Ballantine's Finest</t>
  </si>
  <si>
    <t>L6100900</t>
  </si>
  <si>
    <t>Ballantine's Finest x Borderlands Moxxi's Bar Edition 2</t>
  </si>
  <si>
    <t>L5949900</t>
  </si>
  <si>
    <t>Ballantines NRF</t>
  </si>
  <si>
    <t>L0736200</t>
  </si>
  <si>
    <t>Balvenie 12 Years DoubleWood + GB</t>
  </si>
  <si>
    <t>L1672800</t>
  </si>
  <si>
    <t>Baoruco Reserva Antigua Aged 21+ GB</t>
  </si>
  <si>
    <t>L6073100</t>
  </si>
  <si>
    <t>Barcelo Imperial Maple Cask + GB</t>
  </si>
  <si>
    <t>L5817900</t>
  </si>
  <si>
    <t>Barcelo Imperial Porto Cask Finish + GB</t>
  </si>
  <si>
    <t>L0607800</t>
  </si>
  <si>
    <t>Basil Hayden's</t>
  </si>
  <si>
    <t>L0892800</t>
  </si>
  <si>
    <t>Beefeater Gin</t>
  </si>
  <si>
    <t>L1685200</t>
  </si>
  <si>
    <t>Beluga Gold Line + GB Leather</t>
  </si>
  <si>
    <t>Beluga Noble</t>
  </si>
  <si>
    <t>L1008500</t>
  </si>
  <si>
    <t>Belvedere</t>
  </si>
  <si>
    <t>L1007700</t>
  </si>
  <si>
    <t>Belvedere Lake Bartezek</t>
  </si>
  <si>
    <t>Belvedere Organic Infusions Lemon &amp; Basil</t>
  </si>
  <si>
    <t>L5529100</t>
  </si>
  <si>
    <t>Belvedere Organic Infusions Pear &amp; Ginger</t>
  </si>
  <si>
    <t>L1008000</t>
  </si>
  <si>
    <t>Belvedere Smogory Forest</t>
  </si>
  <si>
    <t>L0613500</t>
  </si>
  <si>
    <t>Black &amp; White</t>
  </si>
  <si>
    <t>L2532500</t>
  </si>
  <si>
    <t>Black Bottle</t>
  </si>
  <si>
    <t>L1027600</t>
  </si>
  <si>
    <t>Black Bottle 10 Years + GB</t>
  </si>
  <si>
    <t>L0880600</t>
  </si>
  <si>
    <t>Black Cow Pure Milk Vodka</t>
  </si>
  <si>
    <t>L5256200</t>
  </si>
  <si>
    <t>Black Irish Whisky With Stout</t>
  </si>
  <si>
    <t>L0387400</t>
  </si>
  <si>
    <t>Black Magic Spiced</t>
  </si>
  <si>
    <t>L6007300</t>
  </si>
  <si>
    <t>Black Tears Spiced Cuban Rum</t>
  </si>
  <si>
    <t>L5801000</t>
  </si>
  <si>
    <t>Black Velvet</t>
  </si>
  <si>
    <t>L0894500</t>
  </si>
  <si>
    <t>Blackwell Fine Jamaican Rum</t>
  </si>
  <si>
    <t>L5167600</t>
  </si>
  <si>
    <t>Blackwell Fine Jamaican Rum - 007 Limited Edition</t>
  </si>
  <si>
    <t>L1687900</t>
  </si>
  <si>
    <t>Bloom Jasmine &amp; Rose Gin</t>
  </si>
  <si>
    <t>L0967900</t>
  </si>
  <si>
    <t>Bloom London Dry Gin</t>
  </si>
  <si>
    <t>L2252200</t>
  </si>
  <si>
    <t>Bloom Passionfruit &amp; Vanillablossom</t>
  </si>
  <si>
    <t>L5566600</t>
  </si>
  <si>
    <t>Blue Mauritius Gold</t>
  </si>
  <si>
    <t>L2395200</t>
  </si>
  <si>
    <t>Blue Velvet Gin</t>
  </si>
  <si>
    <t>L0897600</t>
  </si>
  <si>
    <t>Bombay Sapphire</t>
  </si>
  <si>
    <t>L5630300</t>
  </si>
  <si>
    <t>Bonailie Blended Malt + GB</t>
  </si>
  <si>
    <t>L0948700</t>
  </si>
  <si>
    <t>Boodles Gin</t>
  </si>
  <si>
    <t>L1842600</t>
  </si>
  <si>
    <t>Borgoe Extra Rum</t>
  </si>
  <si>
    <t>L5873700</t>
  </si>
  <si>
    <t>Botran No.18 Reserva De La Familia</t>
  </si>
  <si>
    <t>L0923800</t>
  </si>
  <si>
    <t>Boudier Saffron Gin</t>
  </si>
  <si>
    <t>L1348500</t>
  </si>
  <si>
    <t>Boulard Calvados Grand Solage</t>
  </si>
  <si>
    <t>L5008900</t>
  </si>
  <si>
    <t>Boulard Calvados VSOP</t>
  </si>
  <si>
    <t>L0525100</t>
  </si>
  <si>
    <t>Boulard XO + GB</t>
  </si>
  <si>
    <t>L2565400</t>
  </si>
  <si>
    <t>Bowling Green Scotch Whisky</t>
  </si>
  <si>
    <t>L0723900</t>
  </si>
  <si>
    <t>Bowmore 12 Years + GB</t>
  </si>
  <si>
    <t>L5850300</t>
  </si>
  <si>
    <t>Bowmore 9 Years + GB</t>
  </si>
  <si>
    <t>L5068300</t>
  </si>
  <si>
    <t>Bowmore Legend + GB</t>
  </si>
  <si>
    <t>L0728600</t>
  </si>
  <si>
    <t>Bowmore No.1 + GB</t>
  </si>
  <si>
    <t>L2538300</t>
  </si>
  <si>
    <t>Bowsaw 100% Straight American Bourbon</t>
  </si>
  <si>
    <t>L6076100</t>
  </si>
  <si>
    <t>Bowsaw Rye Whisky</t>
  </si>
  <si>
    <t>L0898700</t>
  </si>
  <si>
    <t>Brecon Special Reserve Gin</t>
  </si>
  <si>
    <t>L5152700</t>
  </si>
  <si>
    <t>Brighton Gin Pavilion Strength</t>
  </si>
  <si>
    <t>L0967000</t>
  </si>
  <si>
    <t>Brockmans Gin</t>
  </si>
  <si>
    <t>L6083700</t>
  </si>
  <si>
    <t>Brockmans Gin + Glass</t>
  </si>
  <si>
    <t>L6041100</t>
  </si>
  <si>
    <t>Brockmans Orange Kiss Gin</t>
  </si>
  <si>
    <t>L1696900</t>
  </si>
  <si>
    <t>Broker's Gin</t>
  </si>
  <si>
    <t>L0863700</t>
  </si>
  <si>
    <t>Brooklyn Gin</t>
  </si>
  <si>
    <t>L1697200</t>
  </si>
  <si>
    <t>Brugal 1888 Gran Reserva Familiar</t>
  </si>
  <si>
    <t>L6003800</t>
  </si>
  <si>
    <t>Brugal 1888 Gran Reserva Familiar + GB</t>
  </si>
  <si>
    <t>L5387900</t>
  </si>
  <si>
    <t>Brunswick Aces Hearts</t>
  </si>
  <si>
    <t>L5387800</t>
  </si>
  <si>
    <t>Brunswick Aces Spades</t>
  </si>
  <si>
    <t>L1424300</t>
  </si>
  <si>
    <t>Buffalo Trace</t>
  </si>
  <si>
    <t>L0931300</t>
  </si>
  <si>
    <t>Bulldog</t>
  </si>
  <si>
    <t>L2296400</t>
  </si>
  <si>
    <t>Bumbu</t>
  </si>
  <si>
    <t>L0857700</t>
  </si>
  <si>
    <t>Bumbu XO</t>
  </si>
  <si>
    <t>L5954000</t>
  </si>
  <si>
    <t>Bumbu XO Tube Limited Edition + GB</t>
  </si>
  <si>
    <t>Bushmills 10 Years + GB</t>
  </si>
  <si>
    <t>L2414300</t>
  </si>
  <si>
    <t>L0610300</t>
  </si>
  <si>
    <t>Bushmills 16 Years Three Wood + GB</t>
  </si>
  <si>
    <t>L0610500</t>
  </si>
  <si>
    <t>Bushmills 21 Years + GB</t>
  </si>
  <si>
    <t>L5239000</t>
  </si>
  <si>
    <t>Bushmills American Oak Bourbon Finish</t>
  </si>
  <si>
    <t>L0611000</t>
  </si>
  <si>
    <t>Bushmills Black Bush</t>
  </si>
  <si>
    <t>L5341900</t>
  </si>
  <si>
    <t>Bushmills Caribbean Rum Cask Finish</t>
  </si>
  <si>
    <t>Bushmills Original</t>
  </si>
  <si>
    <t>L5961300</t>
  </si>
  <si>
    <t>L0611800</t>
  </si>
  <si>
    <t>L0612300</t>
  </si>
  <si>
    <t>Bushmills Red Bush</t>
  </si>
  <si>
    <t>L1431300</t>
  </si>
  <si>
    <t>Bushmills Steamship Port Cask + GB</t>
  </si>
  <si>
    <t>L1938300</t>
  </si>
  <si>
    <t>Bushmills The Steamship Col. Rum Cask Reserve + GB</t>
  </si>
  <si>
    <t>L0526100</t>
  </si>
  <si>
    <t>Busnel Calvados Trois Lys</t>
  </si>
  <si>
    <t>L2545600</t>
  </si>
  <si>
    <t>Busnel Calvados VSOP + GB</t>
  </si>
  <si>
    <t>L0528500</t>
  </si>
  <si>
    <t>Cachaca 51 Pirassununga</t>
  </si>
  <si>
    <t>L5434400</t>
  </si>
  <si>
    <t>Cachaca 51 Pirassununga NRF</t>
  </si>
  <si>
    <t>L5435000</t>
  </si>
  <si>
    <t>Camino Real Gold</t>
  </si>
  <si>
    <t>L5437600</t>
  </si>
  <si>
    <t>Camus Ile De Re + GB</t>
  </si>
  <si>
    <t>L5838100</t>
  </si>
  <si>
    <t>Camus VS Intensely Aromatic</t>
  </si>
  <si>
    <t>L0531800</t>
  </si>
  <si>
    <t>Camus XO Borderies + GB</t>
  </si>
  <si>
    <t>L1354900</t>
  </si>
  <si>
    <t>Camus XO Intensely + GB</t>
  </si>
  <si>
    <t>L0614800</t>
  </si>
  <si>
    <t>Canadian Club</t>
  </si>
  <si>
    <t>L6095800</t>
  </si>
  <si>
    <t>Canadian Club 12 Years Classic</t>
  </si>
  <si>
    <t>L5699800</t>
  </si>
  <si>
    <t>Canerock</t>
  </si>
  <si>
    <t>L0900100</t>
  </si>
  <si>
    <t>Cannabis Sativa Gin</t>
  </si>
  <si>
    <t>L5549700</t>
  </si>
  <si>
    <t>Cannabis Sativa Gin + GB</t>
  </si>
  <si>
    <t>L2360200</t>
  </si>
  <si>
    <t>Capel Pisco Doble Destilado</t>
  </si>
  <si>
    <t>L0905900</t>
  </si>
  <si>
    <t>Captain Morgan Dark</t>
  </si>
  <si>
    <t>L0535400</t>
  </si>
  <si>
    <t>Cardenal Mendoza Solera Gran Reserva + GB</t>
  </si>
  <si>
    <t>L5505300</t>
  </si>
  <si>
    <t>L2293300</t>
  </si>
  <si>
    <t>Cardhu 12 Years + GB</t>
  </si>
  <si>
    <t>L0744300</t>
  </si>
  <si>
    <t>Cardhu 15 Years + GB</t>
  </si>
  <si>
    <t>L0744400</t>
  </si>
  <si>
    <t>Cardhu 18 Years + GB</t>
  </si>
  <si>
    <t>L0744700</t>
  </si>
  <si>
    <t>Cardhu Amber Rock + GB</t>
  </si>
  <si>
    <t>L0745000</t>
  </si>
  <si>
    <t>Cardhu Gold Reserve + GB</t>
  </si>
  <si>
    <t>L5050900</t>
  </si>
  <si>
    <t>Carlos I + GB</t>
  </si>
  <si>
    <t>L5169600</t>
  </si>
  <si>
    <t>Casamigos Anejo</t>
  </si>
  <si>
    <t>L0511900</t>
  </si>
  <si>
    <t>Casamigos Blanco</t>
  </si>
  <si>
    <t>L1345200</t>
  </si>
  <si>
    <t>Casamigos Mezcal</t>
  </si>
  <si>
    <t>L5428000</t>
  </si>
  <si>
    <t>Casamigos Reposado</t>
  </si>
  <si>
    <t>L0599400</t>
  </si>
  <si>
    <t>Cazadores Blanco</t>
  </si>
  <si>
    <t>L0599600</t>
  </si>
  <si>
    <t>Cazadores Reposado</t>
  </si>
  <si>
    <t>L5997100</t>
  </si>
  <si>
    <t>Cenote Cristalino</t>
  </si>
  <si>
    <t>L0376100</t>
  </si>
  <si>
    <t>Centenario 12 Years Gran Legado</t>
  </si>
  <si>
    <t>L1701000</t>
  </si>
  <si>
    <t>Centenario 18 Reserva De La Familia + GB</t>
  </si>
  <si>
    <t>L1701300</t>
  </si>
  <si>
    <t>Centenario 20 Anos Fundacion  + GB</t>
  </si>
  <si>
    <t>L0375900</t>
  </si>
  <si>
    <t>Centenario 25 Years Gran Reserva + GB</t>
  </si>
  <si>
    <t>L1701100</t>
  </si>
  <si>
    <t>Centenario 30 Years Edición Limitada + GB</t>
  </si>
  <si>
    <t>L1701200</t>
  </si>
  <si>
    <t>Centenario 7 Years Anejo Especial</t>
  </si>
  <si>
    <t>L0376000</t>
  </si>
  <si>
    <t>Centenario 9 Years NRF</t>
  </si>
  <si>
    <t>L0382300</t>
  </si>
  <si>
    <t>Chairman's Reserve</t>
  </si>
  <si>
    <t>L0382400</t>
  </si>
  <si>
    <t>Chairman's Reserve Spiced</t>
  </si>
  <si>
    <t>L5589500</t>
  </si>
  <si>
    <t>Chairman's Reserve The Forgotten Casks + GB</t>
  </si>
  <si>
    <t>L0066200</t>
  </si>
  <si>
    <t>Chateau Du Breuil 8 Ans + GB</t>
  </si>
  <si>
    <t>L1259700</t>
  </si>
  <si>
    <t>Chateau Du Breuil Fine</t>
  </si>
  <si>
    <t>L0066400</t>
  </si>
  <si>
    <t>Chateau Du Breuil VSOP Calvados</t>
  </si>
  <si>
    <t>L2592400</t>
  </si>
  <si>
    <t>Chivas Regal 12 Years</t>
  </si>
  <si>
    <t>Chivas Regal 12 Years + GB</t>
  </si>
  <si>
    <t>L2280900</t>
  </si>
  <si>
    <t>Chivas Regal 13 Years Extra Oloroso Sherry Cask + GB</t>
  </si>
  <si>
    <t>L5439300</t>
  </si>
  <si>
    <t>Chivas Regal 18 Years</t>
  </si>
  <si>
    <t>L0619000</t>
  </si>
  <si>
    <t>Chivas Regal 18 Years + GB</t>
  </si>
  <si>
    <t>L6096400</t>
  </si>
  <si>
    <t>Chivas Regal 21 Years Royal Salute CNY 2022 + GB</t>
  </si>
  <si>
    <t>L5976800</t>
  </si>
  <si>
    <t>Chivas Regal 21 Years Royal Salute CNY 2023 + GB</t>
  </si>
  <si>
    <t>L6070400</t>
  </si>
  <si>
    <t>Chivas Regal 21 Years Royal Salute Polo 5 Jodhpur + GB</t>
  </si>
  <si>
    <t>L0688000</t>
  </si>
  <si>
    <t>Chivas Regal 21 Years Royal Salute The Signature Blend + GB</t>
  </si>
  <si>
    <t>L0620400</t>
  </si>
  <si>
    <t>Chivas Regal Mizunara + GB</t>
  </si>
  <si>
    <t>L0620900</t>
  </si>
  <si>
    <t>Chivas Regal XV + GB</t>
  </si>
  <si>
    <t>L6078800</t>
  </si>
  <si>
    <t>Chopin Blended &amp; Wheat Gold Edition</t>
  </si>
  <si>
    <t>L0901000</t>
  </si>
  <si>
    <t>Chopin Potato Vodka</t>
  </si>
  <si>
    <t>L0901100</t>
  </si>
  <si>
    <t>Chopin RYE Vodka</t>
  </si>
  <si>
    <t>L6085300</t>
  </si>
  <si>
    <t>L0901200</t>
  </si>
  <si>
    <t>Chopin Wheat Vodka</t>
  </si>
  <si>
    <t>L0903500</t>
  </si>
  <si>
    <t>Ciroc Vodka</t>
  </si>
  <si>
    <t>L0233400</t>
  </si>
  <si>
    <t>Claude Chatelier Cognac XO + GB</t>
  </si>
  <si>
    <t>L1706900</t>
  </si>
  <si>
    <t>Clement Creole Shrubb Orange</t>
  </si>
  <si>
    <t>L5247800</t>
  </si>
  <si>
    <t>Clement Select Barrel</t>
  </si>
  <si>
    <t>L0910900</t>
  </si>
  <si>
    <t>Clement VSOP + GB</t>
  </si>
  <si>
    <t>L1355200</t>
  </si>
  <si>
    <t>Cles Des Ducs VS</t>
  </si>
  <si>
    <t>L1355500</t>
  </si>
  <si>
    <t>Cles Des Ducs VSOP + GB</t>
  </si>
  <si>
    <t>L0533400</t>
  </si>
  <si>
    <t>Cles Des Ducs XO + GB</t>
  </si>
  <si>
    <t>L0474300</t>
  </si>
  <si>
    <t>Cointreau</t>
  </si>
  <si>
    <t>L5969600</t>
  </si>
  <si>
    <t>Companero Elixir Orange + GB</t>
  </si>
  <si>
    <t>L5609900</t>
  </si>
  <si>
    <t>Companero Gran Reserva + GB</t>
  </si>
  <si>
    <t>L0621900</t>
  </si>
  <si>
    <t>Connemara 12 Years + GB</t>
  </si>
  <si>
    <t>L0622300</t>
  </si>
  <si>
    <t>Connemara Peated Single Malt + GB</t>
  </si>
  <si>
    <t>L5987400</t>
  </si>
  <si>
    <t>L1992800</t>
  </si>
  <si>
    <t>Coquerel VSOP</t>
  </si>
  <si>
    <t>L5987300</t>
  </si>
  <si>
    <t>Coquerel XO + GB</t>
  </si>
  <si>
    <t>L1006000</t>
  </si>
  <si>
    <t>Coruba 12 Years Cigar</t>
  </si>
  <si>
    <t>L1006100</t>
  </si>
  <si>
    <t>Coruba 18 Years</t>
  </si>
  <si>
    <t>L2416900</t>
  </si>
  <si>
    <t>L0539500</t>
  </si>
  <si>
    <t>Courvoisier VS</t>
  </si>
  <si>
    <t>L0540400</t>
  </si>
  <si>
    <t>Courvoisier VSOP + GB</t>
  </si>
  <si>
    <t>L5777300</t>
  </si>
  <si>
    <t>Courvoisier XO + GB</t>
  </si>
  <si>
    <t>L0750200</t>
  </si>
  <si>
    <t>Cragganmore 12 Years + GB</t>
  </si>
  <si>
    <t>Crystal Head</t>
  </si>
  <si>
    <t>L5189600</t>
  </si>
  <si>
    <t>L0909800</t>
  </si>
  <si>
    <t>Crystal Head + GB</t>
  </si>
  <si>
    <t>L5333000</t>
  </si>
  <si>
    <t>Crystal Head Aurora</t>
  </si>
  <si>
    <t>L2396900</t>
  </si>
  <si>
    <t>Crystal Head Onyx Blue Agave</t>
  </si>
  <si>
    <t>L6017400</t>
  </si>
  <si>
    <t>Crystal Head Paint Your Pride Edition</t>
  </si>
  <si>
    <t>L2006500</t>
  </si>
  <si>
    <t>Crystal Head Rainbow Edition</t>
  </si>
  <si>
    <t>L0623200</t>
  </si>
  <si>
    <t>Cutty Sark</t>
  </si>
  <si>
    <t>L0912100</t>
  </si>
  <si>
    <t>Danzka Vodka</t>
  </si>
  <si>
    <t>L0480700</t>
  </si>
  <si>
    <t>De Kuyper Triple Sec</t>
  </si>
  <si>
    <t>L1712500</t>
  </si>
  <si>
    <t>Deadhead 6 Years</t>
  </si>
  <si>
    <t>L5828000</t>
  </si>
  <si>
    <t>Deanston Kentucky Cask Matured</t>
  </si>
  <si>
    <t>L0916600</t>
  </si>
  <si>
    <t>Debowa Military</t>
  </si>
  <si>
    <t>L0069300</t>
  </si>
  <si>
    <t>Demonio de Los Andes Albilla</t>
  </si>
  <si>
    <t>L0069400</t>
  </si>
  <si>
    <t>Demonio De Los Andes Pisco De Ica - Acholada</t>
  </si>
  <si>
    <t>L2124800</t>
  </si>
  <si>
    <t>Demonio De Los Andes Quebranta Pisco</t>
  </si>
  <si>
    <t>L5651000</t>
  </si>
  <si>
    <t>Demonio de Los Andes Tacama Italia</t>
  </si>
  <si>
    <t>L0623900</t>
  </si>
  <si>
    <t>Dewar's 12 Years + GB</t>
  </si>
  <si>
    <t>L5160800</t>
  </si>
  <si>
    <t>Dewar's 15 Years + GB Tin</t>
  </si>
  <si>
    <t>L5722100</t>
  </si>
  <si>
    <t>Dewar's 18 Years + Tin GB</t>
  </si>
  <si>
    <t>L2551900</t>
  </si>
  <si>
    <t>Dewar's 8 Years Caribbean Smooth</t>
  </si>
  <si>
    <t>L5705500</t>
  </si>
  <si>
    <t>Dewar's 8 Years French Smooth Apple</t>
  </si>
  <si>
    <t>L5588500</t>
  </si>
  <si>
    <t>Dewar's 8 Years Japanese Smooth</t>
  </si>
  <si>
    <t>L5627100</t>
  </si>
  <si>
    <t>Dewar's 8 Years Portuguese Smooth</t>
  </si>
  <si>
    <t>L5702700</t>
  </si>
  <si>
    <t>Dewar's 8 Years Portuguese Smooth + GB</t>
  </si>
  <si>
    <t>L0625000</t>
  </si>
  <si>
    <t>Dewar's White Label</t>
  </si>
  <si>
    <t>Dictador 12 Years</t>
  </si>
  <si>
    <t>L0912900</t>
  </si>
  <si>
    <t>L0912800</t>
  </si>
  <si>
    <t>Dictador 12 Years + GB</t>
  </si>
  <si>
    <t>L2438500</t>
  </si>
  <si>
    <t>Dictador 20 Years</t>
  </si>
  <si>
    <t>L1714300</t>
  </si>
  <si>
    <t>Dictador 20 Years + GB</t>
  </si>
  <si>
    <t>L5722600</t>
  </si>
  <si>
    <t>Dictador Aurum + GB</t>
  </si>
  <si>
    <t>L5825300</t>
  </si>
  <si>
    <t>Dimple Golden Selection</t>
  </si>
  <si>
    <t>L0917100</t>
  </si>
  <si>
    <t>Diplomatico Mantuano</t>
  </si>
  <si>
    <t>L6117700</t>
  </si>
  <si>
    <t>Diplomatico Mantuano + GB</t>
  </si>
  <si>
    <t>L0917500</t>
  </si>
  <si>
    <t>Diplomatico Reserva Exclusiva</t>
  </si>
  <si>
    <t>L0917400</t>
  </si>
  <si>
    <t>Diplomatico Reserva Exclusiva + GB</t>
  </si>
  <si>
    <t>L0475400</t>
  </si>
  <si>
    <t>Dom Benedictine</t>
  </si>
  <si>
    <t>L5897300</t>
  </si>
  <si>
    <t>Don Papa 7 Years</t>
  </si>
  <si>
    <t>L0915000</t>
  </si>
  <si>
    <t>Don Papa 7 Years + GB</t>
  </si>
  <si>
    <t>L5530600</t>
  </si>
  <si>
    <t>L5923600</t>
  </si>
  <si>
    <t>L2399000</t>
  </si>
  <si>
    <t>Don Papa Baroko</t>
  </si>
  <si>
    <t>L6069700</t>
  </si>
  <si>
    <t>Don Papa Baroko + Flask</t>
  </si>
  <si>
    <t>L5423600</t>
  </si>
  <si>
    <t>Don Papa Baroko + GB</t>
  </si>
  <si>
    <t>L5105300</t>
  </si>
  <si>
    <t>L5957600</t>
  </si>
  <si>
    <t>Don Papa Gayuma + GB</t>
  </si>
  <si>
    <t>L1850700</t>
  </si>
  <si>
    <t>Don Papa Masskara</t>
  </si>
  <si>
    <t>L1853200</t>
  </si>
  <si>
    <t>Doorly's 5 Years</t>
  </si>
  <si>
    <t>L5849100</t>
  </si>
  <si>
    <t>Doorly's 8 Years</t>
  </si>
  <si>
    <t>L0482000</t>
  </si>
  <si>
    <t>Drambuie</t>
  </si>
  <si>
    <t>L5968500</t>
  </si>
  <si>
    <t>Duneville's Dead Island 2 Irish Whiskey</t>
  </si>
  <si>
    <t>L5452600</t>
  </si>
  <si>
    <t>Eden Mill Love Gin</t>
  </si>
  <si>
    <t>L0757600</t>
  </si>
  <si>
    <t>Edradour 10 Years + GB</t>
  </si>
  <si>
    <t>L0378100</t>
  </si>
  <si>
    <t>EIKO Vodka + GB</t>
  </si>
  <si>
    <t>L0918200</t>
  </si>
  <si>
    <t>El Dorado 12 Years + GB</t>
  </si>
  <si>
    <t>L0918700</t>
  </si>
  <si>
    <t>El Dorado 5 Years Golden Rum</t>
  </si>
  <si>
    <t>L2550900</t>
  </si>
  <si>
    <t>El Libertad Original</t>
  </si>
  <si>
    <t>L0979100</t>
  </si>
  <si>
    <t>El Ron Prohibido 12 Years Habanero</t>
  </si>
  <si>
    <t>L1128500</t>
  </si>
  <si>
    <t>El Ron Prohibido 15 Years</t>
  </si>
  <si>
    <t>L2021000</t>
  </si>
  <si>
    <t>El Ron Prohibido 22 Years</t>
  </si>
  <si>
    <t>Esbjaerg</t>
  </si>
  <si>
    <t>L1855800</t>
  </si>
  <si>
    <t>Esbjaerg Copper</t>
  </si>
  <si>
    <t>L0340800</t>
  </si>
  <si>
    <t>Ezra Brooks Black</t>
  </si>
  <si>
    <t>L0631400</t>
  </si>
  <si>
    <t>Famous Grouse</t>
  </si>
  <si>
    <t>L5521600</t>
  </si>
  <si>
    <t>Famous Grouse Ruby Cask</t>
  </si>
  <si>
    <t>L5769500</t>
  </si>
  <si>
    <t>Famous Grouse Sherry Cask</t>
  </si>
  <si>
    <t>L5256500</t>
  </si>
  <si>
    <t>Famous Grouse Smoky Black</t>
  </si>
  <si>
    <t>L0834100</t>
  </si>
  <si>
    <t>Fettercairn 12 Years + GB</t>
  </si>
  <si>
    <t>L0758900</t>
  </si>
  <si>
    <t>Finlaggan Old Reserve + GB</t>
  </si>
  <si>
    <t>L0759300</t>
  </si>
  <si>
    <t>Finlaggan Original Peaty</t>
  </si>
  <si>
    <t>L0924300</t>
  </si>
  <si>
    <t>Finlandia</t>
  </si>
  <si>
    <t>L2345900</t>
  </si>
  <si>
    <t>Firestarter Gin</t>
  </si>
  <si>
    <t>L0923500</t>
  </si>
  <si>
    <t>Firestarter Vodka</t>
  </si>
  <si>
    <t>L5828100</t>
  </si>
  <si>
    <t>Firestarter Vodka Glass Bottle</t>
  </si>
  <si>
    <t>L5972400</t>
  </si>
  <si>
    <t>Flying Dutchman 3 Years</t>
  </si>
  <si>
    <t>L0863800</t>
  </si>
  <si>
    <t>Flying Dutchman Dark No.1</t>
  </si>
  <si>
    <t>L5943400</t>
  </si>
  <si>
    <t>Fortaleza Anejo</t>
  </si>
  <si>
    <t>L5253300</t>
  </si>
  <si>
    <t>Fortaleza Blanco</t>
  </si>
  <si>
    <t>L5711500</t>
  </si>
  <si>
    <t>Fortaleza Reposado</t>
  </si>
  <si>
    <t>L0633000</t>
  </si>
  <si>
    <t>Four Roses</t>
  </si>
  <si>
    <t>L2028600</t>
  </si>
  <si>
    <t>Frapin 1270 - 1e Cru De Cognac + GB</t>
  </si>
  <si>
    <t>L5996100</t>
  </si>
  <si>
    <t>Frapin Cigar Blend XO + GB</t>
  </si>
  <si>
    <t>L0550200</t>
  </si>
  <si>
    <t>Frapin VIP XO + GB</t>
  </si>
  <si>
    <t>L1368800</t>
  </si>
  <si>
    <t>Frapin VSOP + GB</t>
  </si>
  <si>
    <t>L5820300</t>
  </si>
  <si>
    <t>Frisky Panky Blended Scotch</t>
  </si>
  <si>
    <t>L5820500</t>
  </si>
  <si>
    <t>Frisky Panky Dry Gin</t>
  </si>
  <si>
    <t>L0097200</t>
  </si>
  <si>
    <t>Frysk Hynder Wine Cask</t>
  </si>
  <si>
    <t>L6078600</t>
  </si>
  <si>
    <t>Generous Gin Azur</t>
  </si>
  <si>
    <t>L5095000</t>
  </si>
  <si>
    <t>Gin Lane 1751 Blackberry</t>
  </si>
  <si>
    <t>L5031000</t>
  </si>
  <si>
    <t>Gin Lane 1751 Clementine</t>
  </si>
  <si>
    <t>L0929600</t>
  </si>
  <si>
    <t>Gin Lane 1751 London Dry Gin</t>
  </si>
  <si>
    <t>L1721900</t>
  </si>
  <si>
    <t>Gin Lane 1751 Old Tom Gin</t>
  </si>
  <si>
    <t>L6017000</t>
  </si>
  <si>
    <t>Gin Lane 1751 Pink Grapefruit</t>
  </si>
  <si>
    <t>L2360100</t>
  </si>
  <si>
    <t>Gin Lane 1751 Rhubarb</t>
  </si>
  <si>
    <t>L1722000</t>
  </si>
  <si>
    <t>Gin Lane 1751 Victoria Pink Gin</t>
  </si>
  <si>
    <t>L5633100</t>
  </si>
  <si>
    <t>Gin Lane 1751 Violet</t>
  </si>
  <si>
    <t>L2259900</t>
  </si>
  <si>
    <t>Gin Lane 1751 Watermelon/Cucumber/Mint</t>
  </si>
  <si>
    <t>L5263800</t>
  </si>
  <si>
    <t>Glen Breton Ice 10 Years + GB</t>
  </si>
  <si>
    <t>L0771600</t>
  </si>
  <si>
    <t>Glen Grant The Major's Reserve + GB</t>
  </si>
  <si>
    <t>L2033100</t>
  </si>
  <si>
    <t>Glen Mansion</t>
  </si>
  <si>
    <t>L0784500</t>
  </si>
  <si>
    <t>Glen Moray 12 Years + GB</t>
  </si>
  <si>
    <t>L0784600</t>
  </si>
  <si>
    <t>Glen Moray 15 Years + GB</t>
  </si>
  <si>
    <t>L1497600</t>
  </si>
  <si>
    <t>Glen Moray Cabernet + GB</t>
  </si>
  <si>
    <t>L1497900</t>
  </si>
  <si>
    <t>Glen Moray Chardonnay Cask Finish + GB</t>
  </si>
  <si>
    <t>L0785400</t>
  </si>
  <si>
    <t>Glen Moray Elgin Classic + GB</t>
  </si>
  <si>
    <t>L0785700</t>
  </si>
  <si>
    <t>Glen Moray Peated + GB</t>
  </si>
  <si>
    <t>L0785800</t>
  </si>
  <si>
    <t>Glen Moray Port Cask Finish + GB</t>
  </si>
  <si>
    <t>L1498900</t>
  </si>
  <si>
    <t>Glen Moray Sherry Cask Finish + GB</t>
  </si>
  <si>
    <t>L5744900</t>
  </si>
  <si>
    <t>Glen Scotia 10 Years + GB</t>
  </si>
  <si>
    <t>L2034400</t>
  </si>
  <si>
    <t>Glen Scotia Harbour + GB</t>
  </si>
  <si>
    <t>L5745100</t>
  </si>
  <si>
    <t>L0695400</t>
  </si>
  <si>
    <t>Glen Talloch</t>
  </si>
  <si>
    <t>L0695100</t>
  </si>
  <si>
    <t>Glen Talloch 12 Years Gold + GB</t>
  </si>
  <si>
    <t>L2034900</t>
  </si>
  <si>
    <t>Glen Talloch 8 Years Blended Malt + GB</t>
  </si>
  <si>
    <t>L0766100</t>
  </si>
  <si>
    <t>Glenfarclas 10 Years + GB</t>
  </si>
  <si>
    <t>L0768800</t>
  </si>
  <si>
    <t>Glenfarclas 8 Years + GB</t>
  </si>
  <si>
    <t>L0773100</t>
  </si>
  <si>
    <t>Glenfiddich 12 Years + GB</t>
  </si>
  <si>
    <t>L5104300</t>
  </si>
  <si>
    <t>Glenfiddich 12 Years Triple Oak + GB</t>
  </si>
  <si>
    <t>L5876000</t>
  </si>
  <si>
    <t>Glenfiddich 15 Years Limited Edition Design + Hip Flask</t>
  </si>
  <si>
    <t>L0775900</t>
  </si>
  <si>
    <t>Glenfiddich 15 Years Solera + GB</t>
  </si>
  <si>
    <t>L0794600</t>
  </si>
  <si>
    <t>Glengoyne 10 Years + GB</t>
  </si>
  <si>
    <t>L0759600</t>
  </si>
  <si>
    <t>Glenmorangie 10 Years The Original + GB</t>
  </si>
  <si>
    <t>L5888600</t>
  </si>
  <si>
    <t>Goeie Mie Gin</t>
  </si>
  <si>
    <t>L0869100</t>
  </si>
  <si>
    <t>Gold 999.9</t>
  </si>
  <si>
    <t>L5786700</t>
  </si>
  <si>
    <t>Gold Bar</t>
  </si>
  <si>
    <t>L5568200</t>
  </si>
  <si>
    <t>Gold Dry Gin</t>
  </si>
  <si>
    <t>L5568100</t>
  </si>
  <si>
    <t>Gold Dry Vodka</t>
  </si>
  <si>
    <t>L0932100</t>
  </si>
  <si>
    <t>Gosling's Black Seal Rum</t>
  </si>
  <si>
    <t>L1860200</t>
  </si>
  <si>
    <t>Gosling's Family Reserve + GB</t>
  </si>
  <si>
    <t>Gran Duque D'Alba Solera Gran Reserva + GB</t>
  </si>
  <si>
    <t>L2537200</t>
  </si>
  <si>
    <t>Grand Kadoo 3 Years Old Golden</t>
  </si>
  <si>
    <t>L2537300</t>
  </si>
  <si>
    <t>Grand Kadoo 8 Years Old Golden</t>
  </si>
  <si>
    <t>L2674300</t>
  </si>
  <si>
    <t>Grand Marnier Cuvee Du Centenaire + GB</t>
  </si>
  <si>
    <t>L0484500</t>
  </si>
  <si>
    <t>Grand Marnier Louis Alexandre</t>
  </si>
  <si>
    <t>L0485100</t>
  </si>
  <si>
    <t>Grand Marnier Rouge</t>
  </si>
  <si>
    <t>L0634700</t>
  </si>
  <si>
    <t>Grant's</t>
  </si>
  <si>
    <t>L2049300</t>
  </si>
  <si>
    <t>Grappa Bianca Castello</t>
  </si>
  <si>
    <t>L0089300</t>
  </si>
  <si>
    <t>Grappa Regadin Amarone Invecchiata</t>
  </si>
  <si>
    <t>L2049600</t>
  </si>
  <si>
    <t>Grappa Regadin Cabernet</t>
  </si>
  <si>
    <t>L2049700</t>
  </si>
  <si>
    <t>Grappa Regadin Chardonnay</t>
  </si>
  <si>
    <t>L2049800</t>
  </si>
  <si>
    <t>Grappa Regadin Moscato</t>
  </si>
  <si>
    <t>L2049900</t>
  </si>
  <si>
    <t>Grappa Regadin Pinot Grigio</t>
  </si>
  <si>
    <t>L2050000</t>
  </si>
  <si>
    <t>Grappa Regadin Prosecco</t>
  </si>
  <si>
    <t>L0635700</t>
  </si>
  <si>
    <t>Green Spot + GB</t>
  </si>
  <si>
    <t>L0100700</t>
  </si>
  <si>
    <t>Greign 20 Years + GB</t>
  </si>
  <si>
    <t>L0937300</t>
  </si>
  <si>
    <t>Grey Goose</t>
  </si>
  <si>
    <t>L1728900</t>
  </si>
  <si>
    <t>Grey Goose Citron</t>
  </si>
  <si>
    <t>L0935800</t>
  </si>
  <si>
    <t>Grey Goose L'Orange</t>
  </si>
  <si>
    <t>L0935600</t>
  </si>
  <si>
    <t>Grey Goose Poire</t>
  </si>
  <si>
    <t>L0938600</t>
  </si>
  <si>
    <t>G'Vine Floraison</t>
  </si>
  <si>
    <t>L2051800</t>
  </si>
  <si>
    <t>Haig Club Clubman</t>
  </si>
  <si>
    <t>L2052600</t>
  </si>
  <si>
    <t>Hardy Legend 1863 + GB</t>
  </si>
  <si>
    <t>L5838200</t>
  </si>
  <si>
    <t>Hardy XO + GB</t>
  </si>
  <si>
    <t>L2053200</t>
  </si>
  <si>
    <t>Hardy XO Rare + GB</t>
  </si>
  <si>
    <t>L5698600</t>
  </si>
  <si>
    <t>Hatozaki Blended Malt</t>
  </si>
  <si>
    <t>L1731000</t>
  </si>
  <si>
    <t>Havana Club Anejo 3 Anos</t>
  </si>
  <si>
    <t>L6002400</t>
  </si>
  <si>
    <t>Havana Club Anejo 3 Anos NRF</t>
  </si>
  <si>
    <t>L1732200</t>
  </si>
  <si>
    <t>Havana Club Anejo 7 Anos</t>
  </si>
  <si>
    <t>L0943700</t>
  </si>
  <si>
    <t>Havana Club Anejo Especial</t>
  </si>
  <si>
    <t>L5651800</t>
  </si>
  <si>
    <t>Hayman's Gin Liqueur</t>
  </si>
  <si>
    <t>L0554400</t>
  </si>
  <si>
    <t>Hennessy VS</t>
  </si>
  <si>
    <t>L6092000</t>
  </si>
  <si>
    <t>Hennessy VS Hip Hop 50th x Nas Limited Edition + GB</t>
  </si>
  <si>
    <t>L0556900</t>
  </si>
  <si>
    <t>Hennessy XO + GB</t>
  </si>
  <si>
    <t>L5939800</t>
  </si>
  <si>
    <t>Hennessy XO CNY 2023 Edition + GB</t>
  </si>
  <si>
    <t>L2303900</t>
  </si>
  <si>
    <t>Henry's Gin</t>
  </si>
  <si>
    <t>L1381300</t>
  </si>
  <si>
    <t>Herradura Anejo + GB</t>
  </si>
  <si>
    <t>L2319200</t>
  </si>
  <si>
    <t>Herradura Plata + GB</t>
  </si>
  <si>
    <t>L0560400</t>
  </si>
  <si>
    <t>Herradura Reposado + GB</t>
  </si>
  <si>
    <t>L5255900</t>
  </si>
  <si>
    <t>Highball Express 12 Years Blended</t>
  </si>
  <si>
    <t>L5256000</t>
  </si>
  <si>
    <t>Highball Express 18 Years Blended</t>
  </si>
  <si>
    <t>L5256100</t>
  </si>
  <si>
    <t>Highball Express 23 Years Blended</t>
  </si>
  <si>
    <t>L0798000</t>
  </si>
  <si>
    <t>Highland Park 10 Years Viking Scars + GB</t>
  </si>
  <si>
    <t>L0798400</t>
  </si>
  <si>
    <t>Highland Park 12 Years + GB</t>
  </si>
  <si>
    <t>L1374800</t>
  </si>
  <si>
    <t>Hine Cigar Reserve + GB</t>
  </si>
  <si>
    <t>L2062000</t>
  </si>
  <si>
    <t>Hooghoudt 5 Years Aged Genever</t>
  </si>
  <si>
    <t>L0810900</t>
  </si>
  <si>
    <t>Ileach + GB</t>
  </si>
  <si>
    <t>L0560800</t>
  </si>
  <si>
    <t>Isolabella Sambuca</t>
  </si>
  <si>
    <t>L1331200</t>
  </si>
  <si>
    <t>Izarra Vert</t>
  </si>
  <si>
    <t>L6045300</t>
  </si>
  <si>
    <t>Jack Daniel’s McLaren X JD Limited Edition 2023</t>
  </si>
  <si>
    <t>L6036200</t>
  </si>
  <si>
    <t>Jack Daniel’s McLaren X JD Limited Edition 2023 + GB</t>
  </si>
  <si>
    <t>L2598100</t>
  </si>
  <si>
    <t>Jack Daniel's</t>
  </si>
  <si>
    <t>L5072900</t>
  </si>
  <si>
    <t>L0649400</t>
  </si>
  <si>
    <t>L5747900</t>
  </si>
  <si>
    <t>Jack Daniels + Mailbox GB</t>
  </si>
  <si>
    <t>L6068000</t>
  </si>
  <si>
    <t>Jack Daniel's + Metal Cage</t>
  </si>
  <si>
    <t>L0650400</t>
  </si>
  <si>
    <t>Jack Daniel's Gentleman Jack</t>
  </si>
  <si>
    <t>L2070300</t>
  </si>
  <si>
    <t>Jack Daniel's Guitar Giftbox</t>
  </si>
  <si>
    <t>L5633000</t>
  </si>
  <si>
    <t>Jamaica Cove Banana Black Spiced Rum</t>
  </si>
  <si>
    <t>L0949500</t>
  </si>
  <si>
    <t>Jamaica Cove Pineapple Rum</t>
  </si>
  <si>
    <t>L0644300</t>
  </si>
  <si>
    <t>Jameson</t>
  </si>
  <si>
    <t>L0641500</t>
  </si>
  <si>
    <t>Jameson Black Barrel + GB</t>
  </si>
  <si>
    <t>Jameson Caskmates IPA</t>
  </si>
  <si>
    <t>L0642400</t>
  </si>
  <si>
    <t>Jameson Caskmates Stout</t>
  </si>
  <si>
    <t>L0561800</t>
  </si>
  <si>
    <t>Janneau VSOP Armagnac</t>
  </si>
  <si>
    <t>L0562000</t>
  </si>
  <si>
    <t>Janneau XO Royal Grand Armagnac + GB</t>
  </si>
  <si>
    <t>L5897500</t>
  </si>
  <si>
    <t>Jean Goyard Marc De Champagne XO Exclusive + GB</t>
  </si>
  <si>
    <t>L6070600</t>
  </si>
  <si>
    <t>Jim Beam</t>
  </si>
  <si>
    <t>L0646700</t>
  </si>
  <si>
    <t>Jim Beam RYE</t>
  </si>
  <si>
    <t>L6000200</t>
  </si>
  <si>
    <t>Jim Beam Sunshine</t>
  </si>
  <si>
    <t>L5162500</t>
  </si>
  <si>
    <t>L0657800</t>
  </si>
  <si>
    <t>Johnnie Walker 18 Years Ultimate + GB</t>
  </si>
  <si>
    <t>L0660900</t>
  </si>
  <si>
    <t>Johnnie Walker Black Label</t>
  </si>
  <si>
    <t>L2605700</t>
  </si>
  <si>
    <t>L5546500</t>
  </si>
  <si>
    <t>L0663600</t>
  </si>
  <si>
    <t>Johnnie Walker Blue Label + GB</t>
  </si>
  <si>
    <t>L5875600</t>
  </si>
  <si>
    <t>Johnnie Walker Double Black</t>
  </si>
  <si>
    <t>L0665500</t>
  </si>
  <si>
    <t>Johnnie Walker Gold Reserve + GB</t>
  </si>
  <si>
    <t>L0668400</t>
  </si>
  <si>
    <t>Johnnie Walker Red Label</t>
  </si>
  <si>
    <t>L0670000</t>
  </si>
  <si>
    <t>Johnnie Walker Swing + GB</t>
  </si>
  <si>
    <t>L1381800</t>
  </si>
  <si>
    <t>Joseph Guy VS</t>
  </si>
  <si>
    <t>L5170400</t>
  </si>
  <si>
    <t>Joseph Guy VSOP + GB</t>
  </si>
  <si>
    <t>L1355800</t>
  </si>
  <si>
    <t>Julia Grappa Invecchiata</t>
  </si>
  <si>
    <t>Jura 10 Years + 2 Glasses</t>
  </si>
  <si>
    <t>L0807500</t>
  </si>
  <si>
    <t>Jura 10 Years + GB</t>
  </si>
  <si>
    <t>L0807900</t>
  </si>
  <si>
    <t>Jura 12 Years + GB</t>
  </si>
  <si>
    <t>L5818500</t>
  </si>
  <si>
    <t>L1524900</t>
  </si>
  <si>
    <t>Jura Journey + GB</t>
  </si>
  <si>
    <t>L5128800</t>
  </si>
  <si>
    <t>Jura Red Wine Cask + GB</t>
  </si>
  <si>
    <t>L5672800</t>
  </si>
  <si>
    <t>Jura Rum Cask Finish + GB</t>
  </si>
  <si>
    <t>L5128900</t>
  </si>
  <si>
    <t>Jura Winter Edition + GB</t>
  </si>
  <si>
    <t>L2204300</t>
  </si>
  <si>
    <t>Justerini &amp; Brooks</t>
  </si>
  <si>
    <t>L0566800</t>
  </si>
  <si>
    <t>Kah Tequila Blanco</t>
  </si>
  <si>
    <t>L0566900</t>
  </si>
  <si>
    <t>Kah Tequila Reposado</t>
  </si>
  <si>
    <t>L1738600</t>
  </si>
  <si>
    <t>Kauffman Soft</t>
  </si>
  <si>
    <t>L5633300</t>
  </si>
  <si>
    <t>Kavalan Triple Sherry Cask + GB</t>
  </si>
  <si>
    <t>L0951900</t>
  </si>
  <si>
    <t>Ketel One Vodka</t>
  </si>
  <si>
    <t>L1738800</t>
  </si>
  <si>
    <t>Ketel One Vodka Citroen</t>
  </si>
  <si>
    <t>L0672300</t>
  </si>
  <si>
    <t>Kilbeggan Traditional</t>
  </si>
  <si>
    <t>L5982600</t>
  </si>
  <si>
    <t>King of Soho Copacetic</t>
  </si>
  <si>
    <t>L5890000</t>
  </si>
  <si>
    <t>Komos Anejo Cristalino</t>
  </si>
  <si>
    <t>L0953700</t>
  </si>
  <si>
    <t>Kraken Black Spiced Rum</t>
  </si>
  <si>
    <t>L5874000</t>
  </si>
  <si>
    <t>Kraken Black Spiced Unknown Deep #03 Copper Edition 2022</t>
  </si>
  <si>
    <t>L5662300</t>
  </si>
  <si>
    <t>La Hechicera Reserva + GB</t>
  </si>
  <si>
    <t>L0673000</t>
  </si>
  <si>
    <t>Label 5</t>
  </si>
  <si>
    <t>L5880800</t>
  </si>
  <si>
    <t>LALA Reposado</t>
  </si>
  <si>
    <t>L0819300</t>
  </si>
  <si>
    <t>Laphroaig 10 Years + GB</t>
  </si>
  <si>
    <t>L0822500</t>
  </si>
  <si>
    <t>Laphroaig Select + GB</t>
  </si>
  <si>
    <t>L1326400</t>
  </si>
  <si>
    <t>Le Favori Triple Sec</t>
  </si>
  <si>
    <t>L0568100</t>
  </si>
  <si>
    <t>Leblon Cachaca</t>
  </si>
  <si>
    <t>L1176200</t>
  </si>
  <si>
    <t>Legendario Anejo 9</t>
  </si>
  <si>
    <t>L0818600</t>
  </si>
  <si>
    <t>Loch Lomond Signature + GB</t>
  </si>
  <si>
    <t>L0080500</t>
  </si>
  <si>
    <t>Maitre Pierre Calvados</t>
  </si>
  <si>
    <t>L1666600</t>
  </si>
  <si>
    <t>Mamont Vodka</t>
  </si>
  <si>
    <t>L5108900</t>
  </si>
  <si>
    <t>Mars Kasei + GB</t>
  </si>
  <si>
    <t>L2267000</t>
  </si>
  <si>
    <t>Martell Blue Swift</t>
  </si>
  <si>
    <t>L0572000</t>
  </si>
  <si>
    <t>Martell VS</t>
  </si>
  <si>
    <t>L0572300</t>
  </si>
  <si>
    <t>Martell VSOP + GB</t>
  </si>
  <si>
    <t>L1745900</t>
  </si>
  <si>
    <t>Martin Miller's Dry Gin</t>
  </si>
  <si>
    <t>L5770800</t>
  </si>
  <si>
    <t>Martin Miller's Summerful Gin Limited Edition</t>
  </si>
  <si>
    <t>L5996600</t>
  </si>
  <si>
    <t>Masons Classic Vodka</t>
  </si>
  <si>
    <t>L2103500</t>
  </si>
  <si>
    <t>Mates Gold</t>
  </si>
  <si>
    <t>L0962400</t>
  </si>
  <si>
    <t>Matusalem 10 Years Clasico</t>
  </si>
  <si>
    <t>L0962500</t>
  </si>
  <si>
    <t>Matusalem 15 Years Gran Reserva + GB</t>
  </si>
  <si>
    <t>L1746100</t>
  </si>
  <si>
    <t>Matusalem 7 Years Solera</t>
  </si>
  <si>
    <t>L5521500</t>
  </si>
  <si>
    <t>Matusalem Insolito Wine Cask</t>
  </si>
  <si>
    <t>L1746500</t>
  </si>
  <si>
    <t>Mayfair Dry Gin</t>
  </si>
  <si>
    <t>L0397500</t>
  </si>
  <si>
    <t>McQueen And The Violet</t>
  </si>
  <si>
    <t>L2555900</t>
  </si>
  <si>
    <t>Menard Cognac Sel. Des Domaines GFC 1er Cru de Cognac</t>
  </si>
  <si>
    <t>L2104000</t>
  </si>
  <si>
    <t>Menard VSOP</t>
  </si>
  <si>
    <t>L2316500</t>
  </si>
  <si>
    <t>Mermaid Salt Vodka</t>
  </si>
  <si>
    <t>L5954900</t>
  </si>
  <si>
    <t>Mermaid Spiced Rum</t>
  </si>
  <si>
    <t>L5776700</t>
  </si>
  <si>
    <t>Mermaid Zest</t>
  </si>
  <si>
    <t>L1392400</t>
  </si>
  <si>
    <t>Metaxa 7*</t>
  </si>
  <si>
    <t>L5158100</t>
  </si>
  <si>
    <t>Metaxa Grande Fine Collector's Edition + GB</t>
  </si>
  <si>
    <t>L0577500</t>
  </si>
  <si>
    <t>Metaxa Private Reserve + GB</t>
  </si>
  <si>
    <t>L5054800</t>
  </si>
  <si>
    <t>Meukow Extra + GB</t>
  </si>
  <si>
    <t>L5994400</t>
  </si>
  <si>
    <t>Meukow Icone 160th Anniversaire + GB</t>
  </si>
  <si>
    <t>L1394800</t>
  </si>
  <si>
    <t>Meukow VS + GB</t>
  </si>
  <si>
    <t>L5019800</t>
  </si>
  <si>
    <t>Meukow VS Black Panter Prism</t>
  </si>
  <si>
    <t>L5020000</t>
  </si>
  <si>
    <t>Meukow VSOP + GB</t>
  </si>
  <si>
    <t>L5035300</t>
  </si>
  <si>
    <t>Meukow VSOP Copper + GB</t>
  </si>
  <si>
    <t>L5066600</t>
  </si>
  <si>
    <t>Meukow VSOP Red Edition + GB</t>
  </si>
  <si>
    <t>L1396400</t>
  </si>
  <si>
    <t>Meukow XO + GB</t>
  </si>
  <si>
    <t>L5594000</t>
  </si>
  <si>
    <t>Moa Vodka</t>
  </si>
  <si>
    <t>L0443800</t>
  </si>
  <si>
    <t>Moet &amp; Chandon Marc De Champagne</t>
  </si>
  <si>
    <t>L1372900</t>
  </si>
  <si>
    <t>Molinari Sambuca Extra NRF</t>
  </si>
  <si>
    <t>L0833000</t>
  </si>
  <si>
    <t>Monkey Shoulder</t>
  </si>
  <si>
    <t>L1569700</t>
  </si>
  <si>
    <t>Monkey Shoulder Smokey Monkey</t>
  </si>
  <si>
    <t>L0076500</t>
  </si>
  <si>
    <t>Montifaud Napoleon</t>
  </si>
  <si>
    <t>L0076700</t>
  </si>
  <si>
    <t>Montifaud Vs Cognac Petite Champagne</t>
  </si>
  <si>
    <t>L0076600</t>
  </si>
  <si>
    <t>Montifaud VSOP</t>
  </si>
  <si>
    <t>L0076800</t>
  </si>
  <si>
    <t>Montifaud XO</t>
  </si>
  <si>
    <t>L5961600</t>
  </si>
  <si>
    <t>Motorhead Finest Caribbean Rum</t>
  </si>
  <si>
    <t>L0957900</t>
  </si>
  <si>
    <t>Motorhead Vodka - Batch 2</t>
  </si>
  <si>
    <t>L0077400</t>
  </si>
  <si>
    <t>Moullon VSOP</t>
  </si>
  <si>
    <t>L1749100</t>
  </si>
  <si>
    <t>Mount Gay Eclipse</t>
  </si>
  <si>
    <t>L5062100</t>
  </si>
  <si>
    <t>Myers's Rum</t>
  </si>
  <si>
    <t>L6040600</t>
  </si>
  <si>
    <t>Neptune Gold Rum</t>
  </si>
  <si>
    <t>L0963400</t>
  </si>
  <si>
    <t>Nikka Coffey Vodka + GB</t>
  </si>
  <si>
    <t>L5801300</t>
  </si>
  <si>
    <t>Nikka Days</t>
  </si>
  <si>
    <t>L0680500</t>
  </si>
  <si>
    <t>Nikka Days + GB</t>
  </si>
  <si>
    <t>L2235500</t>
  </si>
  <si>
    <t>Nobushi Japanese Whisky + GB</t>
  </si>
  <si>
    <t>L0965100</t>
  </si>
  <si>
    <t>Nordes Gin</t>
  </si>
  <si>
    <t>L0078000</t>
  </si>
  <si>
    <t>Nucano Mezcal Espadin Anejo</t>
  </si>
  <si>
    <t>L0078100</t>
  </si>
  <si>
    <t>Nucano Mezcal Espadin Reposado</t>
  </si>
  <si>
    <t>L0834400</t>
  </si>
  <si>
    <t>Old Pulteney 12 Years + GB</t>
  </si>
  <si>
    <t>L0690000</t>
  </si>
  <si>
    <t>Old Smuggler</t>
  </si>
  <si>
    <t>L5215900</t>
  </si>
  <si>
    <t>Old St. Andrews 5 Years Admiral's Cask Rum - Barrel</t>
  </si>
  <si>
    <t>L5217400</t>
  </si>
  <si>
    <t>Old St. Andrews 5 Years Admiral's Cask Rum Diamond Edition</t>
  </si>
  <si>
    <t>L5215800</t>
  </si>
  <si>
    <t>Old St. Andrews Clubhouse Whisky - Barrel</t>
  </si>
  <si>
    <t>L5215700</t>
  </si>
  <si>
    <t>Old St. Andrews Clubhouse Whisky - Octopack</t>
  </si>
  <si>
    <t>L5852600</t>
  </si>
  <si>
    <t>Old St. Andrews Gem of Scotland</t>
  </si>
  <si>
    <t>L0860700</t>
  </si>
  <si>
    <t>One Key Gin</t>
  </si>
  <si>
    <t>L5232600</t>
  </si>
  <si>
    <t>Opal Nera Sambuca NRF</t>
  </si>
  <si>
    <t>L0130300</t>
  </si>
  <si>
    <t>Outerspace Alien Head Chrome Edition</t>
  </si>
  <si>
    <t>L0969000</t>
  </si>
  <si>
    <t>Outerspace Vodka</t>
  </si>
  <si>
    <t>L1401400</t>
  </si>
  <si>
    <t>Ouzo Plomari</t>
  </si>
  <si>
    <t>L0684000</t>
  </si>
  <si>
    <t>Paddy Old Irish</t>
  </si>
  <si>
    <t>L2536100</t>
  </si>
  <si>
    <t>Padre Azul Anejo</t>
  </si>
  <si>
    <t>L2536200</t>
  </si>
  <si>
    <t>Padre Azul Blanco</t>
  </si>
  <si>
    <t>L2536300</t>
  </si>
  <si>
    <t>Padre Azul Reposado</t>
  </si>
  <si>
    <t>L0974400</t>
  </si>
  <si>
    <t>Pampero Anejo Especial</t>
  </si>
  <si>
    <t>L1755100</t>
  </si>
  <si>
    <t>Pampero Anejo Seleccion 1938</t>
  </si>
  <si>
    <t>L1755200</t>
  </si>
  <si>
    <t>Pampero Aniversario + Leather Bag</t>
  </si>
  <si>
    <t>L6106500</t>
  </si>
  <si>
    <t>Panda Gin Limited Edition Halloween</t>
  </si>
  <si>
    <t>L0583300</t>
  </si>
  <si>
    <t>Patron Anejo + GB</t>
  </si>
  <si>
    <t>L6005100</t>
  </si>
  <si>
    <t>Patron El Cielo Prestige Silver + GB</t>
  </si>
  <si>
    <t>L1403100</t>
  </si>
  <si>
    <t>Patron Reposado + GB</t>
  </si>
  <si>
    <t>L2404400</t>
  </si>
  <si>
    <t>Patron Silver</t>
  </si>
  <si>
    <t>L0585000</t>
  </si>
  <si>
    <t>Patron Silver + GB</t>
  </si>
  <si>
    <t>L5356200</t>
  </si>
  <si>
    <t>Paul John Indian Single Malt Nirvana + GB</t>
  </si>
  <si>
    <t>L5968900</t>
  </si>
  <si>
    <t>Pennypacker Bourbon</t>
  </si>
  <si>
    <t>L0582300</t>
  </si>
  <si>
    <t>Pere Magloire Fine</t>
  </si>
  <si>
    <t>L0582400</t>
  </si>
  <si>
    <t>Pere Magloire VSOP</t>
  </si>
  <si>
    <t>L1406100</t>
  </si>
  <si>
    <t>Pere Magloire XO + GB</t>
  </si>
  <si>
    <t>L0581200</t>
  </si>
  <si>
    <t>Pernod</t>
  </si>
  <si>
    <t>L5220500</t>
  </si>
  <si>
    <t>Pierre Ferrand Curacao</t>
  </si>
  <si>
    <t>L1580200</t>
  </si>
  <si>
    <t>Pig's Nose + GB</t>
  </si>
  <si>
    <t>L1756600</t>
  </si>
  <si>
    <t>Pink Royal</t>
  </si>
  <si>
    <t>L5205600</t>
  </si>
  <si>
    <t>Plantation 5 Years</t>
  </si>
  <si>
    <t>L0973000</t>
  </si>
  <si>
    <t>Plantation Grande Reserve</t>
  </si>
  <si>
    <t>L2242100</t>
  </si>
  <si>
    <t>Plantation Isle Of Fiji</t>
  </si>
  <si>
    <t>L0973700</t>
  </si>
  <si>
    <t>Plantation Original Dark</t>
  </si>
  <si>
    <t>L0973900</t>
  </si>
  <si>
    <t>Plantation Pineapple</t>
  </si>
  <si>
    <t>L6118800</t>
  </si>
  <si>
    <t>Plantation Sealander</t>
  </si>
  <si>
    <t>L5700700</t>
  </si>
  <si>
    <t>Plantation Stiggins Fancy Smoky Formula + GB</t>
  </si>
  <si>
    <t>L0972100</t>
  </si>
  <si>
    <t>Plantation XO 20Th Anniversary + GB</t>
  </si>
  <si>
    <t>L1580600</t>
  </si>
  <si>
    <t>Platte Valley Corn 3 years</t>
  </si>
  <si>
    <t>L5310900</t>
  </si>
  <si>
    <t>Porter's Orchard</t>
  </si>
  <si>
    <t>L0113800</t>
  </si>
  <si>
    <t>Poseidon Dry Gin</t>
  </si>
  <si>
    <t>L0977400</t>
  </si>
  <si>
    <t>Pravda</t>
  </si>
  <si>
    <t>L0950500</t>
  </si>
  <si>
    <t>Precious Vodka + GB</t>
  </si>
  <si>
    <t>L5564300</t>
  </si>
  <si>
    <t>Presidente Marti 15 Years + GB</t>
  </si>
  <si>
    <t>Presidente Marti 19 Years Solera + GB</t>
  </si>
  <si>
    <t>L5564400</t>
  </si>
  <si>
    <t>L0969700</t>
  </si>
  <si>
    <t>Presidente Marti 23 Years + GB</t>
  </si>
  <si>
    <t>L5329200</t>
  </si>
  <si>
    <t>Presidente Marti Gran Anejo</t>
  </si>
  <si>
    <t>L1581700</t>
  </si>
  <si>
    <t>Proper No. Twelve Irish Whiskey</t>
  </si>
  <si>
    <t>L2459800</t>
  </si>
  <si>
    <t>Pusser's 15 Years + GB</t>
  </si>
  <si>
    <t>L1118200</t>
  </si>
  <si>
    <t>Pusser's Navy Rum Original Admiralty Rum</t>
  </si>
  <si>
    <t>L1674000</t>
  </si>
  <si>
    <t>Pyrat XO</t>
  </si>
  <si>
    <t>L1673300</t>
  </si>
  <si>
    <t>Quorhum 30 Anniversario + GB</t>
  </si>
  <si>
    <t>L5098000</t>
  </si>
  <si>
    <t>Rammstein Gin</t>
  </si>
  <si>
    <t>L0862200</t>
  </si>
  <si>
    <t>Rammstein Rum + GB</t>
  </si>
  <si>
    <t>L5561800</t>
  </si>
  <si>
    <t>Rammstein Vodka</t>
  </si>
  <si>
    <t>L5306600</t>
  </si>
  <si>
    <t>Rammstein Vodka Feuer &amp; Wasser Red</t>
  </si>
  <si>
    <t>L5306400</t>
  </si>
  <si>
    <t>Rammstein Vodka Feuer &amp; Wasser White</t>
  </si>
  <si>
    <t>L2130100</t>
  </si>
  <si>
    <t>Raven</t>
  </si>
  <si>
    <t>L0588200</t>
  </si>
  <si>
    <t>Remy Martin 1738 Accord Royal + GB</t>
  </si>
  <si>
    <t>L5225600</t>
  </si>
  <si>
    <t>Remy Martin VSOP</t>
  </si>
  <si>
    <t>L0590800</t>
  </si>
  <si>
    <t>Remy Martin XO + GB</t>
  </si>
  <si>
    <t>L0947400</t>
  </si>
  <si>
    <t>Roberto Cavalli</t>
  </si>
  <si>
    <t>L0081800</t>
  </si>
  <si>
    <t>Rochenac VS</t>
  </si>
  <si>
    <t>L0081700</t>
  </si>
  <si>
    <t>Rochenac VSOP</t>
  </si>
  <si>
    <t>L1869500</t>
  </si>
  <si>
    <t>Ron Malteco 10 Years + GB</t>
  </si>
  <si>
    <t>L1771800</t>
  </si>
  <si>
    <t>Ron Malteco 15 Years + GB</t>
  </si>
  <si>
    <t>L1869700</t>
  </si>
  <si>
    <t>Ron Malteco 25 Years + GB</t>
  </si>
  <si>
    <t>L1178900</t>
  </si>
  <si>
    <t>Ron Millonario XO Reserva Special + GB</t>
  </si>
  <si>
    <t>L0354500</t>
  </si>
  <si>
    <t>Royal Lochnagar 12 Years + GB</t>
  </si>
  <si>
    <t>L5491000</t>
  </si>
  <si>
    <t>Rubis Blanc</t>
  </si>
  <si>
    <t>L0113600</t>
  </si>
  <si>
    <t>Rumquila</t>
  </si>
  <si>
    <t>L5174600</t>
  </si>
  <si>
    <t>Ryoma Japanese Rum + GB</t>
  </si>
  <si>
    <t>L1774400</t>
  </si>
  <si>
    <t>Sailor Jerry Spiced</t>
  </si>
  <si>
    <t>L5967600</t>
  </si>
  <si>
    <t>Saint James Rhum Agricole Paille Ambré de Martinique AOP</t>
  </si>
  <si>
    <t>L2137200</t>
  </si>
  <si>
    <t>Sambuca Bianca</t>
  </si>
  <si>
    <t>L2499200</t>
  </si>
  <si>
    <t>Samuel Gelston’s Single Pot Still Bourbon Cask</t>
  </si>
  <si>
    <t>L2499300</t>
  </si>
  <si>
    <t>Samuel Gelston’s Single Pot Still Pinot Noir Cask + GB</t>
  </si>
  <si>
    <t>L0233200</t>
  </si>
  <si>
    <t>San Cosme Mezcal Blanco</t>
  </si>
  <si>
    <t>L5759600</t>
  </si>
  <si>
    <t>San Lino Ron De Cuba Dark</t>
  </si>
  <si>
    <t>L5975700</t>
  </si>
  <si>
    <t>San Pablo 12 Years</t>
  </si>
  <si>
    <t>L5975800</t>
  </si>
  <si>
    <t>San Pablo 8 Years</t>
  </si>
  <si>
    <t>L1774700</t>
  </si>
  <si>
    <t>Santa Teresa 1796 Solera Rum + GB</t>
  </si>
  <si>
    <t>L0842600</t>
  </si>
  <si>
    <t>Scapa Skiren + GB</t>
  </si>
  <si>
    <t>L5049600</t>
  </si>
  <si>
    <t>Scapa The Orcadian Glansa + GB</t>
  </si>
  <si>
    <t>Seagram's VO</t>
  </si>
  <si>
    <t>L2140100</t>
  </si>
  <si>
    <t>Sheep Dip Islay Blended Malt</t>
  </si>
  <si>
    <t>L0996800</t>
  </si>
  <si>
    <t>Sir Edmond Bourbon Vanilla Infused Gin</t>
  </si>
  <si>
    <t>L0989900</t>
  </si>
  <si>
    <t>Skyy Vodka</t>
  </si>
  <si>
    <t>L0084400</t>
  </si>
  <si>
    <t>Specht Kirschwasser</t>
  </si>
  <si>
    <t>L0083400</t>
  </si>
  <si>
    <t>Specht Slivovitz</t>
  </si>
  <si>
    <t>L0084300</t>
  </si>
  <si>
    <t>Specht Williams Birne</t>
  </si>
  <si>
    <t>L0845200</t>
  </si>
  <si>
    <t>Speyburn 10 Years + GB</t>
  </si>
  <si>
    <t>L0845600</t>
  </si>
  <si>
    <t>Speyburn Bradan Orach + GB</t>
  </si>
  <si>
    <t>L0506400</t>
  </si>
  <si>
    <t>Strega Liquore</t>
  </si>
  <si>
    <t>L1122500</t>
  </si>
  <si>
    <t>Stroh 40</t>
  </si>
  <si>
    <t>L2150100</t>
  </si>
  <si>
    <t>Suntory Haku Vodka</t>
  </si>
  <si>
    <t>L1425600</t>
  </si>
  <si>
    <t>Tamnavulin Double Cask + GB</t>
  </si>
  <si>
    <t>L5818600</t>
  </si>
  <si>
    <t>Tamnavulin Red Wine finish French Cabernet Sauvignon + GB</t>
  </si>
  <si>
    <t>L5818700</t>
  </si>
  <si>
    <t>Tamnavulin Red Wine Finish German Pinot Noir + GB</t>
  </si>
  <si>
    <t>L2153500</t>
  </si>
  <si>
    <t>Tamnavulin Sherry Cask Edition + GB</t>
  </si>
  <si>
    <t>L5211500</t>
  </si>
  <si>
    <t>Tan Dowr Sea Salt Vodka</t>
  </si>
  <si>
    <t>L5074600</t>
  </si>
  <si>
    <t>Tanduay Gold</t>
  </si>
  <si>
    <t>L2460000</t>
  </si>
  <si>
    <t>Tanduay Silver</t>
  </si>
  <si>
    <t>L2154500</t>
  </si>
  <si>
    <t>Tarsier Oriental Pink Gin</t>
  </si>
  <si>
    <t>L0692000</t>
  </si>
  <si>
    <t>Teacher's</t>
  </si>
  <si>
    <t>L5643200</t>
  </si>
  <si>
    <t>Tecan Reposado Tequila</t>
  </si>
  <si>
    <t>Tenjaku Blended</t>
  </si>
  <si>
    <t>L5351700</t>
  </si>
  <si>
    <t>The Broody Hen 10 Years</t>
  </si>
  <si>
    <t>L5681400</t>
  </si>
  <si>
    <t>The Broody Hen Blended Scotch Whisky</t>
  </si>
  <si>
    <t>L5663200</t>
  </si>
  <si>
    <t>The Copper In The Clouds Flowerbomb Dry Gin</t>
  </si>
  <si>
    <t>L5662800</t>
  </si>
  <si>
    <t>The Copper In The Clouds Lychee &amp; Rasberry</t>
  </si>
  <si>
    <t>L5967200</t>
  </si>
  <si>
    <t>The Copper In The Clouds Mango &amp; Black Pepper</t>
  </si>
  <si>
    <t>L5967300</t>
  </si>
  <si>
    <t>The Copper In The Clouds Marmalade</t>
  </si>
  <si>
    <t>L2007700</t>
  </si>
  <si>
    <t>The Dalmore 12 Years + GB</t>
  </si>
  <si>
    <t>L2007900</t>
  </si>
  <si>
    <t>The Dalmore 15 Years + GB</t>
  </si>
  <si>
    <t>L2009000</t>
  </si>
  <si>
    <t>The Dalmore King Alexander III + GB</t>
  </si>
  <si>
    <t>L5998100</t>
  </si>
  <si>
    <t>The Deacon Blended Whisky</t>
  </si>
  <si>
    <t>L5834600</t>
  </si>
  <si>
    <t>The Deveron 10 Years + GB</t>
  </si>
  <si>
    <t>L0756000</t>
  </si>
  <si>
    <t>The Deveron 12 Years + GB</t>
  </si>
  <si>
    <t>L1783500</t>
  </si>
  <si>
    <t>The Duppy Share</t>
  </si>
  <si>
    <t>L5627400</t>
  </si>
  <si>
    <t>The Duppy Share White</t>
  </si>
  <si>
    <t>L5627300</t>
  </si>
  <si>
    <t>The Duppy Share XO</t>
  </si>
  <si>
    <t>L2507200</t>
  </si>
  <si>
    <t>L6103300</t>
  </si>
  <si>
    <t>The Glenlivet 12 Years Double Oak</t>
  </si>
  <si>
    <t>L0788900</t>
  </si>
  <si>
    <t>The Glenlivet 12 Years Double Oak + GB</t>
  </si>
  <si>
    <t>L5437800</t>
  </si>
  <si>
    <t>The Glenlivet 13 Years First Fill American Oak + GB</t>
  </si>
  <si>
    <t>L0790000</t>
  </si>
  <si>
    <t>The Glenlivet 15 Years French Oak + GB</t>
  </si>
  <si>
    <t>L5022500</t>
  </si>
  <si>
    <t>The Glenlivet 18 Years Batch Reserve + GB</t>
  </si>
  <si>
    <t>L2160700</t>
  </si>
  <si>
    <t>L0792300</t>
  </si>
  <si>
    <t>The Glenlivet Captains Reserve + GB</t>
  </si>
  <si>
    <t>L5135400</t>
  </si>
  <si>
    <t>The Glenlivet Caribbean Reserve + GB</t>
  </si>
  <si>
    <t>L0793300</t>
  </si>
  <si>
    <t>The Glenlivet Founder's Reserve + GB</t>
  </si>
  <si>
    <t>L0786400</t>
  </si>
  <si>
    <t>The Glenrothes 12 Years + GB</t>
  </si>
  <si>
    <t>L0812400</t>
  </si>
  <si>
    <t>The Irishman Single Malt + GB</t>
  </si>
  <si>
    <t>L5962200</t>
  </si>
  <si>
    <t>The Irishman The Harvest</t>
  </si>
  <si>
    <t>L1619900</t>
  </si>
  <si>
    <t>The Macallan 12 Years Double Cask + GB</t>
  </si>
  <si>
    <t>L0823100</t>
  </si>
  <si>
    <t>The Macallan 12 Years Sherry Oak + GB</t>
  </si>
  <si>
    <t>L0823200</t>
  </si>
  <si>
    <t>The Macallan 12 Years Triple Cask + GB</t>
  </si>
  <si>
    <t>L0630100</t>
  </si>
  <si>
    <t>The Naked Malt</t>
  </si>
  <si>
    <t>L6115100</t>
  </si>
  <si>
    <t>The Naked Malt Lighten Up + GB</t>
  </si>
  <si>
    <t>L5956200</t>
  </si>
  <si>
    <t>L5092900</t>
  </si>
  <si>
    <t>The Observatory 20 Years + GB</t>
  </si>
  <si>
    <t>L2167500</t>
  </si>
  <si>
    <t>The Sexton</t>
  </si>
  <si>
    <t>L0843900</t>
  </si>
  <si>
    <t>The Singleton of Dufftown 12 Years</t>
  </si>
  <si>
    <t>L5924100</t>
  </si>
  <si>
    <t>The Singleton Of Dufftown 12 Years + GB</t>
  </si>
  <si>
    <t>L5276600</t>
  </si>
  <si>
    <t>The Singleton Of Dufftown 15 Years</t>
  </si>
  <si>
    <t>L1629200</t>
  </si>
  <si>
    <t>The Singleton of Dufftown 15 Years + GB</t>
  </si>
  <si>
    <t>L0843300</t>
  </si>
  <si>
    <t>The Singleton Of Dufftown 18 Years + GB</t>
  </si>
  <si>
    <t>L2168900</t>
  </si>
  <si>
    <t>Three Scottish Brothers 20 Years</t>
  </si>
  <si>
    <t>L0858300</t>
  </si>
  <si>
    <t>Tito's Vodka</t>
  </si>
  <si>
    <t>L2169500</t>
  </si>
  <si>
    <t>Togouchi Blended Premium + GB</t>
  </si>
  <si>
    <t>L1634600</t>
  </si>
  <si>
    <t>Togouchi Kiwami + GB</t>
  </si>
  <si>
    <t>L0850200</t>
  </si>
  <si>
    <t>Tomintoul 10 Years + GB</t>
  </si>
  <si>
    <t>L5595400</t>
  </si>
  <si>
    <t>Tomintoul 12 Years Oloroso + GB</t>
  </si>
  <si>
    <t>L5565800</t>
  </si>
  <si>
    <t>Tomintoul Speyside Glenlivet Peaty + GB</t>
  </si>
  <si>
    <t>L1640500</t>
  </si>
  <si>
    <t>Tomintoul Tlath + GB</t>
  </si>
  <si>
    <t>L0597000</t>
  </si>
  <si>
    <t>Torres 20 Years + GB</t>
  </si>
  <si>
    <t>L0691400</t>
  </si>
  <si>
    <t>Tullamore Dew</t>
  </si>
  <si>
    <t>L0690700</t>
  </si>
  <si>
    <t>Tullamore Dew 12 Years + GB</t>
  </si>
  <si>
    <t>L5136300</t>
  </si>
  <si>
    <t>Ukiyo Japanese Blossom Gin</t>
  </si>
  <si>
    <t>L5136400</t>
  </si>
  <si>
    <t>Ukiyo Japanese Rice Vodka</t>
  </si>
  <si>
    <t>L5136500</t>
  </si>
  <si>
    <t>Ukiyo Yuzu Citrus Gin</t>
  </si>
  <si>
    <t>L0598100</t>
  </si>
  <si>
    <t>Unicum Zwack</t>
  </si>
  <si>
    <t>L0696000</t>
  </si>
  <si>
    <t>Vat 69</t>
  </si>
  <si>
    <t>L0867300</t>
  </si>
  <si>
    <t>Vodquila</t>
  </si>
  <si>
    <t>L5865700</t>
  </si>
  <si>
    <t>Volbeat Seal The Deal</t>
  </si>
  <si>
    <t>Volcan De Mi Cristalino</t>
  </si>
  <si>
    <t>L6037400</t>
  </si>
  <si>
    <t>Volcan De Mi Tierra Blanco</t>
  </si>
  <si>
    <t>L5283500</t>
  </si>
  <si>
    <t>L0863100</t>
  </si>
  <si>
    <t>Wenneker Elderflower Dry Gin</t>
  </si>
  <si>
    <t>L0698300</t>
  </si>
  <si>
    <t>William Lawson's</t>
  </si>
  <si>
    <t>L5450100</t>
  </si>
  <si>
    <t>Writers Tears</t>
  </si>
  <si>
    <t>L1668700</t>
  </si>
  <si>
    <t>Xellent Edelweiss Gin</t>
  </si>
  <si>
    <t>L0302400</t>
  </si>
  <si>
    <t>Zacapa 23 Centenario Gran Reserva + GB</t>
  </si>
  <si>
    <t>L5858100</t>
  </si>
  <si>
    <t>Zacapa La Armonia Heavenly Cask + GB</t>
  </si>
  <si>
    <t>L1017800</t>
  </si>
  <si>
    <t>Zacapa XO + GB</t>
  </si>
  <si>
    <t>L0139100</t>
  </si>
  <si>
    <t>Zoladkowa Gorzka De Luxe</t>
  </si>
  <si>
    <t>L1018500</t>
  </si>
  <si>
    <t>Zubrowka Bison Grass</t>
  </si>
  <si>
    <t>L1107500</t>
  </si>
  <si>
    <t>Zuidam Dutch Courage Old Tom's Gin</t>
  </si>
  <si>
    <t>L1933000</t>
  </si>
  <si>
    <t>Zuidam Orange A Base De Cognac</t>
  </si>
  <si>
    <t>L0862800</t>
  </si>
  <si>
    <t>3 Kilos Gold</t>
  </si>
  <si>
    <t>L5356900</t>
  </si>
  <si>
    <t>5 O'Clock Jungle Whiskey</t>
  </si>
  <si>
    <t>L5426000</t>
  </si>
  <si>
    <t>5 O'Clock Jungle Whiskey NRF</t>
  </si>
  <si>
    <t>L0513600</t>
  </si>
  <si>
    <t>L0711000</t>
  </si>
  <si>
    <t>L0876500</t>
  </si>
  <si>
    <t>L5924000</t>
  </si>
  <si>
    <t>Amsterdam Republic Premium Vodka</t>
  </si>
  <si>
    <t>L1195500</t>
  </si>
  <si>
    <t>Ardmore Traditional Peated + GB</t>
  </si>
  <si>
    <t>L1964400</t>
  </si>
  <si>
    <t>Badel Sljivovica</t>
  </si>
  <si>
    <t>L0606100</t>
  </si>
  <si>
    <t>L1008900</t>
  </si>
  <si>
    <t>L5463900</t>
  </si>
  <si>
    <t>L5846000</t>
  </si>
  <si>
    <t>Belvedere Organic Infusions Blackberry &amp; Lemongrass</t>
  </si>
  <si>
    <t>L5845900</t>
  </si>
  <si>
    <t>L5845800</t>
  </si>
  <si>
    <t>L0613800</t>
  </si>
  <si>
    <t>L1874900</t>
  </si>
  <si>
    <t>L0897800</t>
  </si>
  <si>
    <t>L5161400</t>
  </si>
  <si>
    <t>Botran 15 Years</t>
  </si>
  <si>
    <t>L1874000</t>
  </si>
  <si>
    <t>L0931500</t>
  </si>
  <si>
    <t>L5681200</t>
  </si>
  <si>
    <t>Bushmills Black Bush 80/20 + GB</t>
  </si>
  <si>
    <t>L1431200</t>
  </si>
  <si>
    <t>Bushmills Steamship Bourbon Cask + GB</t>
  </si>
  <si>
    <t>L0528700</t>
  </si>
  <si>
    <t>L5883400</t>
  </si>
  <si>
    <t>Clan Mcgregor</t>
  </si>
  <si>
    <t>Clement Blanc</t>
  </si>
  <si>
    <t>L0474600</t>
  </si>
  <si>
    <t>L0119300</t>
  </si>
  <si>
    <t>Czar Peter Vodka</t>
  </si>
  <si>
    <t>L0922400</t>
  </si>
  <si>
    <t>L0631800</t>
  </si>
  <si>
    <t>L0924500</t>
  </si>
  <si>
    <t>L6073200</t>
  </si>
  <si>
    <t>L0633200</t>
  </si>
  <si>
    <t>L0763200</t>
  </si>
  <si>
    <t>Glen Deveron 16 Years + GB</t>
  </si>
  <si>
    <t>L0674100</t>
  </si>
  <si>
    <t>L0695600</t>
  </si>
  <si>
    <t>L0773400</t>
  </si>
  <si>
    <t>L1512300</t>
  </si>
  <si>
    <t>Glenmorangie 10 Years + GB</t>
  </si>
  <si>
    <t>L0635000</t>
  </si>
  <si>
    <t>L0937800</t>
  </si>
  <si>
    <t>L0938700</t>
  </si>
  <si>
    <t>L0942400</t>
  </si>
  <si>
    <t>L0942900</t>
  </si>
  <si>
    <t>L0943900</t>
  </si>
  <si>
    <t>L1375800</t>
  </si>
  <si>
    <t>L1374600</t>
  </si>
  <si>
    <t>Hine H VSOP</t>
  </si>
  <si>
    <t>L0125500</t>
  </si>
  <si>
    <t>Iganoff Green</t>
  </si>
  <si>
    <t>L2482600</t>
  </si>
  <si>
    <t>Islay Mist Original Peated Blend</t>
  </si>
  <si>
    <t>L2067900</t>
  </si>
  <si>
    <t>L2572400</t>
  </si>
  <si>
    <t>L5243600</t>
  </si>
  <si>
    <t>L0649600</t>
  </si>
  <si>
    <t>L0644500</t>
  </si>
  <si>
    <t>L0641600</t>
  </si>
  <si>
    <t>L0642100</t>
  </si>
  <si>
    <t>L0642300</t>
  </si>
  <si>
    <t>L0647600</t>
  </si>
  <si>
    <t>L2631500</t>
  </si>
  <si>
    <t>Johnnie Walker Black Label + GB</t>
  </si>
  <si>
    <t>L0664100</t>
  </si>
  <si>
    <t>L1660000</t>
  </si>
  <si>
    <t>L0669000</t>
  </si>
  <si>
    <t>L2084800</t>
  </si>
  <si>
    <t>L0657100</t>
  </si>
  <si>
    <t>L5985700</t>
  </si>
  <si>
    <t>Kraken Black Spiced + Glass</t>
  </si>
  <si>
    <t>L1740500</t>
  </si>
  <si>
    <t>L0673300</t>
  </si>
  <si>
    <t>L5152000</t>
  </si>
  <si>
    <t>L0833200</t>
  </si>
  <si>
    <t>L0959700</t>
  </si>
  <si>
    <t>L2112100</t>
  </si>
  <si>
    <t>Nemiroff De Luxe</t>
  </si>
  <si>
    <t>L0965200</t>
  </si>
  <si>
    <t>L0513200</t>
  </si>
  <si>
    <t>O.P. Anderson</t>
  </si>
  <si>
    <t>L5932000</t>
  </si>
  <si>
    <t>Oginski Vodka</t>
  </si>
  <si>
    <t>L1575700</t>
  </si>
  <si>
    <t>Old Pulteney 10 Years + GB</t>
  </si>
  <si>
    <t>L0684100</t>
  </si>
  <si>
    <t>L0974500</t>
  </si>
  <si>
    <t>L5632000</t>
  </si>
  <si>
    <t>Patron Silver DF-Label + GB</t>
  </si>
  <si>
    <t>L5912800</t>
  </si>
  <si>
    <t>L2488200</t>
  </si>
  <si>
    <t>L5896900</t>
  </si>
  <si>
    <t>Puerto de Indias Black Gin</t>
  </si>
  <si>
    <t>L1768000</t>
  </si>
  <si>
    <t>Roberto Cavalli Black Edition</t>
  </si>
  <si>
    <t>L1767800</t>
  </si>
  <si>
    <t>Roberto Cavalli Gold Edition</t>
  </si>
  <si>
    <t>L2135800</t>
  </si>
  <si>
    <t>Rutte Koornwijn Stenen Kruik</t>
  </si>
  <si>
    <t>L0337600</t>
  </si>
  <si>
    <t>Sir Edward's</t>
  </si>
  <si>
    <t>L1318400</t>
  </si>
  <si>
    <t>Stroh Jagertee</t>
  </si>
  <si>
    <t>L1636500</t>
  </si>
  <si>
    <t>Tomatin 8 Years + GB</t>
  </si>
  <si>
    <t>L1349500</t>
  </si>
  <si>
    <t>Torres 15 Years + GB</t>
  </si>
  <si>
    <t>L0691600</t>
  </si>
  <si>
    <t>L2174100</t>
  </si>
  <si>
    <t>L5332200</t>
  </si>
  <si>
    <t>Van Gogh Classic</t>
  </si>
  <si>
    <t>L1894000</t>
  </si>
  <si>
    <t>Vana Tallinn</t>
  </si>
  <si>
    <t>L1239000</t>
  </si>
  <si>
    <t>Vecchia Romagna - Etichetta Nera</t>
  </si>
  <si>
    <t>L0698700</t>
  </si>
  <si>
    <t>L0302500</t>
  </si>
  <si>
    <t>Zacapa 23 Years Centenario Gran Reserva + GB</t>
  </si>
  <si>
    <t>L1018800</t>
  </si>
  <si>
    <t>L1159800</t>
  </si>
  <si>
    <t>L1169300</t>
  </si>
  <si>
    <t>Akashi Meisei Blended + GB</t>
  </si>
  <si>
    <t>L0512400</t>
  </si>
  <si>
    <t>Akashi Red Blended</t>
  </si>
  <si>
    <t>L0512300</t>
  </si>
  <si>
    <t>Akashi White Oak Blended + GB</t>
  </si>
  <si>
    <t>L2378900</t>
  </si>
  <si>
    <t>Bacardi Discovery Pack (3x10CL Bottles)</t>
  </si>
  <si>
    <t>L0264500</t>
  </si>
  <si>
    <t>L1008700</t>
  </si>
  <si>
    <t>L0897300</t>
  </si>
  <si>
    <t>L5112300</t>
  </si>
  <si>
    <t>Bonpland Blanc VSOP</t>
  </si>
  <si>
    <t>L5112400</t>
  </si>
  <si>
    <t>Bonpland Rouge VSOP</t>
  </si>
  <si>
    <t>L5468800</t>
  </si>
  <si>
    <t>Bonpland XO</t>
  </si>
  <si>
    <t>L1985700</t>
  </si>
  <si>
    <t>L5868800</t>
  </si>
  <si>
    <t>Butterfly Cannon Blue</t>
  </si>
  <si>
    <t>L5868600</t>
  </si>
  <si>
    <t>Butterfly Cannon Cristalino</t>
  </si>
  <si>
    <t>L5947000</t>
  </si>
  <si>
    <t>Chivas Regal 30 Years Royal Salute Key To The Kingdom + GB</t>
  </si>
  <si>
    <t>L5202100</t>
  </si>
  <si>
    <t>Chivas Regal Miniature Giftset</t>
  </si>
  <si>
    <t>L0903700</t>
  </si>
  <si>
    <t>L0899700</t>
  </si>
  <si>
    <t>Copperhead Gin</t>
  </si>
  <si>
    <t>L0899900</t>
  </si>
  <si>
    <t>Copperhead The Gibson Edition</t>
  </si>
  <si>
    <t>De Kuyper Kirsch</t>
  </si>
  <si>
    <t>L0916500</t>
  </si>
  <si>
    <t>L5631800</t>
  </si>
  <si>
    <t>Dewar's Variety Collection</t>
  </si>
  <si>
    <t>L0922100</t>
  </si>
  <si>
    <t>L0631600</t>
  </si>
  <si>
    <t>L0095200</t>
  </si>
  <si>
    <t>Glen Scanlan Finest Scotch</t>
  </si>
  <si>
    <t>L0695500</t>
  </si>
  <si>
    <t>L0937500</t>
  </si>
  <si>
    <t>L0554600</t>
  </si>
  <si>
    <t>L5217600</t>
  </si>
  <si>
    <t>L0661200</t>
  </si>
  <si>
    <t>L5034500</t>
  </si>
  <si>
    <t>L2084900</t>
  </si>
  <si>
    <t>L5999500</t>
  </si>
  <si>
    <t>Karneval Vodka</t>
  </si>
  <si>
    <t>L5664800</t>
  </si>
  <si>
    <t>KISS Cold Gin New York Style</t>
  </si>
  <si>
    <t>L0672600</t>
  </si>
  <si>
    <t>Koval Millet Organic</t>
  </si>
  <si>
    <t>L0672700</t>
  </si>
  <si>
    <t>Koval Rye</t>
  </si>
  <si>
    <t>L5102000</t>
  </si>
  <si>
    <t>Mamont Blood Bitter</t>
  </si>
  <si>
    <t>L0962800</t>
  </si>
  <si>
    <t>Marula Gin</t>
  </si>
  <si>
    <t>L1746600</t>
  </si>
  <si>
    <t>Mermaid Tears Vodka</t>
  </si>
  <si>
    <t>L6095900</t>
  </si>
  <si>
    <t>Meukow VS</t>
  </si>
  <si>
    <t>L5054700</t>
  </si>
  <si>
    <t>L5045200</t>
  </si>
  <si>
    <t>L2485900</t>
  </si>
  <si>
    <t>MystiQanna Gin</t>
  </si>
  <si>
    <t>L0080400</t>
  </si>
  <si>
    <t>Ocho Reposado</t>
  </si>
  <si>
    <t>L5543900</t>
  </si>
  <si>
    <t>Ocho Tequila Blanco Muestra No. 8</t>
  </si>
  <si>
    <t>L0367700</t>
  </si>
  <si>
    <t>Panda Gin</t>
  </si>
  <si>
    <t>L2367700</t>
  </si>
  <si>
    <t>Ron Piet 10 Years</t>
  </si>
  <si>
    <t>L1775500</t>
  </si>
  <si>
    <t>L1318300</t>
  </si>
  <si>
    <t>L5120000</t>
  </si>
  <si>
    <t>The Mosel Distillers Alte Haselnuss</t>
  </si>
  <si>
    <t>L5120400</t>
  </si>
  <si>
    <t>The Mosel Distillers Marille Royal</t>
  </si>
  <si>
    <t>L5120100</t>
  </si>
  <si>
    <t>The Mosel Distillers Schönberger Zwetschge</t>
  </si>
  <si>
    <t>L1118500</t>
  </si>
  <si>
    <t>Unicorn Tears Raspberry Gin</t>
  </si>
  <si>
    <t>L2174200</t>
  </si>
  <si>
    <t>L5360100</t>
  </si>
  <si>
    <t>World Favourite Whiskies (4x5cl bottles)</t>
  </si>
  <si>
    <t>Yamazakura Blended + GB</t>
  </si>
  <si>
    <t>L5300000</t>
  </si>
  <si>
    <t>Zuidam Honing Whisky</t>
  </si>
  <si>
    <t>L5590300</t>
  </si>
  <si>
    <t>Adamus Organic Dry Gin Magnum + GB</t>
  </si>
  <si>
    <t>L5724400</t>
  </si>
  <si>
    <t>Adamus Organic Dry Gin Magnum White</t>
  </si>
  <si>
    <t>L5420700</t>
  </si>
  <si>
    <t>Ardbeg Monster Of Smoke + GB</t>
  </si>
  <si>
    <t>L5044300</t>
  </si>
  <si>
    <t>Bacardi Carta Blanca</t>
  </si>
  <si>
    <t>L0883200</t>
  </si>
  <si>
    <t>L5503500</t>
  </si>
  <si>
    <t>Bacardi Razz</t>
  </si>
  <si>
    <t>L2248700</t>
  </si>
  <si>
    <t>Bacardi Spiced</t>
  </si>
  <si>
    <t>L0468200</t>
  </si>
  <si>
    <t>Baileys Irish Cream</t>
  </si>
  <si>
    <t>L5258100</t>
  </si>
  <si>
    <t>Bathtub Gin</t>
  </si>
  <si>
    <t>L2422500</t>
  </si>
  <si>
    <t>Black Tomato Gin</t>
  </si>
  <si>
    <t>L1173000</t>
  </si>
  <si>
    <t>Boswandeling</t>
  </si>
  <si>
    <t>L1847000</t>
  </si>
  <si>
    <t>Captain Morgan Spiced Barrel Bottle</t>
  </si>
  <si>
    <t>L5117100</t>
  </si>
  <si>
    <t>Choya Hokkan Daiginjo Honjirusi Sakura Sake</t>
  </si>
  <si>
    <t>L5117200</t>
  </si>
  <si>
    <t>Choya Hokkan Ougyoku Junmai</t>
  </si>
  <si>
    <t>L5638500</t>
  </si>
  <si>
    <t>Choya Kokuto Umeshu</t>
  </si>
  <si>
    <t>L6101300</t>
  </si>
  <si>
    <t>Companero Miniature Taste Set + GB</t>
  </si>
  <si>
    <t>Eristoff Vodka</t>
  </si>
  <si>
    <t>L2219300</t>
  </si>
  <si>
    <t>Hendrick's Gin</t>
  </si>
  <si>
    <t>L0488500</t>
  </si>
  <si>
    <t>Jagermeister</t>
  </si>
  <si>
    <t>L2400400</t>
  </si>
  <si>
    <t>L0213500</t>
  </si>
  <si>
    <t>L5565200</t>
  </si>
  <si>
    <t>Jagermeister Giftpack + 2 Shotglasses + Pump</t>
  </si>
  <si>
    <t>L1921400</t>
  </si>
  <si>
    <t>Malibu</t>
  </si>
  <si>
    <t>L0436400</t>
  </si>
  <si>
    <t>Martini Asti Spumante</t>
  </si>
  <si>
    <t>L5962000</t>
  </si>
  <si>
    <t>Opihr Gin Mixed Flavoured Mini Set (3x5CL)</t>
  </si>
  <si>
    <t>L5480800</t>
  </si>
  <si>
    <t>Poliakov Vodka</t>
  </si>
  <si>
    <t>L6101200</t>
  </si>
  <si>
    <t>Rum Calendar 24 Days Of Rum Blue Edition +2 Glasses</t>
  </si>
  <si>
    <t>L5831000</t>
  </si>
  <si>
    <t>Rum Calendar 24 Days Of Rum Green Edition + 2 Glasses</t>
  </si>
  <si>
    <t>L5212900</t>
  </si>
  <si>
    <t>Rushkinoff Caramel</t>
  </si>
  <si>
    <t>L0452300</t>
  </si>
  <si>
    <t>Sangria Don Simon</t>
  </si>
  <si>
    <t>L6081000</t>
  </si>
  <si>
    <t>Sierra Blanco</t>
  </si>
  <si>
    <t>L2552300</t>
  </si>
  <si>
    <t>Smirnoff Red</t>
  </si>
  <si>
    <t>L5144500</t>
  </si>
  <si>
    <t>Sonnema Berenburg &amp; Cola</t>
  </si>
  <si>
    <t>L2144900</t>
  </si>
  <si>
    <t>Southern Comfort</t>
  </si>
  <si>
    <t>L5109100</t>
  </si>
  <si>
    <t>Teeling Trinity Giftset</t>
  </si>
  <si>
    <t>L1929200</t>
  </si>
  <si>
    <t>Tia Maria</t>
  </si>
  <si>
    <t>L1894800</t>
  </si>
  <si>
    <t>Van Wees Hemel Op Aarde</t>
  </si>
  <si>
    <t>L5929700</t>
  </si>
  <si>
    <t>Yuste Manzanilla 'La Kika' + GB</t>
  </si>
  <si>
    <t>L0706700</t>
  </si>
  <si>
    <t>Aberlour 18 Years + GB</t>
  </si>
  <si>
    <t>L5678900</t>
  </si>
  <si>
    <t>Akashi 5 Years Bourbon Barrel + GB</t>
  </si>
  <si>
    <t>L5172800</t>
  </si>
  <si>
    <t>Akashi 5 Years Red Wine Cask + GB</t>
  </si>
  <si>
    <t>L1170200</t>
  </si>
  <si>
    <t>Akashi Japanese Single Malt + GB</t>
  </si>
  <si>
    <t>L0235000</t>
  </si>
  <si>
    <t>Alpenschnaps Steinbeisser Obstler</t>
  </si>
  <si>
    <t>L5997700</t>
  </si>
  <si>
    <t>Aluna Coconut Coffee</t>
  </si>
  <si>
    <t>L0321100</t>
  </si>
  <si>
    <t>Baileys Chocolat Luxe</t>
  </si>
  <si>
    <t>L0329100</t>
  </si>
  <si>
    <t>Bakers Best Genever</t>
  </si>
  <si>
    <t>L5178100</t>
  </si>
  <si>
    <t>Bandoeng 22 Pandan Liqueur</t>
  </si>
  <si>
    <t>L0862600</t>
  </si>
  <si>
    <t>L1974500</t>
  </si>
  <si>
    <t>Bokma Jong Vierkant</t>
  </si>
  <si>
    <t>L1974600</t>
  </si>
  <si>
    <t>Bokma Oude Jenever - Vierkant</t>
  </si>
  <si>
    <t>Bols Corenwijn</t>
  </si>
  <si>
    <t>L0522500</t>
  </si>
  <si>
    <t>Bols Goldstrike</t>
  </si>
  <si>
    <t>L1977100</t>
  </si>
  <si>
    <t>Bols Jonge Jenever</t>
  </si>
  <si>
    <t>L0524100</t>
  </si>
  <si>
    <t>Bols Silverstrike</t>
  </si>
  <si>
    <t>L1977300</t>
  </si>
  <si>
    <t>Bols Zeer Oude Genever</t>
  </si>
  <si>
    <t>L5105900</t>
  </si>
  <si>
    <t>Bonpland 14 Years XO St. Lucia Distillers + GB</t>
  </si>
  <si>
    <t>L5733700</t>
  </si>
  <si>
    <t>Bonpland Suave Rum &amp; Grape + GB</t>
  </si>
  <si>
    <t>L1978900</t>
  </si>
  <si>
    <t>Boomsma Bramen</t>
  </si>
  <si>
    <t>L1979700</t>
  </si>
  <si>
    <t>Boomsma Jong</t>
  </si>
  <si>
    <t>L2538900</t>
  </si>
  <si>
    <t>Boomsma Koffielikeur</t>
  </si>
  <si>
    <t>L1979800</t>
  </si>
  <si>
    <t>Boomsma Vlierbessen</t>
  </si>
  <si>
    <t>L1319500</t>
  </si>
  <si>
    <t>Bottega Pistacchio</t>
  </si>
  <si>
    <t>L5552900</t>
  </si>
  <si>
    <t>Caleno Dark &amp; Spicy</t>
  </si>
  <si>
    <t>L5553000</t>
  </si>
  <si>
    <t>Caleno Light &amp; Zesty</t>
  </si>
  <si>
    <t>L0060500</t>
  </si>
  <si>
    <t>Caramol Caramel Flavoured Vodka</t>
  </si>
  <si>
    <t>L0472600</t>
  </si>
  <si>
    <t>Chambord Liqueur Royale de France</t>
  </si>
  <si>
    <t>L1319800</t>
  </si>
  <si>
    <t>Chambord Liqueur Royale de France + GB</t>
  </si>
  <si>
    <t>L5746400</t>
  </si>
  <si>
    <t>Chopin Chocolate Liqueur + GB</t>
  </si>
  <si>
    <t>L2255200</t>
  </si>
  <si>
    <t>Chopin Sea Salt Caramel Liqueur + GB</t>
  </si>
  <si>
    <t>L5200100</t>
  </si>
  <si>
    <t>Citadelle Old Tom No Mistake + GB</t>
  </si>
  <si>
    <t>L1992200</t>
  </si>
  <si>
    <t>Coebergh Classic Bessen</t>
  </si>
  <si>
    <t>L1708800</t>
  </si>
  <si>
    <t>Copperhead Black Edition</t>
  </si>
  <si>
    <t>L5455600</t>
  </si>
  <si>
    <t>Copperhead Non Alcoholic</t>
  </si>
  <si>
    <t>L6063800</t>
  </si>
  <si>
    <t>Copperhead Scarfes Bar Edition</t>
  </si>
  <si>
    <t>L5641400</t>
  </si>
  <si>
    <t>Darkness 12 Years Ten Bourbon + GB</t>
  </si>
  <si>
    <t>L5641600</t>
  </si>
  <si>
    <t>Darkness 14 Years Dalmore</t>
  </si>
  <si>
    <t>L5641200</t>
  </si>
  <si>
    <t>Darkness 16 Years Whitlaw + GB</t>
  </si>
  <si>
    <t>L5621700</t>
  </si>
  <si>
    <t>Dewar's 21 Years Double Double Aged + GB</t>
  </si>
  <si>
    <t>L5413100</t>
  </si>
  <si>
    <t>Dewar's 27 Years Double Double Aged + GB</t>
  </si>
  <si>
    <t>L2256600</t>
  </si>
  <si>
    <t>DiGusti Limoncello</t>
  </si>
  <si>
    <t>L2546000</t>
  </si>
  <si>
    <t>Dik &amp; Schil Bakkie Pleur Koffielikeur</t>
  </si>
  <si>
    <t>L2542000</t>
  </si>
  <si>
    <t>Dik &amp; Schil Orangecello</t>
  </si>
  <si>
    <t>L0465600</t>
  </si>
  <si>
    <t>Disaronno Originale</t>
  </si>
  <si>
    <t>Dolfi Frais De Bois</t>
  </si>
  <si>
    <t>L5019300</t>
  </si>
  <si>
    <t>Drumshanbo Gunpowder</t>
  </si>
  <si>
    <t>L0322600</t>
  </si>
  <si>
    <t>Drunken Monkey Limoncello</t>
  </si>
  <si>
    <t>L6087300</t>
  </si>
  <si>
    <t>Drunken Monkey Orangecello</t>
  </si>
  <si>
    <t>L0918800</t>
  </si>
  <si>
    <t>Edinburgh Gin Elderflower Liqueur</t>
  </si>
  <si>
    <t>L0919000</t>
  </si>
  <si>
    <t>Edinburgh Gin Raspberry Liqueur</t>
  </si>
  <si>
    <t>L1217100</t>
  </si>
  <si>
    <t>Edinburgh Gin Rhubarb &amp; Ginger Liqueur</t>
  </si>
  <si>
    <t>L0069800</t>
  </si>
  <si>
    <t>Eliterna Boerenjongens</t>
  </si>
  <si>
    <t>L5607900</t>
  </si>
  <si>
    <t>Engine Pure Organic Gin</t>
  </si>
  <si>
    <t>L5704600</t>
  </si>
  <si>
    <t>Engine Pure Organic Gin + 2 Metal Cups</t>
  </si>
  <si>
    <t>L0923900</t>
  </si>
  <si>
    <t>Filliers Dry Gin 28</t>
  </si>
  <si>
    <t>L5569500</t>
  </si>
  <si>
    <t>Fino Imperial 30 Years Sherry Amontillado V.O.R.S. + GB</t>
  </si>
  <si>
    <t>L0046500</t>
  </si>
  <si>
    <t>Fiorito Limoncello</t>
  </si>
  <si>
    <t>L1915000</t>
  </si>
  <si>
    <t>Galliano L'Autentico</t>
  </si>
  <si>
    <t>L0483600</t>
  </si>
  <si>
    <t>Galliano Vanilla</t>
  </si>
  <si>
    <t>L1730800</t>
  </si>
  <si>
    <t>Harahorn Norwegian Gin</t>
  </si>
  <si>
    <t>L0942200</t>
  </si>
  <si>
    <t>Hermit Dutch Coastal Gin</t>
  </si>
  <si>
    <t>L2063000</t>
  </si>
  <si>
    <t>Hooghoudt Jong</t>
  </si>
  <si>
    <t>L5332400</t>
  </si>
  <si>
    <t>Horse With No Name Bourbon Infused With Habanero + GB</t>
  </si>
  <si>
    <t>L5596400</t>
  </si>
  <si>
    <t>Huckleberry Gin</t>
  </si>
  <si>
    <t>L1330900</t>
  </si>
  <si>
    <t>Irish Velvet Coffee Liqueur</t>
  </si>
  <si>
    <t>L2701500</t>
  </si>
  <si>
    <t>L5370000</t>
  </si>
  <si>
    <t>L2366600</t>
  </si>
  <si>
    <t>Jagermeister Manifest</t>
  </si>
  <si>
    <t>L5103100</t>
  </si>
  <si>
    <t>Kamiki Intense Wood + GB</t>
  </si>
  <si>
    <t>L5457100</t>
  </si>
  <si>
    <t>Kamiki Sakura Wood Finish + GB</t>
  </si>
  <si>
    <t>L2088600</t>
  </si>
  <si>
    <t>Ketel 1 Jong</t>
  </si>
  <si>
    <t>L5607600</t>
  </si>
  <si>
    <t>King's Ginger</t>
  </si>
  <si>
    <t>L0490900</t>
  </si>
  <si>
    <t>Kleiner Feigling Coco Biscuit</t>
  </si>
  <si>
    <t>L2238600</t>
  </si>
  <si>
    <t>Kleiner Feigling Original</t>
  </si>
  <si>
    <t>Knut Hansen + 2 Ceramic Cups</t>
  </si>
  <si>
    <t>L0939600</t>
  </si>
  <si>
    <t>Knut Hansen Dry Gin</t>
  </si>
  <si>
    <t>L5721800</t>
  </si>
  <si>
    <t>Kokoro Gin Yuzu &amp; Ginger</t>
  </si>
  <si>
    <t>L0953100</t>
  </si>
  <si>
    <t>Koval Barreled Gin Organic</t>
  </si>
  <si>
    <t>L0672400</t>
  </si>
  <si>
    <t>Koval Bourbon Organic</t>
  </si>
  <si>
    <t>L1740300</t>
  </si>
  <si>
    <t>Koval Cranberry Liqueur</t>
  </si>
  <si>
    <t>L0953200</t>
  </si>
  <si>
    <t>Koval Dry Gin</t>
  </si>
  <si>
    <t>L0672500</t>
  </si>
  <si>
    <t>Koval Four Grain Organic</t>
  </si>
  <si>
    <t>L1338100</t>
  </si>
  <si>
    <t>Kuemmerling Liqueur</t>
  </si>
  <si>
    <t>L5130800</t>
  </si>
  <si>
    <t>Luxardo Maraschino Original NRF</t>
  </si>
  <si>
    <t>L5862600</t>
  </si>
  <si>
    <t>Mackmyra Ambassador + GB</t>
  </si>
  <si>
    <t>L5077000</t>
  </si>
  <si>
    <t>Mackmyra Expedition + GB</t>
  </si>
  <si>
    <t>L0863500</t>
  </si>
  <si>
    <t>Monkey 47</t>
  </si>
  <si>
    <t>L2452300</t>
  </si>
  <si>
    <t>Monkey 47 Distiller's Cut 2019 + GB</t>
  </si>
  <si>
    <t>L5684100</t>
  </si>
  <si>
    <t>Monkey 47 Experimentum Serie Bitterbal + GB</t>
  </si>
  <si>
    <t>L0863600</t>
  </si>
  <si>
    <t>Monkey 47 Sloe Gin</t>
  </si>
  <si>
    <t>L0498800</t>
  </si>
  <si>
    <t>Mozart Dark Chocolate</t>
  </si>
  <si>
    <t>L1338900</t>
  </si>
  <si>
    <t>Mozart Gold Chocolate</t>
  </si>
  <si>
    <t>L1338700</t>
  </si>
  <si>
    <t>Mozart White Chocolate</t>
  </si>
  <si>
    <t>L0499000</t>
  </si>
  <si>
    <t>Mozart White Chocolate Strawberry</t>
  </si>
  <si>
    <t>L2486100</t>
  </si>
  <si>
    <t>MystiQanna Vodka</t>
  </si>
  <si>
    <t>L5904000</t>
  </si>
  <si>
    <t>L5801400</t>
  </si>
  <si>
    <t>Nikka From The Barrel</t>
  </si>
  <si>
    <t>L0680700</t>
  </si>
  <si>
    <t>Nikka From The Barrel + GB</t>
  </si>
  <si>
    <t>L0326100</t>
  </si>
  <si>
    <t>Old Pulteney Stroma Whisky Liqueur</t>
  </si>
  <si>
    <t>L0388100</t>
  </si>
  <si>
    <t>Oslo Gin</t>
  </si>
  <si>
    <t>L1333800</t>
  </si>
  <si>
    <t>Pallini Limoncello</t>
  </si>
  <si>
    <t>L2317600</t>
  </si>
  <si>
    <t>Pickering's Sloe Gin</t>
  </si>
  <si>
    <t>L5236400</t>
  </si>
  <si>
    <t>Portofino Dry Gin</t>
  </si>
  <si>
    <t>L5561600</t>
  </si>
  <si>
    <t>Rammstein Gin Navy Strength</t>
  </si>
  <si>
    <t>L0406200</t>
  </si>
  <si>
    <t>Rammsteiner Pilsner</t>
  </si>
  <si>
    <t>L0056400</t>
  </si>
  <si>
    <t>Sayah Spekkoeklikeur</t>
  </si>
  <si>
    <t>L2292800</t>
  </si>
  <si>
    <t>Sheridan's Double</t>
  </si>
  <si>
    <t>Sierra Reposado</t>
  </si>
  <si>
    <t>L1414200</t>
  </si>
  <si>
    <t>Sierra Silver</t>
  </si>
  <si>
    <t>L5132900</t>
  </si>
  <si>
    <t>Sipsmith Sloe Gin</t>
  </si>
  <si>
    <t>L0992600</t>
  </si>
  <si>
    <t>L1916500</t>
  </si>
  <si>
    <t>St Germain Elderflower</t>
  </si>
  <si>
    <t>L5164900</t>
  </si>
  <si>
    <t>Stork Club Smoky Rye</t>
  </si>
  <si>
    <t>L2410000</t>
  </si>
  <si>
    <t>Stroh 80</t>
  </si>
  <si>
    <t>L0988700</t>
  </si>
  <si>
    <t>L1332400</t>
  </si>
  <si>
    <t>Tabu Strong</t>
  </si>
  <si>
    <t>L5682600</t>
  </si>
  <si>
    <t>Tails Cocktails Gin Gimlet</t>
  </si>
  <si>
    <t>L5643600</t>
  </si>
  <si>
    <t>Tails Cocktails Passion Fruit Martini</t>
  </si>
  <si>
    <t>L5994300</t>
  </si>
  <si>
    <t>Tails Cocktails Raspberrry Cosmopolitan</t>
  </si>
  <si>
    <t>L5643500</t>
  </si>
  <si>
    <t>Tails Cocktails Rum Daiquiri</t>
  </si>
  <si>
    <t>L5682500</t>
  </si>
  <si>
    <t>Tails Cocktails Whiskey Sour</t>
  </si>
  <si>
    <t>L5814600</t>
  </si>
  <si>
    <t>The Gin Box by World Class Gin (10x50ml)</t>
  </si>
  <si>
    <t>L5856300</t>
  </si>
  <si>
    <t>L5810500</t>
  </si>
  <si>
    <t>L5638000</t>
  </si>
  <si>
    <t>The Wild Geese Irish Honey</t>
  </si>
  <si>
    <t>L1239700</t>
  </si>
  <si>
    <t>V2C Orange Dutch Dry Gin</t>
  </si>
  <si>
    <t>L5569400</t>
  </si>
  <si>
    <t>Victoria Regina 30 Years Sherry Olorosso V.O.R.S. + GB</t>
  </si>
  <si>
    <t>L5569300</t>
  </si>
  <si>
    <t>Vieja Solera 30 Years Sherry Pedro Ximenez V.O.R.S. + GB</t>
  </si>
  <si>
    <t>L1894200</t>
  </si>
  <si>
    <t>Warninks Scharrelaartje</t>
  </si>
  <si>
    <t>L5167900</t>
  </si>
  <si>
    <t>Xante Cognac &amp; Pear</t>
  </si>
  <si>
    <t>L2186600</t>
  </si>
  <si>
    <t>Zuidam 1 Jaar Genever</t>
  </si>
  <si>
    <t>L2187000</t>
  </si>
  <si>
    <t>Zuidam 1 Jaar Korenwijn</t>
  </si>
  <si>
    <t>L2187700</t>
  </si>
  <si>
    <t>Zuidam 3 Jaar Genever</t>
  </si>
  <si>
    <t>L2188200</t>
  </si>
  <si>
    <t>Zuidam 5 Jaar Genever</t>
  </si>
  <si>
    <t>L2188600</t>
  </si>
  <si>
    <t>Zuidam 5 Jaar Korenwijn</t>
  </si>
  <si>
    <t>L0599700</t>
  </si>
  <si>
    <t>Zuidam Jonge Graanjenever</t>
  </si>
  <si>
    <t>L2189000</t>
  </si>
  <si>
    <t>Zuidam Oude Genever</t>
  </si>
  <si>
    <t>L0510100</t>
  </si>
  <si>
    <t>Zwarte Kip Advocaat</t>
  </si>
  <si>
    <t>L2541600</t>
  </si>
  <si>
    <t>3 Kilos Coconut</t>
  </si>
  <si>
    <t>Amaro Montenegro</t>
  </si>
  <si>
    <t>Amarula Cream</t>
  </si>
  <si>
    <t>L1241200</t>
  </si>
  <si>
    <t>L0063800</t>
  </si>
  <si>
    <t>Anker Jonge Jenever</t>
  </si>
  <si>
    <t>L0063700</t>
  </si>
  <si>
    <t>Anker Vieux</t>
  </si>
  <si>
    <t>L0063900</t>
  </si>
  <si>
    <t>Anker Zachte Borrel</t>
  </si>
  <si>
    <t>L1995100</t>
  </si>
  <si>
    <t>Antica Formula Carpano</t>
  </si>
  <si>
    <t>L0514500</t>
  </si>
  <si>
    <t>Aperol</t>
  </si>
  <si>
    <t>Ardbeg 10 Years + GB</t>
  </si>
  <si>
    <t>Ardbeg An OA + GB</t>
  </si>
  <si>
    <t>L5860200</t>
  </si>
  <si>
    <t>Ardbeg Smoketrails The Ultimate Manzanilla Edition</t>
  </si>
  <si>
    <t>L1961900</t>
  </si>
  <si>
    <t>Asbach Uralt</t>
  </si>
  <si>
    <t>L0515800</t>
  </si>
  <si>
    <t>Averna Amaro</t>
  </si>
  <si>
    <t>L0883400</t>
  </si>
  <si>
    <t>L0887300</t>
  </si>
  <si>
    <t>Bacardi Limon</t>
  </si>
  <si>
    <t>L0889500</t>
  </si>
  <si>
    <t>L2248600</t>
  </si>
  <si>
    <t>L1964300</t>
  </si>
  <si>
    <t>Badel Pelinkovac</t>
  </si>
  <si>
    <t>L0468600</t>
  </si>
  <si>
    <t>L0471900</t>
  </si>
  <si>
    <t>Batida De Coco Mangaroca</t>
  </si>
  <si>
    <t>L5736300</t>
  </si>
  <si>
    <t>Benriach 10 Years + GB</t>
  </si>
  <si>
    <t>L5703000</t>
  </si>
  <si>
    <t>Benriach Quarter Cask Classic + GB</t>
  </si>
  <si>
    <t>L0469900</t>
  </si>
  <si>
    <t>Berentzen Apfelkorn</t>
  </si>
  <si>
    <t>L0471600</t>
  </si>
  <si>
    <t>Berliner Luft Pfefferminz Likör</t>
  </si>
  <si>
    <t>Black Velvet Toasted Caramel</t>
  </si>
  <si>
    <t>L0519400</t>
  </si>
  <si>
    <t>Blankenheym Oude</t>
  </si>
  <si>
    <t>L0520100</t>
  </si>
  <si>
    <t>Bokma Jong Rond</t>
  </si>
  <si>
    <t>L0520200</t>
  </si>
  <si>
    <t>L0520300</t>
  </si>
  <si>
    <t>Bokma Oude Jenever - Rond</t>
  </si>
  <si>
    <t>L0520400</t>
  </si>
  <si>
    <t>L0521700</t>
  </si>
  <si>
    <t>L0522800</t>
  </si>
  <si>
    <t>L0898400</t>
  </si>
  <si>
    <t>Bols Vodka</t>
  </si>
  <si>
    <t>L0524900</t>
  </si>
  <si>
    <t>L0526300</t>
  </si>
  <si>
    <t>Boomsma Beerenburg</t>
  </si>
  <si>
    <t>L1979300</t>
  </si>
  <si>
    <t>Boomsma Hagel En Donder Anijslikeur</t>
  </si>
  <si>
    <t>L0526500</t>
  </si>
  <si>
    <t>L0735000</t>
  </si>
  <si>
    <t>Bunnahabhain Cruach Mhona + GB</t>
  </si>
  <si>
    <t>L0735200</t>
  </si>
  <si>
    <t>Bunnahabhain Eirigh Na Greine + GB</t>
  </si>
  <si>
    <t>L1698200</t>
  </si>
  <si>
    <t>Cabo Bay Brown Rum</t>
  </si>
  <si>
    <t>L0535100</t>
  </si>
  <si>
    <t>Campari Bitter</t>
  </si>
  <si>
    <t>L1479100</t>
  </si>
  <si>
    <t>Caol Ila 12 Years + GB</t>
  </si>
  <si>
    <t>L0908400</t>
  </si>
  <si>
    <t>Captain Morgan Spiced</t>
  </si>
  <si>
    <t>L0908900</t>
  </si>
  <si>
    <t>Captain Morgan White</t>
  </si>
  <si>
    <t>L1844700</t>
  </si>
  <si>
    <t>Cayo Grande Club Blanco NRF</t>
  </si>
  <si>
    <t>L1844900</t>
  </si>
  <si>
    <t>Cayo Grande Club Brown NRF</t>
  </si>
  <si>
    <t>L1706800</t>
  </si>
  <si>
    <t>L0533900</t>
  </si>
  <si>
    <t>L1992400</t>
  </si>
  <si>
    <t>Coebergh Kersen</t>
  </si>
  <si>
    <t>L0534100</t>
  </si>
  <si>
    <t>Coebergh Red Fruit</t>
  </si>
  <si>
    <t>L0543100</t>
  </si>
  <si>
    <t>Cynar</t>
  </si>
  <si>
    <t>L2012000</t>
  </si>
  <si>
    <t>De Kuyper Citroenbrandewijn</t>
  </si>
  <si>
    <t>L0546000</t>
  </si>
  <si>
    <t>De Kuyper Dropshot</t>
  </si>
  <si>
    <t>L1850400</t>
  </si>
  <si>
    <t>De Kuyper Rum Punch</t>
  </si>
  <si>
    <t>L0546400</t>
  </si>
  <si>
    <t>De Kuyper Vieux</t>
  </si>
  <si>
    <t>L0466200</t>
  </si>
  <si>
    <t>L0547100</t>
  </si>
  <si>
    <t>Dujardin Vieux</t>
  </si>
  <si>
    <t>L0911500</t>
  </si>
  <si>
    <t>Dynasty Vodka</t>
  </si>
  <si>
    <t>L0287400</t>
  </si>
  <si>
    <t>Earl Brown Dry Gin</t>
  </si>
  <si>
    <t>L5398800</t>
  </si>
  <si>
    <t>Engelsglut Gluhwein</t>
  </si>
  <si>
    <t>L0921400</t>
  </si>
  <si>
    <t>Eristoff Red</t>
  </si>
  <si>
    <t>L0920500</t>
  </si>
  <si>
    <t>Evan Williams</t>
  </si>
  <si>
    <t>Fernet Branca</t>
  </si>
  <si>
    <t>L6065300</t>
  </si>
  <si>
    <t>L5572900</t>
  </si>
  <si>
    <t>L0549100</t>
  </si>
  <si>
    <t>Fernet Branca Menta</t>
  </si>
  <si>
    <t>Finsbury</t>
  </si>
  <si>
    <t>L0929000</t>
  </si>
  <si>
    <t>L6100200</t>
  </si>
  <si>
    <t>Finsbury 47 Platinum Edition</t>
  </si>
  <si>
    <t>L0323100</t>
  </si>
  <si>
    <t>Fisk The Classic</t>
  </si>
  <si>
    <t>L0548700</t>
  </si>
  <si>
    <t>Floryn Citroenbrandewijn</t>
  </si>
  <si>
    <t>L0548800</t>
  </si>
  <si>
    <t>Floryn Jonge Jenever</t>
  </si>
  <si>
    <t>L5923100</t>
  </si>
  <si>
    <t>Get 27</t>
  </si>
  <si>
    <t>L1745500</t>
  </si>
  <si>
    <t>Gin Mare</t>
  </si>
  <si>
    <t>L2316600</t>
  </si>
  <si>
    <t>Gin Mare Capri</t>
  </si>
  <si>
    <t>Glen Grant 18 Years + GB</t>
  </si>
  <si>
    <t>L2042600</t>
  </si>
  <si>
    <t>Glenmorangie 12 Years The Accord + GB</t>
  </si>
  <si>
    <t>L2043000</t>
  </si>
  <si>
    <t>Glenmorangie 14 Years Elementa + GB</t>
  </si>
  <si>
    <t>L2043100</t>
  </si>
  <si>
    <t>Glenmorangie 16 Years Tribute + GB</t>
  </si>
  <si>
    <t>L5525200</t>
  </si>
  <si>
    <t>Goa London Dry Gin NRF</t>
  </si>
  <si>
    <t>L0550500</t>
  </si>
  <si>
    <t>Goblet Jonge Jenever</t>
  </si>
  <si>
    <t>L1722700</t>
  </si>
  <si>
    <t>Gorbatschow</t>
  </si>
  <si>
    <t>L0933400</t>
  </si>
  <si>
    <t>Gordon's Gin</t>
  </si>
  <si>
    <t>L1725800</t>
  </si>
  <si>
    <t>Gordon's Premium Pink</t>
  </si>
  <si>
    <t>L2046200</t>
  </si>
  <si>
    <t>Gorter Beerenburg</t>
  </si>
  <si>
    <t>L2046400</t>
  </si>
  <si>
    <t>Gorter Jonge Jenever</t>
  </si>
  <si>
    <t>L5412600</t>
  </si>
  <si>
    <t>Grand Slam + GB</t>
  </si>
  <si>
    <t>L2050100</t>
  </si>
  <si>
    <t>Grasovka Bison Brand Vodka</t>
  </si>
  <si>
    <t>L5723900</t>
  </si>
  <si>
    <t>Grey Goose Essences Strawberry &amp; Lemongrass</t>
  </si>
  <si>
    <t>L5724000</t>
  </si>
  <si>
    <t>Grey Goose Essences Watermelon &amp; Basil</t>
  </si>
  <si>
    <t>L5724100</t>
  </si>
  <si>
    <t>Grey Goose Essences White Peach &amp; Rosemary</t>
  </si>
  <si>
    <t>L0550800</t>
  </si>
  <si>
    <t>Hartevelt Citroenbrandewijn</t>
  </si>
  <si>
    <t>L2053400</t>
  </si>
  <si>
    <t>Hartevelt Citroenjenever</t>
  </si>
  <si>
    <t>L0550900</t>
  </si>
  <si>
    <t>Hartevelt Jong</t>
  </si>
  <si>
    <t>L0551000</t>
  </si>
  <si>
    <t>Henkes Jong</t>
  </si>
  <si>
    <t>L0551100</t>
  </si>
  <si>
    <t>Henkes Vieux</t>
  </si>
  <si>
    <t>L2062200</t>
  </si>
  <si>
    <t>Hooghoudt Beerenburg</t>
  </si>
  <si>
    <t>L2062300</t>
  </si>
  <si>
    <t>Hooghoudt Bessen</t>
  </si>
  <si>
    <t>L1380200</t>
  </si>
  <si>
    <t>Hooghoudt Citroenbrandewijn</t>
  </si>
  <si>
    <t>L0558800</t>
  </si>
  <si>
    <t>L0559000</t>
  </si>
  <si>
    <t>Hooghoudt Kalmoes Beerenburg</t>
  </si>
  <si>
    <t>L0559400</t>
  </si>
  <si>
    <t>Hooghoudt Vieux</t>
  </si>
  <si>
    <t>L2064500</t>
  </si>
  <si>
    <t>Hooghoudt Zachtbitter</t>
  </si>
  <si>
    <t>L0559600</t>
  </si>
  <si>
    <t>Hoppe Jong</t>
  </si>
  <si>
    <t>L0559900</t>
  </si>
  <si>
    <t>Hoppe Vieux</t>
  </si>
  <si>
    <t>L0125800</t>
  </si>
  <si>
    <t>Iganoff</t>
  </si>
  <si>
    <t>L0125600</t>
  </si>
  <si>
    <t>Iganoff Citron</t>
  </si>
  <si>
    <t>L0486700</t>
  </si>
  <si>
    <t>Irish Mist Honey</t>
  </si>
  <si>
    <t>L0332500</t>
  </si>
  <si>
    <t>Jachtbitter</t>
  </si>
  <si>
    <t>L5170900</t>
  </si>
  <si>
    <t>Jack Daniel's Apple</t>
  </si>
  <si>
    <t>L0650200</t>
  </si>
  <si>
    <t>Jack Daniel's Fire</t>
  </si>
  <si>
    <t>L0652500</t>
  </si>
  <si>
    <t>Jack Daniel's Sinatra Select + GB</t>
  </si>
  <si>
    <t>L5092800</t>
  </si>
  <si>
    <t>L5059600</t>
  </si>
  <si>
    <t>L5946200</t>
  </si>
  <si>
    <t>Jagermeister + 3 Shots Glasses</t>
  </si>
  <si>
    <t>L5531000</t>
  </si>
  <si>
    <t>Jagermeister + Shotglasses</t>
  </si>
  <si>
    <t>Jagermeister Manifest + GB</t>
  </si>
  <si>
    <t>L0487700</t>
  </si>
  <si>
    <t>L5865100</t>
  </si>
  <si>
    <t>Jagermeister NRF</t>
  </si>
  <si>
    <t>L5521300</t>
  </si>
  <si>
    <t>Jagermeister Twinpack + 2 Shots Glasses (2x05L)</t>
  </si>
  <si>
    <t>L5757700</t>
  </si>
  <si>
    <t>Jodhpur</t>
  </si>
  <si>
    <t>L0666500</t>
  </si>
  <si>
    <t>Johnnie Walker Island Green + GB</t>
  </si>
  <si>
    <t>L0536600</t>
  </si>
  <si>
    <t>Jose Cuervo Especial Reposado</t>
  </si>
  <si>
    <t>L1361500</t>
  </si>
  <si>
    <t>Jose Cuervo Especial Silver</t>
  </si>
  <si>
    <t>L0810600</t>
  </si>
  <si>
    <t>Jura The Road + GB</t>
  </si>
  <si>
    <t>L5040100</t>
  </si>
  <si>
    <t>Jura The Sound + GB</t>
  </si>
  <si>
    <t>L5471300</t>
  </si>
  <si>
    <t>Kahlua</t>
  </si>
  <si>
    <t>L0566000</t>
  </si>
  <si>
    <t>Keizerbitter</t>
  </si>
  <si>
    <t>L0566500</t>
  </si>
  <si>
    <t>L1268300</t>
  </si>
  <si>
    <t>Kirsberry Cherry Speciality</t>
  </si>
  <si>
    <t>L0045700</t>
  </si>
  <si>
    <t>Koum Kouat Corfu Likeur</t>
  </si>
  <si>
    <t>L0217800</t>
  </si>
  <si>
    <t>Kruskovac Birnenlikör</t>
  </si>
  <si>
    <t>L0822100</t>
  </si>
  <si>
    <t>Laphroaig PX Cask + GB</t>
  </si>
  <si>
    <t>L0047600</t>
  </si>
  <si>
    <t>Lara Kruskovac</t>
  </si>
  <si>
    <t>L0567300</t>
  </si>
  <si>
    <t>Legner Jenever</t>
  </si>
  <si>
    <t>L0567500</t>
  </si>
  <si>
    <t>Legner Vieux Fine</t>
  </si>
  <si>
    <t>L0493800</t>
  </si>
  <si>
    <t>Licor 43</t>
  </si>
  <si>
    <t>L2097400</t>
  </si>
  <si>
    <t>Licor 43 Horchata</t>
  </si>
  <si>
    <t>L0076400</t>
  </si>
  <si>
    <t>Macieira Portugese Brandy</t>
  </si>
  <si>
    <t>L5379800</t>
  </si>
  <si>
    <t>Maker's Mark</t>
  </si>
  <si>
    <t>L2497100</t>
  </si>
  <si>
    <t>L0496400</t>
  </si>
  <si>
    <t>L0091600</t>
  </si>
  <si>
    <t>Maltky</t>
  </si>
  <si>
    <t>L0436900</t>
  </si>
  <si>
    <t>Martini Bianco</t>
  </si>
  <si>
    <t>L1275300</t>
  </si>
  <si>
    <t>Martini Extra Dry</t>
  </si>
  <si>
    <t>Martini Fiero</t>
  </si>
  <si>
    <t>L0439500</t>
  </si>
  <si>
    <t>Martini Rosso</t>
  </si>
  <si>
    <t>L5242900</t>
  </si>
  <si>
    <t>Mezzodì Caffo</t>
  </si>
  <si>
    <t>L0122000</t>
  </si>
  <si>
    <t>Mil Estrellas Brown</t>
  </si>
  <si>
    <t>L0077100</t>
  </si>
  <si>
    <t>Mispelblom Brandewijn</t>
  </si>
  <si>
    <t>L0077000</t>
  </si>
  <si>
    <t>Mispelblom Vanillebrandewijn</t>
  </si>
  <si>
    <t>L5606600</t>
  </si>
  <si>
    <t>Moet &amp; Chandon Ice Imperial Glass</t>
  </si>
  <si>
    <t>L5574900</t>
  </si>
  <si>
    <t>Mount Gay Black Barrel + GB</t>
  </si>
  <si>
    <t>L0519200</t>
  </si>
  <si>
    <t>Navimer Alcohol Pur Glas</t>
  </si>
  <si>
    <t>L5315400</t>
  </si>
  <si>
    <t>Negrita Dark NRF</t>
  </si>
  <si>
    <t>L5315700</t>
  </si>
  <si>
    <t>Negrita White Signature NRF</t>
  </si>
  <si>
    <t>L5868900</t>
  </si>
  <si>
    <t>No.209 Gin</t>
  </si>
  <si>
    <t>L2266800</t>
  </si>
  <si>
    <t>Nobeltje</t>
  </si>
  <si>
    <t>L0445500</t>
  </si>
  <si>
    <t>Noilly Prat Dry</t>
  </si>
  <si>
    <t>L1750900</t>
  </si>
  <si>
    <t>Old Captain Brown</t>
  </si>
  <si>
    <t>L1751100</t>
  </si>
  <si>
    <t>Old Captain White</t>
  </si>
  <si>
    <t>L1752300</t>
  </si>
  <si>
    <t>L6065800</t>
  </si>
  <si>
    <t>Old Pulteney 13 Years + GB</t>
  </si>
  <si>
    <t>L1576400</t>
  </si>
  <si>
    <t>Old Pulteney 2006 Vintage + GB</t>
  </si>
  <si>
    <t>L0577900</t>
  </si>
  <si>
    <t>Olifant Jong Vierkant</t>
  </si>
  <si>
    <t>L0967300</t>
  </si>
  <si>
    <t>Opihr Oriental Spiced London Dry Gin</t>
  </si>
  <si>
    <t>L0967600</t>
  </si>
  <si>
    <t>Optimum Blanco</t>
  </si>
  <si>
    <t>L5255800</t>
  </si>
  <si>
    <t>Osborne Veterano NRF</t>
  </si>
  <si>
    <t>L0005900</t>
  </si>
  <si>
    <t>Pacific Ricard</t>
  </si>
  <si>
    <t>L0974900</t>
  </si>
  <si>
    <t>Pampero Blanco</t>
  </si>
  <si>
    <t>L0581100</t>
  </si>
  <si>
    <t>Parade Vieux</t>
  </si>
  <si>
    <t>L5655300</t>
  </si>
  <si>
    <t>Pasabahce Monte Carlo Champagne Flute 22,5cl</t>
  </si>
  <si>
    <t>L0502100</t>
  </si>
  <si>
    <t>Passoa The Passion Drink</t>
  </si>
  <si>
    <t>L0583100</t>
  </si>
  <si>
    <t>Pastis 51</t>
  </si>
  <si>
    <t>L0516900</t>
  </si>
  <si>
    <t>Picon Amer</t>
  </si>
  <si>
    <t>L0517100</t>
  </si>
  <si>
    <t>Picon Biere</t>
  </si>
  <si>
    <t>L5343300</t>
  </si>
  <si>
    <t>Picon Club A L'Orange</t>
  </si>
  <si>
    <t>L5587900</t>
  </si>
  <si>
    <t>Pimm's No.1</t>
  </si>
  <si>
    <t>L2526200</t>
  </si>
  <si>
    <t>Pinaq Blue</t>
  </si>
  <si>
    <t>L5035700</t>
  </si>
  <si>
    <t>Pinaq Colada</t>
  </si>
  <si>
    <t>L5035800</t>
  </si>
  <si>
    <t>Pinaq Gold</t>
  </si>
  <si>
    <t>L5143100</t>
  </si>
  <si>
    <t>Pinaq Orange</t>
  </si>
  <si>
    <t>L5035900</t>
  </si>
  <si>
    <t>Pinaq Rose</t>
  </si>
  <si>
    <t>L0500300</t>
  </si>
  <si>
    <t>Pisang Ambon</t>
  </si>
  <si>
    <t>L0581900</t>
  </si>
  <si>
    <t>Pitu Cachaca Aguardiente</t>
  </si>
  <si>
    <t>L0585800</t>
  </si>
  <si>
    <t>Plantiac Vieux</t>
  </si>
  <si>
    <t>L0258800</t>
  </si>
  <si>
    <t>Polar Limes Erdbeer</t>
  </si>
  <si>
    <t>L0969100</t>
  </si>
  <si>
    <t>L1673700</t>
  </si>
  <si>
    <t>Pott Rum 54</t>
  </si>
  <si>
    <t>L2436500</t>
  </si>
  <si>
    <t>Puerto De Indias Gin Strawberry</t>
  </si>
  <si>
    <t>L5859100</t>
  </si>
  <si>
    <t>Pure Divine</t>
  </si>
  <si>
    <t>L0975700</t>
  </si>
  <si>
    <t>Puschkin Black Berries</t>
  </si>
  <si>
    <t>L0976200</t>
  </si>
  <si>
    <t>Puschkin Red</t>
  </si>
  <si>
    <t>L0976600</t>
  </si>
  <si>
    <t>Puschkin Vodka</t>
  </si>
  <si>
    <t>L5204000</t>
  </si>
  <si>
    <t>Raki Yeni NRF</t>
  </si>
  <si>
    <t>L0261100</t>
  </si>
  <si>
    <t>Ramazzotti Amaro</t>
  </si>
  <si>
    <t>L0586200</t>
  </si>
  <si>
    <t>Ricard</t>
  </si>
  <si>
    <t>L0286200</t>
  </si>
  <si>
    <t>Ron Arehucas Carta Oro</t>
  </si>
  <si>
    <t>L6096100</t>
  </si>
  <si>
    <t>Ron Arehucas Carta Oro NRF</t>
  </si>
  <si>
    <t>L5564900</t>
  </si>
  <si>
    <t>Ron Miel Tobacco NRF</t>
  </si>
  <si>
    <t>L5612800</t>
  </si>
  <si>
    <t>Rushkinoff Caramel NRF</t>
  </si>
  <si>
    <t>L5612600</t>
  </si>
  <si>
    <t>Rushkinoff Vodka Strawberry NRF</t>
  </si>
  <si>
    <t>L0586400</t>
  </si>
  <si>
    <t>Rutte Jonge Jenever</t>
  </si>
  <si>
    <t>L0586600</t>
  </si>
  <si>
    <t>Rutte Oude Jenever</t>
  </si>
  <si>
    <t>L0503600</t>
  </si>
  <si>
    <t>Safari</t>
  </si>
  <si>
    <t>L5332900</t>
  </si>
  <si>
    <t>Saint James Rhum Agricole Blanc</t>
  </si>
  <si>
    <t>L0592900</t>
  </si>
  <si>
    <t>Schelvispekel</t>
  </si>
  <si>
    <t>L0576200</t>
  </si>
  <si>
    <t>Schipperbitter</t>
  </si>
  <si>
    <t>L0592300</t>
  </si>
  <si>
    <t>Schrobbeler</t>
  </si>
  <si>
    <t>L0504700</t>
  </si>
  <si>
    <t>L6072700</t>
  </si>
  <si>
    <t>Sierra Reposado DF Label</t>
  </si>
  <si>
    <t>L6072600</t>
  </si>
  <si>
    <t>Sierra Silver DF Label</t>
  </si>
  <si>
    <t>L5869600</t>
  </si>
  <si>
    <t>Sir James 101 Mocktails Gift Pack</t>
  </si>
  <si>
    <t>L2409900</t>
  </si>
  <si>
    <t>L5625600</t>
  </si>
  <si>
    <t>Soberano Brandy NRF</t>
  </si>
  <si>
    <t>L0592700</t>
  </si>
  <si>
    <t>Sonnema Berenburg</t>
  </si>
  <si>
    <t>L2408300</t>
  </si>
  <si>
    <t>L2145500</t>
  </si>
  <si>
    <t>L1590200</t>
  </si>
  <si>
    <t>Speyburn Hopkins Reserve + GB</t>
  </si>
  <si>
    <t>L0988600</t>
  </si>
  <si>
    <t>Stroh 60</t>
  </si>
  <si>
    <t>L0989000</t>
  </si>
  <si>
    <t>L6089200</t>
  </si>
  <si>
    <t>Suntory Roku Gin</t>
  </si>
  <si>
    <t>L0228600</t>
  </si>
  <si>
    <t>Suze Liqueur De Gentiane</t>
  </si>
  <si>
    <t>Talisker 10 Years + GB</t>
  </si>
  <si>
    <t>L0848900</t>
  </si>
  <si>
    <t>Talisker Dark Storm + GB</t>
  </si>
  <si>
    <t>L2360700</t>
  </si>
  <si>
    <t>The Dalmore Cigar Malt + GB</t>
  </si>
  <si>
    <t>L5015200</t>
  </si>
  <si>
    <t>The Dalmore Quartet + GB</t>
  </si>
  <si>
    <t>L2157100</t>
  </si>
  <si>
    <t>The Glendronach 10 Years Forgue + GB</t>
  </si>
  <si>
    <t>The London No.1</t>
  </si>
  <si>
    <t>L5606900</t>
  </si>
  <si>
    <t>The London No.1 Copa Glass</t>
  </si>
  <si>
    <t>L1002000</t>
  </si>
  <si>
    <t>Three Sixty</t>
  </si>
  <si>
    <t>L0507500</t>
  </si>
  <si>
    <t>L5576200</t>
  </si>
  <si>
    <t>Tio Diablillo NRF</t>
  </si>
  <si>
    <t>L0851700</t>
  </si>
  <si>
    <t>Tomatin 12 Years + GB</t>
  </si>
  <si>
    <t>L0596600</t>
  </si>
  <si>
    <t>Torres 10 Years</t>
  </si>
  <si>
    <t>L5516500</t>
  </si>
  <si>
    <t>Torres 5 Years NRF</t>
  </si>
  <si>
    <t>Tullamore Dew XO Caribbean Rum Cask Finish</t>
  </si>
  <si>
    <t>L2229300</t>
  </si>
  <si>
    <t>Unicum Zwack Szilva</t>
  </si>
  <si>
    <t>L1006500</t>
  </si>
  <si>
    <t>Ursus Roter Vodka</t>
  </si>
  <si>
    <t>L5332000</t>
  </si>
  <si>
    <t>Van Gogh Acai Blueberry</t>
  </si>
  <si>
    <t>L5332100</t>
  </si>
  <si>
    <t>Van Gogh Double Espresso</t>
  </si>
  <si>
    <t>L5331900</t>
  </si>
  <si>
    <t>Van Gogh Melon</t>
  </si>
  <si>
    <t>L5651100</t>
  </si>
  <si>
    <t>Van Gogh Pineapple</t>
  </si>
  <si>
    <t>L1237600</t>
  </si>
  <si>
    <t>Velho Barreiro Cachaca</t>
  </si>
  <si>
    <t>L5044000</t>
  </si>
  <si>
    <t>Villa Massa Limoncello</t>
  </si>
  <si>
    <t>L0562100</t>
  </si>
  <si>
    <t>Weduwe Joustra Beerenburg</t>
  </si>
  <si>
    <t>L0562400</t>
  </si>
  <si>
    <t>Weduwe Joustra Beerenburg Extra</t>
  </si>
  <si>
    <t>L2179600</t>
  </si>
  <si>
    <t>Wenneker Oude Proever</t>
  </si>
  <si>
    <t>L2181600</t>
  </si>
  <si>
    <t>Wild Turkey Longbranch</t>
  </si>
  <si>
    <t>Woodford Reserve</t>
  </si>
  <si>
    <t>L1013700</t>
  </si>
  <si>
    <t>Wyborowa Vodka</t>
  </si>
  <si>
    <t>L0268800</t>
  </si>
  <si>
    <t>Xuxu Strawberry Vodka</t>
  </si>
  <si>
    <t>L5572300</t>
  </si>
  <si>
    <t>Ypioca Cachaca Reserva Carvalho Ouro NRF</t>
  </si>
  <si>
    <t>L5918400</t>
  </si>
  <si>
    <t>Yzaguirre Blanco</t>
  </si>
  <si>
    <t>L5918900</t>
  </si>
  <si>
    <t>Yzaguirre Blanco Extra Dry Reserva</t>
  </si>
  <si>
    <t>L5918700</t>
  </si>
  <si>
    <t>Yzaguirre Blanco Reserva</t>
  </si>
  <si>
    <t>L5918500</t>
  </si>
  <si>
    <t>Yzaguirre Vermouth Rojo</t>
  </si>
  <si>
    <t>L1890200</t>
  </si>
  <si>
    <t>Zacapa Edicion Negra + GB</t>
  </si>
  <si>
    <t>L2186700</t>
  </si>
  <si>
    <t>L2186900</t>
  </si>
  <si>
    <t>L2187800</t>
  </si>
  <si>
    <t>L2188400</t>
  </si>
  <si>
    <t>L2188500</t>
  </si>
  <si>
    <t>L1107700</t>
  </si>
  <si>
    <t>Zuidam Dutch Courage</t>
  </si>
  <si>
    <t>L0599900</t>
  </si>
  <si>
    <t>L2189100</t>
  </si>
  <si>
    <t>L2189500</t>
  </si>
  <si>
    <t>Zuidam Rogge Jenever</t>
  </si>
  <si>
    <t>L2189700</t>
  </si>
  <si>
    <t>Zuidam Spelt Genever</t>
  </si>
  <si>
    <t>L5917000</t>
  </si>
  <si>
    <t>Asconi Feteasca Neagra 2015</t>
  </si>
  <si>
    <t>L5257100</t>
  </si>
  <si>
    <t>Astoria Fashion Victim Rose</t>
  </si>
  <si>
    <t>L1805300</t>
  </si>
  <si>
    <t>Astoria Lounge Spumante Classic</t>
  </si>
  <si>
    <t>L1806200</t>
  </si>
  <si>
    <t>Astoria Spumante 9.5 Cold Wine</t>
  </si>
  <si>
    <t>L5424200</t>
  </si>
  <si>
    <t>Astoria Velere Prosecco DOC Rose Millesimato</t>
  </si>
  <si>
    <t>L5893400</t>
  </si>
  <si>
    <t>Barbazul Rose Syrah 2021</t>
  </si>
  <si>
    <t>L5893300</t>
  </si>
  <si>
    <t>Barbazul Tinto 2020</t>
  </si>
  <si>
    <t>L5893200</t>
  </si>
  <si>
    <t>Barbazul Tinto Seleccion 2015</t>
  </si>
  <si>
    <t>L5960300</t>
  </si>
  <si>
    <t>Barbazul Tinto Seleccion 2018</t>
  </si>
  <si>
    <t>L5569100</t>
  </si>
  <si>
    <t>Bertola Sherry Cream</t>
  </si>
  <si>
    <t>L5569200</t>
  </si>
  <si>
    <t>Bertola Sherry Medium</t>
  </si>
  <si>
    <t>L5260900</t>
  </si>
  <si>
    <t>Bottega Pink Gold Prosecco DOC Rose</t>
  </si>
  <si>
    <t>L6036100</t>
  </si>
  <si>
    <t>Bottega Pink Gold Prosecco DOC Rose Vintage 2022</t>
  </si>
  <si>
    <t>L1135900</t>
  </si>
  <si>
    <t>Bottega Prosecco Gold Vintage 2021</t>
  </si>
  <si>
    <t>L6036000</t>
  </si>
  <si>
    <t>Bottega Prosecco Gold Vintage 2022</t>
  </si>
  <si>
    <t>L1136300</t>
  </si>
  <si>
    <t>Bottega Prosecco Rose Gold</t>
  </si>
  <si>
    <t>L2274500</t>
  </si>
  <si>
    <t>Bottega Rose Gold</t>
  </si>
  <si>
    <t>L0421300</t>
  </si>
  <si>
    <t>Bottega White Gold</t>
  </si>
  <si>
    <t>L6094100</t>
  </si>
  <si>
    <t>Ca' Botta Amarone Della Valpolicella 2016 Cajo</t>
  </si>
  <si>
    <t>L5920600</t>
  </si>
  <si>
    <t>Ca' Botta Costa Rossa 2016</t>
  </si>
  <si>
    <t>L5895200</t>
  </si>
  <si>
    <t>Ca' Botta Costa Rossa Valpolicella Ripasso Superiore 2016</t>
  </si>
  <si>
    <t>L5921600</t>
  </si>
  <si>
    <t>Ca' Botta Pian di Mezzo Riserva 2015</t>
  </si>
  <si>
    <t>L5974100</t>
  </si>
  <si>
    <t>Ca' Botta Rubicondo Rosso Verona 2021</t>
  </si>
  <si>
    <t>L6094200</t>
  </si>
  <si>
    <t>Ca' Botta Torcinato 2017</t>
  </si>
  <si>
    <t>L5895400</t>
  </si>
  <si>
    <t>Ca' Botta Valpolicella Ripasso Alta 2018</t>
  </si>
  <si>
    <t>L5895600</t>
  </si>
  <si>
    <t>Ca' Botta Valpolicella Superiore Alta 2019</t>
  </si>
  <si>
    <t>Canei Bianco</t>
  </si>
  <si>
    <t>L5910400</t>
  </si>
  <si>
    <t>Castelnuovo Prosecco Frizzante</t>
  </si>
  <si>
    <t>L5191000</t>
  </si>
  <si>
    <t>Chandon Garden Spritz</t>
  </si>
  <si>
    <t>L5924600</t>
  </si>
  <si>
    <t>L5116500</t>
  </si>
  <si>
    <t>Choya Dry</t>
  </si>
  <si>
    <t>L1261400</t>
  </si>
  <si>
    <t>Choya Original</t>
  </si>
  <si>
    <t>L1261600</t>
  </si>
  <si>
    <t>Choya Sake</t>
  </si>
  <si>
    <t>L5130400</t>
  </si>
  <si>
    <t>Choya Yuzu</t>
  </si>
  <si>
    <t>L6097200</t>
  </si>
  <si>
    <t>Choza DO Rioja Crianza 2020</t>
  </si>
  <si>
    <t>L6097300</t>
  </si>
  <si>
    <t>Choza DO Rioja Reserva 2018</t>
  </si>
  <si>
    <t>L1949200</t>
  </si>
  <si>
    <t>Cinzano Asti</t>
  </si>
  <si>
    <t>L6006900</t>
  </si>
  <si>
    <t>Coppi Don Antonio Primitivo 2016</t>
  </si>
  <si>
    <t>L5905400</t>
  </si>
  <si>
    <t>Coppi Don Antonio Primitivo 2017</t>
  </si>
  <si>
    <t>L5905800</t>
  </si>
  <si>
    <t>Coppi Primitivo Vanitoso 2016</t>
  </si>
  <si>
    <t>L5891200</t>
  </si>
  <si>
    <t>Coppi Senatore Primitivo 2017</t>
  </si>
  <si>
    <t>L5993400</t>
  </si>
  <si>
    <t>Coppi Siniscalco Primitivo 2020</t>
  </si>
  <si>
    <t>L1795200</t>
  </si>
  <si>
    <t>Croft Pink Port + GB</t>
  </si>
  <si>
    <t>L5991100</t>
  </si>
  <si>
    <t>Cuatro Rayas Vdt Tempranillo Green &amp; Social 2022</t>
  </si>
  <si>
    <t>L5950100</t>
  </si>
  <si>
    <t>DBR lafite A D Aussieres IGP DOC 2021</t>
  </si>
  <si>
    <t>L5603300</t>
  </si>
  <si>
    <t>DBR Lafite Blason D’Aussières Corbières 2019</t>
  </si>
  <si>
    <t>L5603500</t>
  </si>
  <si>
    <t>DBR Lafite Moulin De Duhart Pauillac 2019</t>
  </si>
  <si>
    <t>L5729000</t>
  </si>
  <si>
    <t>De Courtil Syrah Carbernet 2021</t>
  </si>
  <si>
    <t>L5989500</t>
  </si>
  <si>
    <t>DO Cava Vita Vivet Brut Bio</t>
  </si>
  <si>
    <t>L5989400</t>
  </si>
  <si>
    <t>DO Rioja Crianza  Vitarán Castillo de Mendoza 2018</t>
  </si>
  <si>
    <t>L1949400</t>
  </si>
  <si>
    <t>Dolin Blanc</t>
  </si>
  <si>
    <t>L0426000</t>
  </si>
  <si>
    <t>Dolin Dry</t>
  </si>
  <si>
    <t>L0426400</t>
  </si>
  <si>
    <t>Dolin Rouge</t>
  </si>
  <si>
    <t>L0427500</t>
  </si>
  <si>
    <t>Dubonnet Rouge</t>
  </si>
  <si>
    <t>L5901200</t>
  </si>
  <si>
    <t>Esporao  Reserva Branco Bio 2021</t>
  </si>
  <si>
    <t>L5901300</t>
  </si>
  <si>
    <t>Esporao  Reserva Tinto 2020</t>
  </si>
  <si>
    <t>L5625200</t>
  </si>
  <si>
    <t>Fabula De Paniza Garnacha Rosado 2021</t>
  </si>
  <si>
    <t>L0311900</t>
  </si>
  <si>
    <t>Fonseca Bin 27 Finest Reserve Port</t>
  </si>
  <si>
    <t>L2259100</t>
  </si>
  <si>
    <t>Fonseca Late Bottled Vintage 2016</t>
  </si>
  <si>
    <t>L6066200</t>
  </si>
  <si>
    <t>Fonseca Late Bottled Vintage 2018</t>
  </si>
  <si>
    <t>L0015500</t>
  </si>
  <si>
    <t>Fonseca Ruby</t>
  </si>
  <si>
    <t>L0015400</t>
  </si>
  <si>
    <t>Fonseca Tawny</t>
  </si>
  <si>
    <t>L0428100</t>
  </si>
  <si>
    <t>Freixenet Carta Nevada Semi Seco</t>
  </si>
  <si>
    <t>L0428300</t>
  </si>
  <si>
    <t>Freixenet Cordon Negro Brut</t>
  </si>
  <si>
    <t>L5510400</t>
  </si>
  <si>
    <t>Freixenet Ice Rose</t>
  </si>
  <si>
    <t>L0428700</t>
  </si>
  <si>
    <t>Freixenet Ice semi seco</t>
  </si>
  <si>
    <t>L2301300</t>
  </si>
  <si>
    <t>Freixenet Italian Rosé</t>
  </si>
  <si>
    <t>L2281200</t>
  </si>
  <si>
    <t>Freixenet Mia Mojito</t>
  </si>
  <si>
    <t>L1177600</t>
  </si>
  <si>
    <t>Freixenet Mia Sangria Classic Royal</t>
  </si>
  <si>
    <t>L1266400</t>
  </si>
  <si>
    <t>Freixenet Mia Sangria White Frizzante</t>
  </si>
  <si>
    <t>L2301600</t>
  </si>
  <si>
    <t>Freixenet Prosecco D.O.C.</t>
  </si>
  <si>
    <t>L0428800</t>
  </si>
  <si>
    <t>Gancia Prosecco D.O.C. Brut</t>
  </si>
  <si>
    <t>L5940300</t>
  </si>
  <si>
    <t>Giro Ribot Ab Origine Brut Cava</t>
  </si>
  <si>
    <t>L5940200</t>
  </si>
  <si>
    <t>Giro Ribot Ab Origine Brut Cava Rosat</t>
  </si>
  <si>
    <t>L0429900</t>
  </si>
  <si>
    <t>Gonzalez Byass Px Nectar</t>
  </si>
  <si>
    <t>L5265100</t>
  </si>
  <si>
    <t>Graham's 10 Years Tawny Port + GB</t>
  </si>
  <si>
    <t>L5309200</t>
  </si>
  <si>
    <t>Graham's 30 Years Tawny + Wooden GB</t>
  </si>
  <si>
    <t>L5255100</t>
  </si>
  <si>
    <t>Graham's Fine Ruby</t>
  </si>
  <si>
    <t>L2329800</t>
  </si>
  <si>
    <t>Graham's Fine Tawny</t>
  </si>
  <si>
    <t>L5345300</t>
  </si>
  <si>
    <t>Graham's Fine White</t>
  </si>
  <si>
    <t>L0431000</t>
  </si>
  <si>
    <t>Henkell Trocken</t>
  </si>
  <si>
    <t>L5462500</t>
  </si>
  <si>
    <t>Huerta de Albala Taberner Syrah 2016</t>
  </si>
  <si>
    <t>L0018000</t>
  </si>
  <si>
    <t>Il Miogusto Hugo Kurk</t>
  </si>
  <si>
    <t>L0018300</t>
  </si>
  <si>
    <t>Il Miogusto Limonsecco Kurk</t>
  </si>
  <si>
    <t>L0017900</t>
  </si>
  <si>
    <t>Il Miogusto Melonsecco Kurk</t>
  </si>
  <si>
    <t>L5147800</t>
  </si>
  <si>
    <t>Kopke Fine Ruby Porto</t>
  </si>
  <si>
    <t>L5147700</t>
  </si>
  <si>
    <t>Kopke Fine Tawny Porto</t>
  </si>
  <si>
    <t>L5211100</t>
  </si>
  <si>
    <t>Kopke Fine White Porto</t>
  </si>
  <si>
    <t>L6021700</t>
  </si>
  <si>
    <t>Lamborghini Extra Dry Prosecco D.O.C. Treviso Gold</t>
  </si>
  <si>
    <t>L6021600</t>
  </si>
  <si>
    <t>Lamborghini Extra Dry Prosecco D.O.C. Treviso Platinum</t>
  </si>
  <si>
    <t>L5860800</t>
  </si>
  <si>
    <t>Lamborghini Luxe Blu Merlot Umbria IGT 2020</t>
  </si>
  <si>
    <t>L6083600</t>
  </si>
  <si>
    <t>Lamborghini Luxe Oro Rosso Umbria IGT 2015</t>
  </si>
  <si>
    <t>L5860900</t>
  </si>
  <si>
    <t>Lamborghini Luxe Titanio Rosso Umbria IGT 2016</t>
  </si>
  <si>
    <t>L5911500</t>
  </si>
  <si>
    <t>Le Monde Alma Pinot Bianco 2019</t>
  </si>
  <si>
    <t>L5911600</t>
  </si>
  <si>
    <t>Le Monde Friuli .73 Merlot 2017</t>
  </si>
  <si>
    <t>L5911300</t>
  </si>
  <si>
    <t>Le Monde Pratum Chardonnay 2019</t>
  </si>
  <si>
    <t>L5911400</t>
  </si>
  <si>
    <t>Le Monde Refosco dal Peduncolo Rosso 2018</t>
  </si>
  <si>
    <t>L0432400</t>
  </si>
  <si>
    <t>Lillet Blanc</t>
  </si>
  <si>
    <t>L0432500</t>
  </si>
  <si>
    <t>Lillet Rose</t>
  </si>
  <si>
    <t>L0432700</t>
  </si>
  <si>
    <t>Lillet Rouge</t>
  </si>
  <si>
    <t>L5941500</t>
  </si>
  <si>
    <t>Limontivo Aperitif</t>
  </si>
  <si>
    <t>L5701400</t>
  </si>
  <si>
    <t>Lolea No 1 Red Sangria</t>
  </si>
  <si>
    <t>L5701500</t>
  </si>
  <si>
    <t>Lolea No 2 White Sangria</t>
  </si>
  <si>
    <t>L5890800</t>
  </si>
  <si>
    <t>Lolea No 5 Rose</t>
  </si>
  <si>
    <t>L0314800</t>
  </si>
  <si>
    <t>Madeira Vat 22</t>
  </si>
  <si>
    <t>L1817300</t>
  </si>
  <si>
    <t>Malaga 'Sol De Malaga</t>
  </si>
  <si>
    <t>L6033700</t>
  </si>
  <si>
    <t>Marrone Barbaresco 2019</t>
  </si>
  <si>
    <t>L5906500</t>
  </si>
  <si>
    <t>Marrone Barbaresco 2020</t>
  </si>
  <si>
    <t>L5947400</t>
  </si>
  <si>
    <t>Marrone Barbera D’Abla D.O.C. 2020 “Carlot”</t>
  </si>
  <si>
    <t>L5907400</t>
  </si>
  <si>
    <t>Marrone Barbera D'Alba Superiore 'La Pantalera' 2018</t>
  </si>
  <si>
    <t>L6021200</t>
  </si>
  <si>
    <t>Marrone Barbera D'Alba Superiore 'La Pantalera' 2020</t>
  </si>
  <si>
    <t>L5906800</t>
  </si>
  <si>
    <t>Marrone Barolo Bussia 2016</t>
  </si>
  <si>
    <t>L6021400</t>
  </si>
  <si>
    <t>Marrone Barolo Bussia 2018</t>
  </si>
  <si>
    <t>L5947600</t>
  </si>
  <si>
    <t>Marrone Barolo D.O.C.G. 2019</t>
  </si>
  <si>
    <t>L6067000</t>
  </si>
  <si>
    <t>Marrone Barolo Pichemej 2019</t>
  </si>
  <si>
    <t>L6085800</t>
  </si>
  <si>
    <t>Marrone Langhe Arneis "Tre Fies" Doc Langhe 2022</t>
  </si>
  <si>
    <t>L6025100</t>
  </si>
  <si>
    <t>Marrone Langhe D.O.C. Chardonnay 2021 Memundis</t>
  </si>
  <si>
    <t>L6025000</t>
  </si>
  <si>
    <t>Marrone Langhe D.O.C. Rosato 2022 Dolcevita</t>
  </si>
  <si>
    <t>L5947500</t>
  </si>
  <si>
    <t>Marrone Langhe DOC Rosso 2020 ''Passione''</t>
  </si>
  <si>
    <t>L5906300</t>
  </si>
  <si>
    <t>Marrone Langhe Nebbiolo 2020</t>
  </si>
  <si>
    <t>L6025200</t>
  </si>
  <si>
    <t>Marrone Moscato d’Asti D.O.C.G. 2022 Solaris</t>
  </si>
  <si>
    <t>L5907100</t>
  </si>
  <si>
    <t>Marrone Nebbiolo Agrestis 2019</t>
  </si>
  <si>
    <t>L6036700</t>
  </si>
  <si>
    <t>Marrone Piemonte D.O.C. Barbera 2021</t>
  </si>
  <si>
    <t>L5947300</t>
  </si>
  <si>
    <t>Marrone Piemonte Doc Rosso 2021 "Mio''</t>
  </si>
  <si>
    <t>L5907900</t>
  </si>
  <si>
    <t>Marrone San Carlo 2016</t>
  </si>
  <si>
    <t>L5094200</t>
  </si>
  <si>
    <t>L0436500</t>
  </si>
  <si>
    <t>Martini Bellini</t>
  </si>
  <si>
    <t>L0436600</t>
  </si>
  <si>
    <t>L5293400</t>
  </si>
  <si>
    <t>L0437900</t>
  </si>
  <si>
    <t>L2451400</t>
  </si>
  <si>
    <t>Martini Floreale</t>
  </si>
  <si>
    <t>L6000400</t>
  </si>
  <si>
    <t>Martini Limoni</t>
  </si>
  <si>
    <t>L0438400</t>
  </si>
  <si>
    <t>Martini Prosecco</t>
  </si>
  <si>
    <t>L1276800</t>
  </si>
  <si>
    <t>Martini Riserva Ambrato</t>
  </si>
  <si>
    <t>L0438600</t>
  </si>
  <si>
    <t>Martini Riserva Speciale Rubino</t>
  </si>
  <si>
    <t>L0438700</t>
  </si>
  <si>
    <t>Martini Rosato</t>
  </si>
  <si>
    <t>L1277100</t>
  </si>
  <si>
    <t>L0438900</t>
  </si>
  <si>
    <t>Martini Rossini</t>
  </si>
  <si>
    <t>L0439200</t>
  </si>
  <si>
    <t>L5344200</t>
  </si>
  <si>
    <t>Martini Royale Bianco</t>
  </si>
  <si>
    <t>L5329600</t>
  </si>
  <si>
    <t>Martini Royale Rosato</t>
  </si>
  <si>
    <t>L0439900</t>
  </si>
  <si>
    <t>Martini Sparkling Rose</t>
  </si>
  <si>
    <t>L2451500</t>
  </si>
  <si>
    <t>Martini Vibrante</t>
  </si>
  <si>
    <t>L5467200</t>
  </si>
  <si>
    <t>Mateus Blanco</t>
  </si>
  <si>
    <t>L0444900</t>
  </si>
  <si>
    <t>Mateus Rose Cork Bottle</t>
  </si>
  <si>
    <t>L5918000</t>
  </si>
  <si>
    <t>Mulassano Mulassano  Rosso</t>
  </si>
  <si>
    <t>L5917900</t>
  </si>
  <si>
    <t>Mulassano Vermouth Bianco Dry</t>
  </si>
  <si>
    <t>L5961400</t>
  </si>
  <si>
    <t>Mulassano Vermouth Blanco</t>
  </si>
  <si>
    <t>L5902200</t>
  </si>
  <si>
    <t>Nicosia DOC Etna Rosso Contrada Monte Gorna 2014</t>
  </si>
  <si>
    <t>L5903300</t>
  </si>
  <si>
    <t>Nicosia Nero d'Avola Fondo Filara Bio 2021</t>
  </si>
  <si>
    <t>L6020700</t>
  </si>
  <si>
    <t>Nicosia Passuluna Rosso 2022</t>
  </si>
  <si>
    <t>L1285900</t>
  </si>
  <si>
    <t>Noilly Prat Ambre</t>
  </si>
  <si>
    <t>L0445300</t>
  </si>
  <si>
    <t>L2115600</t>
  </si>
  <si>
    <t>Offley 10 Years + GB</t>
  </si>
  <si>
    <t>L2115700</t>
  </si>
  <si>
    <t>Offley 20 Years + GB</t>
  </si>
  <si>
    <t>L2115800</t>
  </si>
  <si>
    <t>Offley Colheita</t>
  </si>
  <si>
    <t>L0445800</t>
  </si>
  <si>
    <t>Offley Ruby</t>
  </si>
  <si>
    <t>L0446000</t>
  </si>
  <si>
    <t>Offley Tawny</t>
  </si>
  <si>
    <t>L0446100</t>
  </si>
  <si>
    <t>Offley White</t>
  </si>
  <si>
    <t>L5918100</t>
  </si>
  <si>
    <t>Olave Bianco</t>
  </si>
  <si>
    <t>L5918300</t>
  </si>
  <si>
    <t>Olave Rojo Reserva</t>
  </si>
  <si>
    <t>L5918200</t>
  </si>
  <si>
    <t>Olave Vermouth Rojo</t>
  </si>
  <si>
    <t>L1818700</t>
  </si>
  <si>
    <t>Osborne Pedro Ximenez 1827</t>
  </si>
  <si>
    <t>L1177900</t>
  </si>
  <si>
    <t>Osborne Sherry Fino Pale Dry</t>
  </si>
  <si>
    <t>L1177800</t>
  </si>
  <si>
    <t>Osborne Sherry Medium</t>
  </si>
  <si>
    <t>L5904600</t>
  </si>
  <si>
    <t>Pallavicini Cesanese Lazio Rubillo 2020</t>
  </si>
  <si>
    <t>L5904300</t>
  </si>
  <si>
    <t>Pallavicini Frascati Poggio Verde 2019</t>
  </si>
  <si>
    <t>L5904700</t>
  </si>
  <si>
    <t>Pallavicini Lazio Cesanese Amarasco 2017</t>
  </si>
  <si>
    <t>L5924700</t>
  </si>
  <si>
    <t>Palo Cortado + GB</t>
  </si>
  <si>
    <t>L5916600</t>
  </si>
  <si>
    <t>Paniza Fábula Garnacha Tinto 2020</t>
  </si>
  <si>
    <t>L0027000</t>
  </si>
  <si>
    <t>Pasion Blue</t>
  </si>
  <si>
    <t>L0426700</t>
  </si>
  <si>
    <t>Pedro Domecq Fino Dry</t>
  </si>
  <si>
    <t>L1796000</t>
  </si>
  <si>
    <t>Pedro Domecq Manzanilla</t>
  </si>
  <si>
    <t>L0426800</t>
  </si>
  <si>
    <t>Pedro Domecq Medium Dry</t>
  </si>
  <si>
    <t>L1283800</t>
  </si>
  <si>
    <t>Pellegrino Marsala Fine</t>
  </si>
  <si>
    <t>L1818800</t>
  </si>
  <si>
    <t>Pineau Hardy Coq d'Or Blanc</t>
  </si>
  <si>
    <t>L1818900</t>
  </si>
  <si>
    <t>Pineau Hardy Coq d'Or Rose</t>
  </si>
  <si>
    <t>L0425000</t>
  </si>
  <si>
    <t>Punt E Mes</t>
  </si>
  <si>
    <t>L5248300</t>
  </si>
  <si>
    <t>Ridgemont 1792 Bourbon Small Batch</t>
  </si>
  <si>
    <t>L5905100</t>
  </si>
  <si>
    <t>Ridolfi  Rosso di Montalcino 2019</t>
  </si>
  <si>
    <t>L5904900</t>
  </si>
  <si>
    <t>Ridolfi Brunello di Montalcino 2015</t>
  </si>
  <si>
    <t>L5675100</t>
  </si>
  <si>
    <t>Rosativo Aperitif</t>
  </si>
  <si>
    <t>L5936800</t>
  </si>
  <si>
    <t>Saint Dominique Rose Centifolia 2021</t>
  </si>
  <si>
    <t>L5982400</t>
  </si>
  <si>
    <t>Saint Donger Chardonnay 2022</t>
  </si>
  <si>
    <t>L5914100</t>
  </si>
  <si>
    <t>San Felice Brunello di Montalcino Riserva Campogiovanni 2015</t>
  </si>
  <si>
    <t>L5914000</t>
  </si>
  <si>
    <t>San Felice Campogiovanni Brunello Di Montalcino 2017</t>
  </si>
  <si>
    <t>L5914200</t>
  </si>
  <si>
    <t>San Felice Campogiovanni Rosso Di Montalcino 2020</t>
  </si>
  <si>
    <t>L5913200</t>
  </si>
  <si>
    <t>L5728200</t>
  </si>
  <si>
    <t>San felice Chianti Classico Riserva 2019 'IL Grigio'</t>
  </si>
  <si>
    <t>L5913400</t>
  </si>
  <si>
    <t>San Felice Poggio Rosso Chianti Classico Gran Selezione 2016</t>
  </si>
  <si>
    <t>L5914400</t>
  </si>
  <si>
    <t>San Felice Rosso Bell'Aja 2020</t>
  </si>
  <si>
    <t>L5943600</t>
  </si>
  <si>
    <t>L5914300</t>
  </si>
  <si>
    <t>San Felice Rosso Superiore Bell'Aja 2019</t>
  </si>
  <si>
    <t>L5913900</t>
  </si>
  <si>
    <t>San Felice Rosso Toscane Perolla 2019</t>
  </si>
  <si>
    <t>L5913600</t>
  </si>
  <si>
    <t>L5928700</t>
  </si>
  <si>
    <t>San Leon Manzanilla Reserva</t>
  </si>
  <si>
    <t>L0454200</t>
  </si>
  <si>
    <t>Sandeman Fine Tawny Porto</t>
  </si>
  <si>
    <t>L0454300</t>
  </si>
  <si>
    <t>Sandeman Fine White Porto</t>
  </si>
  <si>
    <t>L1296800</t>
  </si>
  <si>
    <t>Sandeman Fino Sherry</t>
  </si>
  <si>
    <t>L1297000</t>
  </si>
  <si>
    <t>Sandeman Medium Dry Sherry</t>
  </si>
  <si>
    <t>L0453800</t>
  </si>
  <si>
    <t>Sandeman Medium Sweet Sherry</t>
  </si>
  <si>
    <t>L5920400</t>
  </si>
  <si>
    <t>Santa Maria Alghero DOC Cagnulari 2021</t>
  </si>
  <si>
    <t>L5927300</t>
  </si>
  <si>
    <t>Santa Maria La Palma  Monica Di Sardegna Zeniosu DOC 2021</t>
  </si>
  <si>
    <t>L5909700</t>
  </si>
  <si>
    <t>Santa Maria La Palma Cagnulari Riserva 'Reconta' 2018</t>
  </si>
  <si>
    <t>L5988500</t>
  </si>
  <si>
    <t>Santa Maria La Palma Le Bombarde Canonnau 2021</t>
  </si>
  <si>
    <t>L5898200</t>
  </si>
  <si>
    <t>Santa Maria La Palma Redit Cannonau Di Sardegna 2017</t>
  </si>
  <si>
    <t>L5909900</t>
  </si>
  <si>
    <t>Santa Maria La Palma Redit Cannonau Di Sardegna 2018</t>
  </si>
  <si>
    <t>L5636200</t>
  </si>
  <si>
    <t>Sao Pedro Das Aguias 10 Years Tawny Carafe + GB</t>
  </si>
  <si>
    <t>L5636300</t>
  </si>
  <si>
    <t>Sao Pedro Das Aguias 20 Years Tawny Carafe + GB</t>
  </si>
  <si>
    <t>L5635900</t>
  </si>
  <si>
    <t>Sao Pedro Das Aguias Blanc Port</t>
  </si>
  <si>
    <t>L5636100</t>
  </si>
  <si>
    <t>Sao Pedro Das Aguias Ruby Port</t>
  </si>
  <si>
    <t>L5636000</t>
  </si>
  <si>
    <t>Sao Pedro Das Aguias Tawny Special Reserve Carafe</t>
  </si>
  <si>
    <t>L5410500</t>
  </si>
  <si>
    <t>Scavi &amp; Ray Hugo</t>
  </si>
  <si>
    <t>L5914700</t>
  </si>
  <si>
    <t>Steffen WT Riesling Spätlese Rheinhessen 2022</t>
  </si>
  <si>
    <t>L5681800</t>
  </si>
  <si>
    <t>Taylor's 10 Years Port Tawny + GB</t>
  </si>
  <si>
    <t>L5912100</t>
  </si>
  <si>
    <t>Tenuta Scuotto Aglianico IGP Campania 2021</t>
  </si>
  <si>
    <t>L6020500</t>
  </si>
  <si>
    <t>Tenuta Scuotto Fiano di Avellino 2022</t>
  </si>
  <si>
    <t>L5911900</t>
  </si>
  <si>
    <t>Tenuta Scuotto Greco di Tufo 2021</t>
  </si>
  <si>
    <t>L5912200</t>
  </si>
  <si>
    <t>Tenuta Scuotto REDO Aglianico 2020</t>
  </si>
  <si>
    <t>L5764900</t>
  </si>
  <si>
    <t>Thomas Henry Botanical Tonic</t>
  </si>
  <si>
    <t>L5765200</t>
  </si>
  <si>
    <t>Thomas Henry Ginger Beer</t>
  </si>
  <si>
    <t>L6083500</t>
  </si>
  <si>
    <t>Thomas Henry Pink Grapefruit</t>
  </si>
  <si>
    <t>L5765300</t>
  </si>
  <si>
    <t>Thomas Henry Tonic Water</t>
  </si>
  <si>
    <t>L0455800</t>
  </si>
  <si>
    <t>Tio Pepe</t>
  </si>
  <si>
    <t>L5942400</t>
  </si>
  <si>
    <t>Toso Festoso Asti Spumante</t>
  </si>
  <si>
    <t>L5942300</t>
  </si>
  <si>
    <t>Toso Vanitoso Brachetto</t>
  </si>
  <si>
    <t>L5462600</t>
  </si>
  <si>
    <t>Vinaria din Vale Feteasca Negra Motive 2018</t>
  </si>
  <si>
    <t>L2181200</t>
  </si>
  <si>
    <t>Wikinger MET Hanf</t>
  </si>
  <si>
    <t>L2182000</t>
  </si>
  <si>
    <t>Willem's Wermoed Dutch Dry</t>
  </si>
  <si>
    <t>L5918800</t>
  </si>
  <si>
    <t>Yzaguirre Seleccion 1884</t>
  </si>
  <si>
    <t>L5938000</t>
  </si>
  <si>
    <t>AIX Rose 2022</t>
  </si>
  <si>
    <t>L5205700</t>
  </si>
  <si>
    <t>By Ott Provence Rose 2020</t>
  </si>
  <si>
    <t>L5462200</t>
  </si>
  <si>
    <t>Cantine Nicosia Lenza Di Munti Etna Rosso Doc 2018</t>
  </si>
  <si>
    <t>L5944200</t>
  </si>
  <si>
    <t>Chateau D'Esclans Whispering Angel Rose 2022</t>
  </si>
  <si>
    <t>L5899800</t>
  </si>
  <si>
    <t>Colinas do Douro Reserva White 2019</t>
  </si>
  <si>
    <t>L5891300</t>
  </si>
  <si>
    <t>Coppi Cantonovo Primitivo Bio 2019</t>
  </si>
  <si>
    <t>L5938900</t>
  </si>
  <si>
    <t>Coppi Guiscardo Falanghina 2021</t>
  </si>
  <si>
    <t>L5905300</t>
  </si>
  <si>
    <t>Coppi Negroamaro Pellirosso 2016</t>
  </si>
  <si>
    <t>L5978200</t>
  </si>
  <si>
    <t>Cuatro Rayas Rueda Verdejo Green &amp; Social 2022</t>
  </si>
  <si>
    <t>L5357200</t>
  </si>
  <si>
    <t>Heeren van Oranje Nassau Cabernet Sauvignon</t>
  </si>
  <si>
    <t>L5519000</t>
  </si>
  <si>
    <t>Heeren van Oranje Nassau Chardonnay</t>
  </si>
  <si>
    <t>L5963200</t>
  </si>
  <si>
    <t>La Maison Neuve Sauvignon Blanc Touraine 2022</t>
  </si>
  <si>
    <t>L5729400</t>
  </si>
  <si>
    <t>Le Monde Caberent Franc 2020</t>
  </si>
  <si>
    <t>L5959000</t>
  </si>
  <si>
    <t>Le Monde Chardonnay 2022</t>
  </si>
  <si>
    <t>L5910800</t>
  </si>
  <si>
    <t>L5958900</t>
  </si>
  <si>
    <t>Le Monde Friulano 2022</t>
  </si>
  <si>
    <t>L5729300</t>
  </si>
  <si>
    <t>Le Monde Pinot Bianco 2021</t>
  </si>
  <si>
    <t>L5957900</t>
  </si>
  <si>
    <t>Le Monde Pinot Grigio 2022</t>
  </si>
  <si>
    <t>L5911100</t>
  </si>
  <si>
    <t>Le Monde Refosco 2019</t>
  </si>
  <si>
    <t>L5911000</t>
  </si>
  <si>
    <t>Le Monde Sauvignon 2021</t>
  </si>
  <si>
    <t>L5960200</t>
  </si>
  <si>
    <t>Les Mazelles Cabernet Franc 2019</t>
  </si>
  <si>
    <t>L5915200</t>
  </si>
  <si>
    <t>Les Mazelles Cabernet Franc 2020</t>
  </si>
  <si>
    <t>L5915100</t>
  </si>
  <si>
    <t>Les Mazelles Gamay 2020</t>
  </si>
  <si>
    <t>L5985000</t>
  </si>
  <si>
    <t>M de Minuty Rose 2022</t>
  </si>
  <si>
    <t>L5936700</t>
  </si>
  <si>
    <t>Marrone Dolcetto d'Alba Linea Giovane 2020</t>
  </si>
  <si>
    <t>L5907500</t>
  </si>
  <si>
    <t>Marrone Gavi del Comune die Gavi DOCG 2021</t>
  </si>
  <si>
    <t>L6021000</t>
  </si>
  <si>
    <t>Marrone Gavi del Comune die Gavi DOCG 2022</t>
  </si>
  <si>
    <t>L6026800</t>
  </si>
  <si>
    <t>Marrone Langhe Favorita 2022</t>
  </si>
  <si>
    <t>L5978400</t>
  </si>
  <si>
    <t>Miraval Cotes De Provence 2022 By Brad Pitt</t>
  </si>
  <si>
    <t>L5904200</t>
  </si>
  <si>
    <t>Nicosia Etna Rosso Monte San Nicolo 2019</t>
  </si>
  <si>
    <t>L6020200</t>
  </si>
  <si>
    <t>Nicosia Grillo Fondo Filara Bio 2022</t>
  </si>
  <si>
    <t>L5903100</t>
  </si>
  <si>
    <t>Nicosia Grillo Fondo Filare Bio 2021</t>
  </si>
  <si>
    <t>L6020900</t>
  </si>
  <si>
    <t>Nicosia Nero D'Avola Bio/Vegan 2021</t>
  </si>
  <si>
    <t>L5903900</t>
  </si>
  <si>
    <t>Nicosia Syrah Fondo Filara 2018</t>
  </si>
  <si>
    <t>L5902000</t>
  </si>
  <si>
    <t>Nicosia Vulka Etna Rosso 2017</t>
  </si>
  <si>
    <t>L5905000</t>
  </si>
  <si>
    <t>Ridolfi  Chianti Rochetto 2020</t>
  </si>
  <si>
    <t>L5982500</t>
  </si>
  <si>
    <t>Saint Donger Merlot 2022</t>
  </si>
  <si>
    <t>L5728300</t>
  </si>
  <si>
    <t>L5913800</t>
  </si>
  <si>
    <t>San Felice Vermentino di Toscane Perolla</t>
  </si>
  <si>
    <t>L6000900</t>
  </si>
  <si>
    <t>Santa Maria La Palma Rafia Vermentino 2022</t>
  </si>
  <si>
    <t>L5920300</t>
  </si>
  <si>
    <t>Santa Maria La Palma Vermentino Akenta Cuvee 71 2022</t>
  </si>
  <si>
    <t>L5982300</t>
  </si>
  <si>
    <t>Santa Maria La Palma Vermentino Aragosta 2022</t>
  </si>
  <si>
    <t>L5899400</t>
  </si>
  <si>
    <t>Savini Rondineto Montepulciano d'Abruzzo 2021</t>
  </si>
  <si>
    <t>L6079100</t>
  </si>
  <si>
    <t>Tenuta Maccan Pinot Grigio delle Venezie 2022</t>
  </si>
  <si>
    <t>L5911700</t>
  </si>
  <si>
    <t>Tenuta Scuotto Falanghina 2021</t>
  </si>
  <si>
    <t>L6020600</t>
  </si>
  <si>
    <t>Tenuta Scuotto Falanghina 2022</t>
  </si>
  <si>
    <t>L2497700</t>
  </si>
  <si>
    <t>Torres De Casta Rosada</t>
  </si>
  <si>
    <t>L5981800</t>
  </si>
  <si>
    <t>Tropez Amour de Rose</t>
  </si>
  <si>
    <t>L5981600</t>
  </si>
  <si>
    <t>Tropez Crazy Blanc</t>
  </si>
  <si>
    <t>L5981900</t>
  </si>
  <si>
    <t>Tropez Rose 2022</t>
  </si>
  <si>
    <t>L5981700</t>
  </si>
  <si>
    <t>Tropez Sand Rose</t>
  </si>
  <si>
    <t>L5982000</t>
  </si>
  <si>
    <t>Tropez Sublime Rose 2022</t>
  </si>
  <si>
    <t>L5982100</t>
  </si>
  <si>
    <t>Tropez White Rose 2022</t>
  </si>
  <si>
    <t>L6568100</t>
  </si>
  <si>
    <t>Ultimate AOP Rose 2022</t>
  </si>
  <si>
    <t>L5909100</t>
  </si>
  <si>
    <t>AnneSanti Acqua della Serpa - Bianco Amphora 2019</t>
  </si>
  <si>
    <t>L5427100</t>
  </si>
  <si>
    <t>Axel Yaz Brut Selection + GB</t>
  </si>
  <si>
    <t>L5171000</t>
  </si>
  <si>
    <t>Ayala Brut Majeur</t>
  </si>
  <si>
    <t>L6081400</t>
  </si>
  <si>
    <t>Ayala Rose Majeur + GB</t>
  </si>
  <si>
    <t>L1257400</t>
  </si>
  <si>
    <t>Bollinger Brut Special Cuvee + GB</t>
  </si>
  <si>
    <t>L1257500</t>
  </si>
  <si>
    <t>Bollinger Brut Special Cuvee DF-Label + GB</t>
  </si>
  <si>
    <t>L5212100</t>
  </si>
  <si>
    <t>Bollinger Rose DF-Label + GB</t>
  </si>
  <si>
    <t>L5728600</t>
  </si>
  <si>
    <t>Castelnuovo Pinot Grigio Blush 2022</t>
  </si>
  <si>
    <t>L2566300</t>
  </si>
  <si>
    <t>Charles Heidsieck Brut Reserve</t>
  </si>
  <si>
    <t>L5891400</t>
  </si>
  <si>
    <t>Coppi Sannace Malvasia Nera 2016</t>
  </si>
  <si>
    <t>L5729100</t>
  </si>
  <si>
    <t>Coppi Serralto Malvasia 2021</t>
  </si>
  <si>
    <t>L5171200</t>
  </si>
  <si>
    <t>Deutz Brut Classic + GB</t>
  </si>
  <si>
    <t>L0429500</t>
  </si>
  <si>
    <t>Gosset Grande Reserve Brut</t>
  </si>
  <si>
    <t>L1268100</t>
  </si>
  <si>
    <t>Henkell Rose Trocken</t>
  </si>
  <si>
    <t>L5186400</t>
  </si>
  <si>
    <t>Jean Call Rose Brut</t>
  </si>
  <si>
    <t>L5861300</t>
  </si>
  <si>
    <t>Lamborghini Brut Vino Spumante</t>
  </si>
  <si>
    <t>L6022100</t>
  </si>
  <si>
    <t>Lamborghini Brut Vino Spumante Gold</t>
  </si>
  <si>
    <t>L6022200</t>
  </si>
  <si>
    <t>Lamborghini Brut Vino Spumante Platinum</t>
  </si>
  <si>
    <t>L5047100</t>
  </si>
  <si>
    <t>Laurent Perrier Demi Sec Harmony</t>
  </si>
  <si>
    <t>L0433200</t>
  </si>
  <si>
    <t>Laurent Perrier La Cuvee Brut</t>
  </si>
  <si>
    <t>L0433000</t>
  </si>
  <si>
    <t>Laurent Perrier La Cuvee Brut + GB</t>
  </si>
  <si>
    <t>L2575100</t>
  </si>
  <si>
    <t>Laurent Perrier Rose</t>
  </si>
  <si>
    <t>L0433900</t>
  </si>
  <si>
    <t>L5575800</t>
  </si>
  <si>
    <t>Louis Roederer Cristal Brut 2014 + GB</t>
  </si>
  <si>
    <t>L5836800</t>
  </si>
  <si>
    <t>Martial Richard Blanquette de Limoux</t>
  </si>
  <si>
    <t>L0441100</t>
  </si>
  <si>
    <t>Moet &amp; Chandon Brut Imperial</t>
  </si>
  <si>
    <t>L5027800</t>
  </si>
  <si>
    <t>Moet &amp; Chandon Brut Imperial + GB</t>
  </si>
  <si>
    <t>L6077600</t>
  </si>
  <si>
    <t>Moet &amp; Chandon Cheers To You Limited Edition + GB</t>
  </si>
  <si>
    <t>L6077400</t>
  </si>
  <si>
    <t>Moet &amp; Chandon Congratulations Limited Edition + GB</t>
  </si>
  <si>
    <t>L6077500</t>
  </si>
  <si>
    <t>Moet &amp; Chandon Happy Birthday Limited Edition + GB</t>
  </si>
  <si>
    <t>L0443200</t>
  </si>
  <si>
    <t>Moet &amp; Chandon Ice Imperial</t>
  </si>
  <si>
    <t>L0442800</t>
  </si>
  <si>
    <t>Moet &amp; Chandon Ice Imperial Rose</t>
  </si>
  <si>
    <t>L0444300</t>
  </si>
  <si>
    <t>Moet &amp; Chandon Nectar Imperial</t>
  </si>
  <si>
    <t>L0444100</t>
  </si>
  <si>
    <t>Moet &amp; Chandon Nectar Imperial Rose</t>
  </si>
  <si>
    <t>L0444400</t>
  </si>
  <si>
    <t>Moet &amp; Chandon Nir</t>
  </si>
  <si>
    <t>L0444800</t>
  </si>
  <si>
    <t>Moet &amp; Chandon Rose Imperial</t>
  </si>
  <si>
    <t>L0444600</t>
  </si>
  <si>
    <t>Moet &amp; Chandon Rose Imperial + GB</t>
  </si>
  <si>
    <t>L5472600</t>
  </si>
  <si>
    <t>Mumm Cordon Rose Brut</t>
  </si>
  <si>
    <t>L5337200</t>
  </si>
  <si>
    <t>Nicolas Feuillatte Reserve Exclusive Brut</t>
  </si>
  <si>
    <t>Perrier Jouet Grand Brut</t>
  </si>
  <si>
    <t>L0447400</t>
  </si>
  <si>
    <t>Piper Heidsieck Brut</t>
  </si>
  <si>
    <t>L1819300</t>
  </si>
  <si>
    <t>Piper Heidsieck Brut Lipstick Edition + GB</t>
  </si>
  <si>
    <t>L2580700</t>
  </si>
  <si>
    <t>Piper Heidsieck Cuvee Brut</t>
  </si>
  <si>
    <t>L5730200</t>
  </si>
  <si>
    <t>Piper Heidsieck Summer Limited Edition + GB</t>
  </si>
  <si>
    <t>Ruinart Brut</t>
  </si>
  <si>
    <t>L5988300</t>
  </si>
  <si>
    <t>Santa Maria La Palma Aragosta Spumante brut</t>
  </si>
  <si>
    <t>L5898400</t>
  </si>
  <si>
    <t>Santa Maria La Palma Vermentino Spumante Akenta 2022</t>
  </si>
  <si>
    <t>Torres Vina Sol</t>
  </si>
  <si>
    <t>L5399300</t>
  </si>
  <si>
    <t>L5990300</t>
  </si>
  <si>
    <t>Van Hunks Cap Classique Brut Sparkling Wine 2019</t>
  </si>
  <si>
    <t>L5990400</t>
  </si>
  <si>
    <t>Van Hunks Cap Classique Rose Sparkling Wine 2019</t>
  </si>
  <si>
    <t>L5076300</t>
  </si>
  <si>
    <t>Veuve Amiot Brut</t>
  </si>
  <si>
    <t>L5076200</t>
  </si>
  <si>
    <t>Veuve Amiot Brut Rose</t>
  </si>
  <si>
    <t>L0456300</t>
  </si>
  <si>
    <t>Veuve Amiot Demi Sec</t>
  </si>
  <si>
    <t>L0457200</t>
  </si>
  <si>
    <t>Veuve Clicquot Brut</t>
  </si>
  <si>
    <t>L5843400</t>
  </si>
  <si>
    <t>Veuve Clicquot Brut + GB</t>
  </si>
  <si>
    <t>L0457700</t>
  </si>
  <si>
    <t>Veuve Clicquot Demi Sec</t>
  </si>
  <si>
    <t>L0458200</t>
  </si>
  <si>
    <t>Veuve Clicquot Rich</t>
  </si>
  <si>
    <t>L0458100</t>
  </si>
  <si>
    <t>Veuve Clicquot Rich Rose</t>
  </si>
  <si>
    <t>L1302800</t>
  </si>
  <si>
    <t>Veuve Clicquot Vintage 2012 + GB</t>
  </si>
  <si>
    <t>L5909200</t>
  </si>
  <si>
    <t>AnneSanti Colle Fregiara Bianco Amphora 2019</t>
  </si>
  <si>
    <t>L5908900</t>
  </si>
  <si>
    <t>AnneSanti Suppriscola -Barbera 2019</t>
  </si>
  <si>
    <t>L5782200</t>
  </si>
  <si>
    <t>Armand De Brignac Brut Gold + Velvet Bag</t>
  </si>
  <si>
    <t>Armand De Brignac Brut Gold + Wooden GB</t>
  </si>
  <si>
    <t>L5937800</t>
  </si>
  <si>
    <t>L5589200</t>
  </si>
  <si>
    <t>Armand De Brignac Rose + Velvet Bag</t>
  </si>
  <si>
    <t>L5938800</t>
  </si>
  <si>
    <t>Bodega Gotica Verdejo Badajo 2022</t>
  </si>
  <si>
    <t>Ca'del Bosco Cuvee Prestige</t>
  </si>
  <si>
    <t>L5738100</t>
  </si>
  <si>
    <t>Castelnuovo Pinot Grigio Delle Venezie 2022</t>
  </si>
  <si>
    <t>L5834900</t>
  </si>
  <si>
    <t>Cattier Dry Rose</t>
  </si>
  <si>
    <t>L5921800</t>
  </si>
  <si>
    <t>De Courtil Chardonnay Colombard IGP Pays D'oc 2022</t>
  </si>
  <si>
    <t>L5899000</t>
  </si>
  <si>
    <t>Dom Perignon Brut Vintage 2013</t>
  </si>
  <si>
    <t>Dom Perignon Brut Vintage 2013 + GB</t>
  </si>
  <si>
    <t>L5898900</t>
  </si>
  <si>
    <t>L6117000</t>
  </si>
  <si>
    <t>Dom Perignon Rose Vintage 2009 + GB</t>
  </si>
  <si>
    <t>L0171200</t>
  </si>
  <si>
    <t>Ferrari Brut</t>
  </si>
  <si>
    <t>L5963100</t>
  </si>
  <si>
    <t>Ferrari Brut + GB</t>
  </si>
  <si>
    <t>L0170400</t>
  </si>
  <si>
    <t>Fürst V. Metternich</t>
  </si>
  <si>
    <t>L5841600</t>
  </si>
  <si>
    <t>Heidsieck &amp; Co Monopole Blue Top Brut</t>
  </si>
  <si>
    <t>L5861000</t>
  </si>
  <si>
    <t>Lamborghini Luxe Grechetto Umbria IGT 2022</t>
  </si>
  <si>
    <t>L5748900</t>
  </si>
  <si>
    <t>Lanson White Label Ice</t>
  </si>
  <si>
    <t>L5910600</t>
  </si>
  <si>
    <t>Le Monde Ribolla Gialla 2021</t>
  </si>
  <si>
    <t>L5910900</t>
  </si>
  <si>
    <t>Le Monde Traminer 2020</t>
  </si>
  <si>
    <t>L5829000</t>
  </si>
  <si>
    <t>Louis Roederer Brut Collection 243 + GB</t>
  </si>
  <si>
    <t>L1273000</t>
  </si>
  <si>
    <t>Luc Belaire Gold Brut Fantome</t>
  </si>
  <si>
    <t>L0434600</t>
  </si>
  <si>
    <t>Luc Belaire Luxe Rose</t>
  </si>
  <si>
    <t>L0434700</t>
  </si>
  <si>
    <t>Luc Belaire Rare Luxe</t>
  </si>
  <si>
    <t>L5008800</t>
  </si>
  <si>
    <t>Luc Belaire Rare Luxe Fantome Luminous</t>
  </si>
  <si>
    <t>L5081100</t>
  </si>
  <si>
    <t>Luc Belaire Rare Rose</t>
  </si>
  <si>
    <t>L0435200</t>
  </si>
  <si>
    <t>L0434800</t>
  </si>
  <si>
    <t>Luc Belaire Rare Rose Fantome Luminous</t>
  </si>
  <si>
    <t>L5892700</t>
  </si>
  <si>
    <t>Mumm Brut Cordon Grand</t>
  </si>
  <si>
    <t>L6116000</t>
  </si>
  <si>
    <t>L5768000</t>
  </si>
  <si>
    <t>Mumm Ice Xtra Demi-Sec</t>
  </si>
  <si>
    <t>L5902700</t>
  </si>
  <si>
    <t>Nicosia Grillo Bio/Vegan 2021</t>
  </si>
  <si>
    <t>L6020300</t>
  </si>
  <si>
    <t>Nicosia Grillo Bio/Vegan 2022</t>
  </si>
  <si>
    <t>L6020800</t>
  </si>
  <si>
    <t>Nicosia Passuluna Bianco 2022</t>
  </si>
  <si>
    <t>L5927900</t>
  </si>
  <si>
    <t>Pegoes De fonte Do Nico Tinto VR Peninsula De Setubal 2018</t>
  </si>
  <si>
    <t>L5899600</t>
  </si>
  <si>
    <t>Pegoes De fonte Do Nico Tinto VR Peninsula De Setubal 2019</t>
  </si>
  <si>
    <t>L5806600</t>
  </si>
  <si>
    <t>Perrier Jouet Belle Epoque Brut 2014</t>
  </si>
  <si>
    <t>L5060200</t>
  </si>
  <si>
    <t>L5704300</t>
  </si>
  <si>
    <t>Philipponnat Royal Reserve Brut</t>
  </si>
  <si>
    <t>Pol Roger Brut Reserve + GB</t>
  </si>
  <si>
    <t>L2497400</t>
  </si>
  <si>
    <t>L5428200</t>
  </si>
  <si>
    <t>Pommery Brut Rose</t>
  </si>
  <si>
    <t>L2405900</t>
  </si>
  <si>
    <t>Pommery Brut Royal</t>
  </si>
  <si>
    <t>L0447600</t>
  </si>
  <si>
    <t>L0451100</t>
  </si>
  <si>
    <t>Ruinart Blanc De Blancs</t>
  </si>
  <si>
    <t>L5112600</t>
  </si>
  <si>
    <t>L5675000</t>
  </si>
  <si>
    <t>L0452200</t>
  </si>
  <si>
    <t>Ruinart Rose</t>
  </si>
  <si>
    <t>L5118500</t>
  </si>
  <si>
    <t>Ruinart Rose Second Skin</t>
  </si>
  <si>
    <t>L5899500</t>
  </si>
  <si>
    <t>Savini Rondineto Pinot Grigio d’Abruzzo 2021</t>
  </si>
  <si>
    <t>L5023200</t>
  </si>
  <si>
    <t>Slayer Reign In Blood Cabernet Sauvignon 2019</t>
  </si>
  <si>
    <t>L0455400</t>
  </si>
  <si>
    <t>Taittinger Brut Reserve</t>
  </si>
  <si>
    <t>L5943300</t>
  </si>
  <si>
    <t>Taittinger Comte De Champagne 2012</t>
  </si>
  <si>
    <t>L5500500</t>
  </si>
  <si>
    <t>Taittinger Nocturne Sec Blanc + GB</t>
  </si>
  <si>
    <t>L5557000</t>
  </si>
  <si>
    <t>Taittinger Prelude Grand Cru + GB</t>
  </si>
  <si>
    <t>L5284100</t>
  </si>
  <si>
    <t>Taittinger Rose Brut + GB</t>
  </si>
  <si>
    <t>L5633500</t>
  </si>
  <si>
    <t>Terre Di Moro Pecorino 2021</t>
  </si>
  <si>
    <t>L5981400</t>
  </si>
  <si>
    <t>Tropez Crazy Rose</t>
  </si>
  <si>
    <t>L1302300</t>
  </si>
  <si>
    <t>Veuve Clicquot Rose</t>
  </si>
  <si>
    <t>L5973000</t>
  </si>
  <si>
    <t>L5684800</t>
  </si>
  <si>
    <t>1800 Cristalino Anejo + GB</t>
  </si>
  <si>
    <t>L2462000</t>
  </si>
  <si>
    <t>5 O'Clock Peanut Butter Whiskey</t>
  </si>
  <si>
    <t>L5013500</t>
  </si>
  <si>
    <t>A.H. Riise Non Plus Ultra Ambre d'Or Excellence + GB</t>
  </si>
  <si>
    <t>L5013100</t>
  </si>
  <si>
    <t>A.H. Riise Non Plus Ultra Black Edition + GB</t>
  </si>
  <si>
    <t>L5013200</t>
  </si>
  <si>
    <t>A.H. Riise Non Plus Ultra Very Rare + GB</t>
  </si>
  <si>
    <t>L5012800</t>
  </si>
  <si>
    <t>A.H. Riise XO 175Th Anniversary + GB</t>
  </si>
  <si>
    <t>L5032100</t>
  </si>
  <si>
    <t>A.H. Riise XO Ambre d'Or Reserve + GB</t>
  </si>
  <si>
    <t>L0706000</t>
  </si>
  <si>
    <t>Aberlour 12 Years Non Chill-filtered + GB</t>
  </si>
  <si>
    <t>L6000600</t>
  </si>
  <si>
    <t>Aberlour A'Bunadh - Batch 77 + GB</t>
  </si>
  <si>
    <t>L5678000</t>
  </si>
  <si>
    <t>Aberlour A'bunadh Alba - Batch No. 005 + GB</t>
  </si>
  <si>
    <t>L5989600</t>
  </si>
  <si>
    <t>Aberlour A'bunadh Alba - Batch No. 007 + GB</t>
  </si>
  <si>
    <t>L0708700</t>
  </si>
  <si>
    <t>Aberlour Casg Annamh + GB</t>
  </si>
  <si>
    <t>L0462200</t>
  </si>
  <si>
    <t>Absinth Mr. Jekyll</t>
  </si>
  <si>
    <t>L0462300</t>
  </si>
  <si>
    <t>Absinthe Absente 55</t>
  </si>
  <si>
    <t>L1156500</t>
  </si>
  <si>
    <t>Absinthe Green Jacques Senaux</t>
  </si>
  <si>
    <t>L0872700</t>
  </si>
  <si>
    <t>Absolut Elyx</t>
  </si>
  <si>
    <t>L5865900</t>
  </si>
  <si>
    <t>Adamus Bagaceira Marc + GB</t>
  </si>
  <si>
    <t>L5257300</t>
  </si>
  <si>
    <t>Adamus Organic Dry Gin + White GB</t>
  </si>
  <si>
    <t>L5229200</t>
  </si>
  <si>
    <t>Adamus Organic Dry Gin Signature Edition + GB</t>
  </si>
  <si>
    <t>L5590200</t>
  </si>
  <si>
    <t>Adamus Vinica 20 Years Old + GB</t>
  </si>
  <si>
    <t>L0462800</t>
  </si>
  <si>
    <t>Aftershock Blue</t>
  </si>
  <si>
    <t>L0462900</t>
  </si>
  <si>
    <t>Aftershock Red</t>
  </si>
  <si>
    <t>L0463100</t>
  </si>
  <si>
    <t>Agwa De Bolivia</t>
  </si>
  <si>
    <t>L5189000</t>
  </si>
  <si>
    <t>Ailsa Bay</t>
  </si>
  <si>
    <t>L1170300</t>
  </si>
  <si>
    <t>Akori Premium</t>
  </si>
  <si>
    <t>L1241900</t>
  </si>
  <si>
    <t>Akori Premium + Glass</t>
  </si>
  <si>
    <t>L0463900</t>
  </si>
  <si>
    <t>Alize Bleu</t>
  </si>
  <si>
    <t>L5086600</t>
  </si>
  <si>
    <t>Alize Gold</t>
  </si>
  <si>
    <t>L0464400</t>
  </si>
  <si>
    <t>Alize Red</t>
  </si>
  <si>
    <t>L0031700</t>
  </si>
  <si>
    <t>Amarguinha Amendoa Amarga</t>
  </si>
  <si>
    <t>L5408000</t>
  </si>
  <si>
    <t>Amarguinha Amendoa Amarga + GB</t>
  </si>
  <si>
    <t>L5854600</t>
  </si>
  <si>
    <t>Amarguinha Amendoa Amarga + Glass</t>
  </si>
  <si>
    <t>L0515900</t>
  </si>
  <si>
    <t>Amaro Lucano</t>
  </si>
  <si>
    <t>L0516200</t>
  </si>
  <si>
    <t>L0461900</t>
  </si>
  <si>
    <t>L2394500</t>
  </si>
  <si>
    <t>Amarula Raspberry Chocolate</t>
  </si>
  <si>
    <t>L5395500</t>
  </si>
  <si>
    <t>Amazzoni</t>
  </si>
  <si>
    <t>L5395400</t>
  </si>
  <si>
    <t>Amazzoni Rio Negro</t>
  </si>
  <si>
    <t>L5976700</t>
  </si>
  <si>
    <t>Amici Limoncello</t>
  </si>
  <si>
    <t>L0712500</t>
  </si>
  <si>
    <t>L0712600</t>
  </si>
  <si>
    <t>Amrut Fusion + GB</t>
  </si>
  <si>
    <t>L5437700</t>
  </si>
  <si>
    <t>Angel's Envy Port Cask Finish</t>
  </si>
  <si>
    <t>L5302200</t>
  </si>
  <si>
    <t>Apenshot</t>
  </si>
  <si>
    <t>L0514200</t>
  </si>
  <si>
    <t>Archers Peach</t>
  </si>
  <si>
    <t>L6101000</t>
  </si>
  <si>
    <t>Ardbeg 19 Years Traigh Bhan Batch 5 + GB</t>
  </si>
  <si>
    <t>L5762400</t>
  </si>
  <si>
    <t>Ardbeg 21 Years Private Single Cask 1565 Oloroso + GB</t>
  </si>
  <si>
    <t>L1960200</t>
  </si>
  <si>
    <t>Ardbeg 5 Years Wee Beastie</t>
  </si>
  <si>
    <t>L0715600</t>
  </si>
  <si>
    <t>Ardbeg Corryvreckan + GB</t>
  </si>
  <si>
    <t>L0716500</t>
  </si>
  <si>
    <t>Ardbeg Uigeadail + GB</t>
  </si>
  <si>
    <t>L1200800</t>
  </si>
  <si>
    <t>Arran Amarone Cask Finish + GB</t>
  </si>
  <si>
    <t>L1201800</t>
  </si>
  <si>
    <t>Arran Likeur Gold</t>
  </si>
  <si>
    <t>L1961500</t>
  </si>
  <si>
    <t>Arran Machrie Moor Peated Cask Strength + Tin GB</t>
  </si>
  <si>
    <t>L1203700</t>
  </si>
  <si>
    <t>Arran Quarter Cask + GB</t>
  </si>
  <si>
    <t>L1204200</t>
  </si>
  <si>
    <t>Arran Sauternes Cask Finish + GB</t>
  </si>
  <si>
    <t>L2498000</t>
  </si>
  <si>
    <t>Arran Sherry Cask + GB</t>
  </si>
  <si>
    <t>L5256900</t>
  </si>
  <si>
    <t>Artemi Caramel Vodka NRF</t>
  </si>
  <si>
    <t>L0518200</t>
  </si>
  <si>
    <t>Asbach Uralt 3 Years</t>
  </si>
  <si>
    <t>L2340300</t>
  </si>
  <si>
    <t>Au Vodka Black Grape Flavour</t>
  </si>
  <si>
    <t>L5015300</t>
  </si>
  <si>
    <t>Au Vodka Blue Raspberry</t>
  </si>
  <si>
    <t>L6094000</t>
  </si>
  <si>
    <t>Au Vodka Bubblegum</t>
  </si>
  <si>
    <t>L5219300</t>
  </si>
  <si>
    <t>Au Vodka Green Watermelon</t>
  </si>
  <si>
    <t>L6066600</t>
  </si>
  <si>
    <t>Au Vodka Pineapple Crush</t>
  </si>
  <si>
    <t>L6093800</t>
  </si>
  <si>
    <t>Au Vodka Pink Lemonade</t>
  </si>
  <si>
    <t>L6093900</t>
  </si>
  <si>
    <t>Au Vodka Red Cherry</t>
  </si>
  <si>
    <t>L0515600</t>
  </si>
  <si>
    <t>L0870400</t>
  </si>
  <si>
    <t>Aviation Gin</t>
  </si>
  <si>
    <t>L0885000</t>
  </si>
  <si>
    <t>Bacardi Coconut</t>
  </si>
  <si>
    <t>L5712500</t>
  </si>
  <si>
    <t>Bacardi Coquito Limited Edition</t>
  </si>
  <si>
    <t>L5174700</t>
  </si>
  <si>
    <t>Bacardi Heritage</t>
  </si>
  <si>
    <t>L0887100</t>
  </si>
  <si>
    <t>L0887500</t>
  </si>
  <si>
    <t>Bacardi Mango</t>
  </si>
  <si>
    <t>L0887900</t>
  </si>
  <si>
    <t>Bacardi Mojito</t>
  </si>
  <si>
    <t>L5972500</t>
  </si>
  <si>
    <t>Bacardi Punch</t>
  </si>
  <si>
    <t>L0889300</t>
  </si>
  <si>
    <t>L2248800</t>
  </si>
  <si>
    <t>L5957100</t>
  </si>
  <si>
    <t>Bacardi Tropical</t>
  </si>
  <si>
    <t>L5382500</t>
  </si>
  <si>
    <t>Baileys Birthday Cake</t>
  </si>
  <si>
    <t>L5573000</t>
  </si>
  <si>
    <t>Baileys Colada Limited Edition</t>
  </si>
  <si>
    <t>L2352400</t>
  </si>
  <si>
    <t>Baileys Espresso Creme</t>
  </si>
  <si>
    <t>L0467700</t>
  </si>
  <si>
    <t>L2326500</t>
  </si>
  <si>
    <t>Baileys Salted Caramel</t>
  </si>
  <si>
    <t>L0469200</t>
  </si>
  <si>
    <t>Baileys Strawberries &amp; Cream</t>
  </si>
  <si>
    <t>L6081900</t>
  </si>
  <si>
    <t>Balcones Eclipse Texas Rye</t>
  </si>
  <si>
    <t>L5578200</t>
  </si>
  <si>
    <t>Balcones Texas Single Malt Classic Edition</t>
  </si>
  <si>
    <t>L1487800</t>
  </si>
  <si>
    <t>Balvenie 12 Years Single Barrel + GB</t>
  </si>
  <si>
    <t>L0738100</t>
  </si>
  <si>
    <t>Balvenie 14 Years The Week Of Peat + GB</t>
  </si>
  <si>
    <t>L5705600</t>
  </si>
  <si>
    <t>Balvenie 16 Years French Oak + GB</t>
  </si>
  <si>
    <t>L0199400</t>
  </si>
  <si>
    <t>Bärenfang</t>
  </si>
  <si>
    <t>L0322200</t>
  </si>
  <si>
    <t>Barenjager Honey Liqueur</t>
  </si>
  <si>
    <t>L0894100</t>
  </si>
  <si>
    <t>L0471800</t>
  </si>
  <si>
    <t>L5989700</t>
  </si>
  <si>
    <t>L0469700</t>
  </si>
  <si>
    <t>L1307900</t>
  </si>
  <si>
    <t>Berentzen Caramel Cream</t>
  </si>
  <si>
    <t>L0470400</t>
  </si>
  <si>
    <t>Berentzen Maracuja</t>
  </si>
  <si>
    <t>L5099500</t>
  </si>
  <si>
    <t>Berentzen Passionfruit Cream</t>
  </si>
  <si>
    <t>L1904600</t>
  </si>
  <si>
    <t>Berentzen Peer</t>
  </si>
  <si>
    <t>L2357000</t>
  </si>
  <si>
    <t>Berentzen Raspberry Cream</t>
  </si>
  <si>
    <t>L0470700</t>
  </si>
  <si>
    <t>Berentzen Saurer Apfel</t>
  </si>
  <si>
    <t>L1309900</t>
  </si>
  <si>
    <t>Berentzen Traditionskorn</t>
  </si>
  <si>
    <t>L0470900</t>
  </si>
  <si>
    <t>Berentzen Waldfrucht</t>
  </si>
  <si>
    <t>L0471000</t>
  </si>
  <si>
    <t>Berentzen Waldmeister</t>
  </si>
  <si>
    <t>L1310200</t>
  </si>
  <si>
    <t>Berentzen White Chocolate Macadamia</t>
  </si>
  <si>
    <t>L1310300</t>
  </si>
  <si>
    <t>Berentzen Wild Kirsch</t>
  </si>
  <si>
    <t>L0298200</t>
  </si>
  <si>
    <t>Berliner Brandstifter Dry Gin</t>
  </si>
  <si>
    <t>L1311500</t>
  </si>
  <si>
    <t>Berliner Luft Bangarang</t>
  </si>
  <si>
    <t>L1972500</t>
  </si>
  <si>
    <t>Berliner Luft Lindenblüte Likör</t>
  </si>
  <si>
    <t>L0471500</t>
  </si>
  <si>
    <t>L0032900</t>
  </si>
  <si>
    <t>Beveland Blue Curacao</t>
  </si>
  <si>
    <t>L0471400</t>
  </si>
  <si>
    <t>Bicerin Chocolate Liqueur</t>
  </si>
  <si>
    <t>L5380500</t>
  </si>
  <si>
    <t>Black Bottle Double Cask</t>
  </si>
  <si>
    <t>L5380400</t>
  </si>
  <si>
    <t>Black Bottle Island Smoke</t>
  </si>
  <si>
    <t>L6071400</t>
  </si>
  <si>
    <t>Black Bull 18 Years Limited Edition + GB</t>
  </si>
  <si>
    <t>L6071500</t>
  </si>
  <si>
    <t>Black Bull 30 Years Limited Edition + GB</t>
  </si>
  <si>
    <t>L5652400</t>
  </si>
  <si>
    <t>Black Bull 8 Years</t>
  </si>
  <si>
    <t>L0606800</t>
  </si>
  <si>
    <t>Black Bull Kyloe</t>
  </si>
  <si>
    <t>L6071600</t>
  </si>
  <si>
    <t>Black Bull Kyloe Peated Finish</t>
  </si>
  <si>
    <t>L0094500</t>
  </si>
  <si>
    <t>Black Scanlan Honey</t>
  </si>
  <si>
    <t>L6102000</t>
  </si>
  <si>
    <t>Blackwoods Vintage 2021 Navy Strength Gin</t>
  </si>
  <si>
    <t>L1422600</t>
  </si>
  <si>
    <t>Blanton's Original + GB</t>
  </si>
  <si>
    <t>Bluecoat Gin</t>
  </si>
  <si>
    <t>L1688000</t>
  </si>
  <si>
    <t>L1015900</t>
  </si>
  <si>
    <t>Bobby's Schiedam Dry Gin</t>
  </si>
  <si>
    <t>L0520700</t>
  </si>
  <si>
    <t>Bols Advocaat Dun</t>
  </si>
  <si>
    <t>L0520800</t>
  </si>
  <si>
    <t>Bols Amaretto</t>
  </si>
  <si>
    <t>L0521000</t>
  </si>
  <si>
    <t>Bols Apricot Brandy</t>
  </si>
  <si>
    <t>L0521200</t>
  </si>
  <si>
    <t>Bols Blue Curacao</t>
  </si>
  <si>
    <t>L5005200</t>
  </si>
  <si>
    <t>Bols Butterscotch</t>
  </si>
  <si>
    <t>L0521300</t>
  </si>
  <si>
    <t>Bols Cherry Brandy</t>
  </si>
  <si>
    <t>L0521500</t>
  </si>
  <si>
    <t>Bols Coconut</t>
  </si>
  <si>
    <t>L1348000</t>
  </si>
  <si>
    <t>Bols Creme De Banana</t>
  </si>
  <si>
    <t>L0521800</t>
  </si>
  <si>
    <t>Bols Creme De Cacao Brown</t>
  </si>
  <si>
    <t>L0521900</t>
  </si>
  <si>
    <t>Bols Creme De Cacao White</t>
  </si>
  <si>
    <t>L0522000</t>
  </si>
  <si>
    <t>Bols Creme De Cassis</t>
  </si>
  <si>
    <t>L0522100</t>
  </si>
  <si>
    <t>Bols Dry Orange Curacao</t>
  </si>
  <si>
    <t>L0522200</t>
  </si>
  <si>
    <t>Bols Elderflower</t>
  </si>
  <si>
    <t>L0522300</t>
  </si>
  <si>
    <t>Bols Genever</t>
  </si>
  <si>
    <t>L1307000</t>
  </si>
  <si>
    <t>Bols Green Banana</t>
  </si>
  <si>
    <t>L0523100</t>
  </si>
  <si>
    <t>Bols Lychee</t>
  </si>
  <si>
    <t>L0523200</t>
  </si>
  <si>
    <t>Bols Mango</t>
  </si>
  <si>
    <t>L0523300</t>
  </si>
  <si>
    <t>Bols Maraschino</t>
  </si>
  <si>
    <t>L0466500</t>
  </si>
  <si>
    <t>Bols Melon</t>
  </si>
  <si>
    <t>L0523500</t>
  </si>
  <si>
    <t>Bols Parfait Amour</t>
  </si>
  <si>
    <t>L1307200</t>
  </si>
  <si>
    <t>Bols Passion Fruit</t>
  </si>
  <si>
    <t>L0523700</t>
  </si>
  <si>
    <t>Bols Peach</t>
  </si>
  <si>
    <t>L0523800</t>
  </si>
  <si>
    <t>Bols Peppermint Green</t>
  </si>
  <si>
    <t>L0523900</t>
  </si>
  <si>
    <t>Bols Raspberry</t>
  </si>
  <si>
    <t>L0524200</t>
  </si>
  <si>
    <t>Bols Sour Apple</t>
  </si>
  <si>
    <t>L0524300</t>
  </si>
  <si>
    <t>Bols Strawberry</t>
  </si>
  <si>
    <t>L0466600</t>
  </si>
  <si>
    <t>Bols Vanille</t>
  </si>
  <si>
    <t>L5005800</t>
  </si>
  <si>
    <t>Bols Watermelon</t>
  </si>
  <si>
    <t>L0524700</t>
  </si>
  <si>
    <t>Bols Yoghurt</t>
  </si>
  <si>
    <t>L1690500</t>
  </si>
  <si>
    <t>Bombay Sapphire East</t>
  </si>
  <si>
    <t>L5396000</t>
  </si>
  <si>
    <t>Bombay Sapphire Premier Cru</t>
  </si>
  <si>
    <t>L1979200</t>
  </si>
  <si>
    <t>Boomsma Cloosterlikeur</t>
  </si>
  <si>
    <t>L1310900</t>
  </si>
  <si>
    <t>Borghetti Espresso Liqueur</t>
  </si>
  <si>
    <t>L0472300</t>
  </si>
  <si>
    <t>L2498300</t>
  </si>
  <si>
    <t>Boswandeling Pink</t>
  </si>
  <si>
    <t>L6037100</t>
  </si>
  <si>
    <t>Braulio Riserva</t>
  </si>
  <si>
    <t>L5152800</t>
  </si>
  <si>
    <t>Brighton Gin Seaside Strength</t>
  </si>
  <si>
    <t>L5535300</t>
  </si>
  <si>
    <t>Bruichladdich Islay Barley 2013 + Tin GB</t>
  </si>
  <si>
    <t>L1528400</t>
  </si>
  <si>
    <t>Bruichladdich Laddie 8 + GB</t>
  </si>
  <si>
    <t>L5837600</t>
  </si>
  <si>
    <t>Bruichladdich Port Charlotte 10 Years</t>
  </si>
  <si>
    <t>L5960600</t>
  </si>
  <si>
    <t>Bruichladdich Port Charlotte Islay Barley 2014</t>
  </si>
  <si>
    <t>L0733300</t>
  </si>
  <si>
    <t>Bruichladdich Scottish Barley Classic Laddie + GB</t>
  </si>
  <si>
    <t>L5388100</t>
  </si>
  <si>
    <t>Brunswick Aces Hearts Sapiir</t>
  </si>
  <si>
    <t>L5388000</t>
  </si>
  <si>
    <t>Brunswick Aces Spades Sapiir</t>
  </si>
  <si>
    <t>L5287000</t>
  </si>
  <si>
    <t>Buitral Strawberry Cream</t>
  </si>
  <si>
    <t>L0608100</t>
  </si>
  <si>
    <t>Bulleit 10 Years</t>
  </si>
  <si>
    <t>L2498400</t>
  </si>
  <si>
    <t>Bumbu Cream</t>
  </si>
  <si>
    <t>L0733700</t>
  </si>
  <si>
    <t>Bunnahabhain 12 Years + GB</t>
  </si>
  <si>
    <t>L0735600</t>
  </si>
  <si>
    <t>Bunnahabhain Stiuireadair + GB</t>
  </si>
  <si>
    <t>L1478500</t>
  </si>
  <si>
    <t>Bunnahabhain Toiteach a Dha + GB</t>
  </si>
  <si>
    <t>L5879800</t>
  </si>
  <si>
    <t>Bushmills Causeway Collection Pomerol 2012 + GB</t>
  </si>
  <si>
    <t>L5297600</t>
  </si>
  <si>
    <t>Cafe Marakesh Original NRF</t>
  </si>
  <si>
    <t>L5566500</t>
  </si>
  <si>
    <t>Caffo Clementino Della</t>
  </si>
  <si>
    <t>L6001000</t>
  </si>
  <si>
    <t>Camatti Amaro</t>
  </si>
  <si>
    <t>L0329400</t>
  </si>
  <si>
    <t>Camino Real Tequila</t>
  </si>
  <si>
    <t>L0534500</t>
  </si>
  <si>
    <t>L1356600</t>
  </si>
  <si>
    <t>L0472500</t>
  </si>
  <si>
    <t>Cannabis Sativa Liquor</t>
  </si>
  <si>
    <t>L1909100</t>
  </si>
  <si>
    <t>Cantares Pastel de Nata</t>
  </si>
  <si>
    <t>L1698700</t>
  </si>
  <si>
    <t>Caorunn Gin</t>
  </si>
  <si>
    <t>L5977100</t>
  </si>
  <si>
    <t>Caperdonich 25 Years Peated + GB</t>
  </si>
  <si>
    <t>L5408800</t>
  </si>
  <si>
    <t>Captain Morgan Sliced Apple</t>
  </si>
  <si>
    <t>L0908000</t>
  </si>
  <si>
    <t>L1988000</t>
  </si>
  <si>
    <t>Captain Morgan Tiki - Mango &amp; Pineapple</t>
  </si>
  <si>
    <t>L5537200</t>
  </si>
  <si>
    <t>Cardhu 14 Years Special Release 2021 + GB</t>
  </si>
  <si>
    <t>L5376500</t>
  </si>
  <si>
    <t>L2254500</t>
  </si>
  <si>
    <t>Carlos I Amontillado + GB</t>
  </si>
  <si>
    <t>L2254600</t>
  </si>
  <si>
    <t>Carlos I PX + GB</t>
  </si>
  <si>
    <t>L0473200</t>
  </si>
  <si>
    <t>Carolans Irish Cream</t>
  </si>
  <si>
    <t>L1908500</t>
  </si>
  <si>
    <t>Casoni Amaretto</t>
  </si>
  <si>
    <t>L1909200</t>
  </si>
  <si>
    <t>Cassis Sisca</t>
  </si>
  <si>
    <t>L0861400</t>
  </si>
  <si>
    <t>Catz Dry Gin</t>
  </si>
  <si>
    <t>L1844500</t>
  </si>
  <si>
    <t>Cayo Grande Club Spiced</t>
  </si>
  <si>
    <t>L1989700</t>
  </si>
  <si>
    <t>Cellini Crema Di Limoncello</t>
  </si>
  <si>
    <t>L5683800</t>
  </si>
  <si>
    <t>Cellini Crema Gianduia</t>
  </si>
  <si>
    <t>L0535300</t>
  </si>
  <si>
    <t>Cellini Limoncello</t>
  </si>
  <si>
    <t>L1319400</t>
  </si>
  <si>
    <t>L0241600</t>
  </si>
  <si>
    <t>Chantre</t>
  </si>
  <si>
    <t>L0474900</t>
  </si>
  <si>
    <t>Chartreuse Green</t>
  </si>
  <si>
    <t>L2603100</t>
  </si>
  <si>
    <t>Chateau des breuil 20 years XO</t>
  </si>
  <si>
    <t>L1259400</t>
  </si>
  <si>
    <t>Chateau Du Breuil 15 Years + GB</t>
  </si>
  <si>
    <t>L1260200</t>
  </si>
  <si>
    <t>Chateau Du Breuil 20 Years XO + GB</t>
  </si>
  <si>
    <t>L0066600</t>
  </si>
  <si>
    <t>Chateau Du Breuil Vieille Prune</t>
  </si>
  <si>
    <t>L5492600</t>
  </si>
  <si>
    <t>Christian Drouin Le Gin</t>
  </si>
  <si>
    <t>L5804900</t>
  </si>
  <si>
    <t>Christmas Globe Spiced Orange &amp; Cranberry Gin Liquer + GB</t>
  </si>
  <si>
    <t>L1319000</t>
  </si>
  <si>
    <t>Ciemme Amaretto</t>
  </si>
  <si>
    <t>L1319100</t>
  </si>
  <si>
    <t>Ciemme Limoni Likör</t>
  </si>
  <si>
    <t>L1319200</t>
  </si>
  <si>
    <t>Ciemme Maraschino</t>
  </si>
  <si>
    <t>L5353000</t>
  </si>
  <si>
    <t>Cihuatan Sahumerio + GB</t>
  </si>
  <si>
    <t>L0899400</t>
  </si>
  <si>
    <t>Citadelle Gin</t>
  </si>
  <si>
    <t>L5196800</t>
  </si>
  <si>
    <t>Citadelle Jardin D'Ete</t>
  </si>
  <si>
    <t>L1707200</t>
  </si>
  <si>
    <t>L1706500</t>
  </si>
  <si>
    <t>Clement XO + GB</t>
  </si>
  <si>
    <t>L5858600</t>
  </si>
  <si>
    <t>Clydebuilt Shipwright + GB</t>
  </si>
  <si>
    <t>L0031100</t>
  </si>
  <si>
    <t>Cocalero</t>
  </si>
  <si>
    <t>L5749400</t>
  </si>
  <si>
    <t>Codigo 1530 Rosa</t>
  </si>
  <si>
    <t>L5969700</t>
  </si>
  <si>
    <t>Companero Elixir Extra</t>
  </si>
  <si>
    <t>L5610100</t>
  </si>
  <si>
    <t>Companero Extra Anejo + GB</t>
  </si>
  <si>
    <t>L6084600</t>
  </si>
  <si>
    <t>Compass Box The Peat Monster Cask Strength + GB</t>
  </si>
  <si>
    <t>L5639200</t>
  </si>
  <si>
    <t>Coopers Choice Vintage 2009 Mannochmore + GB</t>
  </si>
  <si>
    <t>L5639600</t>
  </si>
  <si>
    <t>Coopers Choice Vintage 2010 Dailuaine + GB</t>
  </si>
  <si>
    <t>L5638800</t>
  </si>
  <si>
    <t>Coopers Choice Vintage 2010 Glen Spey + GB</t>
  </si>
  <si>
    <t>L5638600</t>
  </si>
  <si>
    <t>Coopers Choice Vintage 2010 Strathmill + GB</t>
  </si>
  <si>
    <t>L5639000</t>
  </si>
  <si>
    <t>Coopers Choice Vintage 2010 Teaninich +GB</t>
  </si>
  <si>
    <t>L0074800</t>
  </si>
  <si>
    <t>Cooymans Advocaat</t>
  </si>
  <si>
    <t>L5884300</t>
  </si>
  <si>
    <t>Coppa Cocktails Amaretto Sour</t>
  </si>
  <si>
    <t>L0036600</t>
  </si>
  <si>
    <t>Coppa Cocktails Cosmopolitan</t>
  </si>
  <si>
    <t>L2396400</t>
  </si>
  <si>
    <t>Coppa Cocktails Espresso Martini</t>
  </si>
  <si>
    <t>L0036800</t>
  </si>
  <si>
    <t>Coppa Cocktails Long Island Iced Tea</t>
  </si>
  <si>
    <t>L5290700</t>
  </si>
  <si>
    <t>Coppa Cocktails Mai Tai</t>
  </si>
  <si>
    <t>L5822600</t>
  </si>
  <si>
    <t>Coppa Cocktails Margarita</t>
  </si>
  <si>
    <t>L0036900</t>
  </si>
  <si>
    <t>Coppa Cocktails Mojito</t>
  </si>
  <si>
    <t>L2396500</t>
  </si>
  <si>
    <t>Coppa Cocktails Negroni</t>
  </si>
  <si>
    <t>L2396600</t>
  </si>
  <si>
    <t>Coppa Cocktails Passion Fruit Martini</t>
  </si>
  <si>
    <t>L0037200</t>
  </si>
  <si>
    <t>Coppa Cocktails Pina Colada</t>
  </si>
  <si>
    <t>L0036500</t>
  </si>
  <si>
    <t>Coppa Cocktails Rum &amp; Ginger</t>
  </si>
  <si>
    <t>L0037300</t>
  </si>
  <si>
    <t>Coppa Cocktails Sex On The Beach</t>
  </si>
  <si>
    <t>L0037400</t>
  </si>
  <si>
    <t>Coppa Cocktails Strawberry Daiquiri</t>
  </si>
  <si>
    <t>L0036700</t>
  </si>
  <si>
    <t>Coppa Cocktails Tequila Sunrise</t>
  </si>
  <si>
    <t>L5884400</t>
  </si>
  <si>
    <t>Coppa Cocktails Whiskey Sour</t>
  </si>
  <si>
    <t>L5155000</t>
  </si>
  <si>
    <t>Coruba 2000 Matusalem</t>
  </si>
  <si>
    <t>L5155200</t>
  </si>
  <si>
    <t>Coruba 2000 PX</t>
  </si>
  <si>
    <t>L1117400</t>
  </si>
  <si>
    <t>Coruba Overproof</t>
  </si>
  <si>
    <t>L5723200</t>
  </si>
  <si>
    <t>Crafter's Wild Forest Gin</t>
  </si>
  <si>
    <t>L0472800</t>
  </si>
  <si>
    <t>Crema Catalana Melody</t>
  </si>
  <si>
    <t>L0623000</t>
  </si>
  <si>
    <t>Cutty Sark Prohibition</t>
  </si>
  <si>
    <t>L0542800</t>
  </si>
  <si>
    <t>L0120200</t>
  </si>
  <si>
    <t>Damrak</t>
  </si>
  <si>
    <t>L0481600</t>
  </si>
  <si>
    <t>Dark Mark Dropdrank</t>
  </si>
  <si>
    <t>L0476000</t>
  </si>
  <si>
    <t>De Kuyper Amaretto</t>
  </si>
  <si>
    <t>L0476300</t>
  </si>
  <si>
    <t>De Kuyper Apricot Brandy</t>
  </si>
  <si>
    <t>L0476600</t>
  </si>
  <si>
    <t>De Kuyper Blackberry</t>
  </si>
  <si>
    <t>L0476800</t>
  </si>
  <si>
    <t>De Kuyper Blue Curacao</t>
  </si>
  <si>
    <t>L0477000</t>
  </si>
  <si>
    <t>De Kuyper Blueberry</t>
  </si>
  <si>
    <t>L0477100</t>
  </si>
  <si>
    <t>De Kuyper Butterscotch</t>
  </si>
  <si>
    <t>L1910500</t>
  </si>
  <si>
    <t>De Kuyper Cherry</t>
  </si>
  <si>
    <t>L0477500</t>
  </si>
  <si>
    <t>De Kuyper Coconut</t>
  </si>
  <si>
    <t>L0477700</t>
  </si>
  <si>
    <t>De Kuyper Creme De Bananes</t>
  </si>
  <si>
    <t>L2256400</t>
  </si>
  <si>
    <t>De Kuyper Creme de Cacao</t>
  </si>
  <si>
    <t>L0478100</t>
  </si>
  <si>
    <t>De Kuyper Creme De Cacao White</t>
  </si>
  <si>
    <t>L0478200</t>
  </si>
  <si>
    <t>De Kuyper Creme De Cassis</t>
  </si>
  <si>
    <t>L0478300</t>
  </si>
  <si>
    <t>De Kuyper Creme De Menthe Green</t>
  </si>
  <si>
    <t>L0478400</t>
  </si>
  <si>
    <t>De Kuyper Creme De Menthe White</t>
  </si>
  <si>
    <t>L0545900</t>
  </si>
  <si>
    <t>L1175200</t>
  </si>
  <si>
    <t>De Kuyper Dropshot Double Black</t>
  </si>
  <si>
    <t>L0478500</t>
  </si>
  <si>
    <t>De Kuyper Dry Orange Curacao</t>
  </si>
  <si>
    <t>L0478600</t>
  </si>
  <si>
    <t>De Kuyper Elderflower</t>
  </si>
  <si>
    <t>L0478700</t>
  </si>
  <si>
    <t>De Kuyper Grapefruit</t>
  </si>
  <si>
    <t>L0546200</t>
  </si>
  <si>
    <t>De Kuyper Hotshot</t>
  </si>
  <si>
    <t>L0479100</t>
  </si>
  <si>
    <t>De Kuyper Mango</t>
  </si>
  <si>
    <t>L0479200</t>
  </si>
  <si>
    <t>De Kuyper Marasquin</t>
  </si>
  <si>
    <t>L0479300</t>
  </si>
  <si>
    <t>De Kuyper Melon</t>
  </si>
  <si>
    <t>L1914100</t>
  </si>
  <si>
    <t>De Kuyper Parfait D'Amour</t>
  </si>
  <si>
    <t>L0479600</t>
  </si>
  <si>
    <t>De Kuyper Passion Fruit</t>
  </si>
  <si>
    <t>L0479800</t>
  </si>
  <si>
    <t>De Kuyper Peachtree</t>
  </si>
  <si>
    <t>L0479900</t>
  </si>
  <si>
    <t>De Kuyper Pina Colada</t>
  </si>
  <si>
    <t>L0480000</t>
  </si>
  <si>
    <t>De Kuyper Pineapple</t>
  </si>
  <si>
    <t>L0480100</t>
  </si>
  <si>
    <t>De Kuyper Pisang</t>
  </si>
  <si>
    <t>L0480300</t>
  </si>
  <si>
    <t>De Kuyper Raspberry</t>
  </si>
  <si>
    <t>L0480400</t>
  </si>
  <si>
    <t>De Kuyper Sour Apple</t>
  </si>
  <si>
    <t>L0480500</t>
  </si>
  <si>
    <t>De Kuyper Sour Rhubarb</t>
  </si>
  <si>
    <t>L0480900</t>
  </si>
  <si>
    <t>De Kuyper Watermelon</t>
  </si>
  <si>
    <t>L0481100</t>
  </si>
  <si>
    <t>De Kuyper Wild Strawberry</t>
  </si>
  <si>
    <t>L0119700</t>
  </si>
  <si>
    <t>Deadhead Dark Chocolate Rum</t>
  </si>
  <si>
    <t>L1483300</t>
  </si>
  <si>
    <t>Deanston 12 Years Un-Chill Filtered + GB</t>
  </si>
  <si>
    <t>L0755600</t>
  </si>
  <si>
    <t>Deanston Virgin Oak + GB</t>
  </si>
  <si>
    <t>L1367600</t>
  </si>
  <si>
    <t>Del Maguey Mezcal Vida</t>
  </si>
  <si>
    <t>L5069900</t>
  </si>
  <si>
    <t>Demandis Blue Curacao</t>
  </si>
  <si>
    <t>L5070200</t>
  </si>
  <si>
    <t>Demandis Creme de Cassis</t>
  </si>
  <si>
    <t>L5070100</t>
  </si>
  <si>
    <t>Demandis Litchi's</t>
  </si>
  <si>
    <t>L5069800</t>
  </si>
  <si>
    <t>Demandis Triple Sec</t>
  </si>
  <si>
    <t>L2299000</t>
  </si>
  <si>
    <t>Demandis Watermelon</t>
  </si>
  <si>
    <t>L5637900</t>
  </si>
  <si>
    <t>Devil Shot</t>
  </si>
  <si>
    <t>L5202800</t>
  </si>
  <si>
    <t>Diplomatico No.1 Batch Kettle + GB</t>
  </si>
  <si>
    <t>L5202900</t>
  </si>
  <si>
    <t>Diplomatico No.2 Barbet + GB</t>
  </si>
  <si>
    <t>L5203000</t>
  </si>
  <si>
    <t>Diplomatico No.3 Pot Still + GB</t>
  </si>
  <si>
    <t>L5020400</t>
  </si>
  <si>
    <t>Diplomatico Planas White</t>
  </si>
  <si>
    <t>L0465900</t>
  </si>
  <si>
    <t>Disaronno Originale + 2 Glasses</t>
  </si>
  <si>
    <t>L5416600</t>
  </si>
  <si>
    <t>L2015900</t>
  </si>
  <si>
    <t>Disaronno Velvet</t>
  </si>
  <si>
    <t>L5440500</t>
  </si>
  <si>
    <t>Disaronno Velvet + 2 Glasses</t>
  </si>
  <si>
    <t>L0121300</t>
  </si>
  <si>
    <t>Don Q 151 Overproof Rum</t>
  </si>
  <si>
    <t>L5054600</t>
  </si>
  <si>
    <t>Dooley's Egg Cream Liqueur</t>
  </si>
  <si>
    <t>L1366900</t>
  </si>
  <si>
    <t>Dooley's Toffee Cream Liqueur</t>
  </si>
  <si>
    <t>L1853100</t>
  </si>
  <si>
    <t>Doorly's 14 Years + GB</t>
  </si>
  <si>
    <t>L2461000</t>
  </si>
  <si>
    <t>Druppie Drop</t>
  </si>
  <si>
    <t>L0038600</t>
  </si>
  <si>
    <t>Dutch Drop</t>
  </si>
  <si>
    <t>L0544300</t>
  </si>
  <si>
    <t>Dutch Dynamite</t>
  </si>
  <si>
    <t>L5586200</t>
  </si>
  <si>
    <t>Edradour 21 Years Vintage 1999 Barolo Cask Finish + GB</t>
  </si>
  <si>
    <t>L5926500</t>
  </si>
  <si>
    <t>Egg Royale Chocolate Cream Liqueur + GB</t>
  </si>
  <si>
    <t>L6087600</t>
  </si>
  <si>
    <t>El Ron del Artesano 10 Years Tawny Port Cask Finish + GB</t>
  </si>
  <si>
    <t>L6087900</t>
  </si>
  <si>
    <t>El Ron Del Artesano 8 Years Ruby Port Cask Finisch + GB</t>
  </si>
  <si>
    <t>L2513900</t>
  </si>
  <si>
    <t>Elijah Craig Small Batch</t>
  </si>
  <si>
    <t>L6067100</t>
  </si>
  <si>
    <t>Elijah Craig Small Batch Barrel Proof</t>
  </si>
  <si>
    <t>L6002000</t>
  </si>
  <si>
    <t>L6106600</t>
  </si>
  <si>
    <t>Elijah Craig Small Batch Ryder Cup Commemorative Bottle + GB</t>
  </si>
  <si>
    <t>L0322700</t>
  </si>
  <si>
    <t>Elixir D'Anvers</t>
  </si>
  <si>
    <t>L5316300</t>
  </si>
  <si>
    <t>Eminente Reserva 7 Years</t>
  </si>
  <si>
    <t>L5567300</t>
  </si>
  <si>
    <t>Engine Organic</t>
  </si>
  <si>
    <t>L5461800</t>
  </si>
  <si>
    <t>Eristoff Pink</t>
  </si>
  <si>
    <t>L0921100</t>
  </si>
  <si>
    <t>L0628000</t>
  </si>
  <si>
    <t>Evan Williams Single Barrel</t>
  </si>
  <si>
    <t>L6078700</t>
  </si>
  <si>
    <t>Ezra Brooks 99 Proof</t>
  </si>
  <si>
    <t>L5449100</t>
  </si>
  <si>
    <t>Fallen Angel Blackcurrant Gin - Ceramic bottle + GB</t>
  </si>
  <si>
    <t>L5166200</t>
  </si>
  <si>
    <t>Fallen Angel Blood Orange Gin - Ceramic Bottle + GB</t>
  </si>
  <si>
    <t>L1001700</t>
  </si>
  <si>
    <t>Fallen Angel Spiced Rum - Ceramic Bottle + GB</t>
  </si>
  <si>
    <t>L6064000</t>
  </si>
  <si>
    <t>L2505600</t>
  </si>
  <si>
    <t>L0549000</t>
  </si>
  <si>
    <t>L5886900</t>
  </si>
  <si>
    <t>Fettercairn 18 Years + GB</t>
  </si>
  <si>
    <t>L5158000</t>
  </si>
  <si>
    <t>Fettercairn 22 Years + GB</t>
  </si>
  <si>
    <t>L5716400</t>
  </si>
  <si>
    <t>Fettercairn Warehouse 2 Batch Nr. 003 + GB</t>
  </si>
  <si>
    <t>L6022000</t>
  </si>
  <si>
    <t>Fettercairn Warehouse 2 Batch Nr. 004 + GB</t>
  </si>
  <si>
    <t>L1223900</t>
  </si>
  <si>
    <t>Ficken Likör</t>
  </si>
  <si>
    <t>L2025200</t>
  </si>
  <si>
    <t>Filliers Vanille Jenever</t>
  </si>
  <si>
    <t>L0758500</t>
  </si>
  <si>
    <t>Finlaggan Cask Strength + GB</t>
  </si>
  <si>
    <t>L0482600</t>
  </si>
  <si>
    <t>Fireball Cinnamon</t>
  </si>
  <si>
    <t>L0550100</t>
  </si>
  <si>
    <t>Fireman</t>
  </si>
  <si>
    <t>L5646600</t>
  </si>
  <si>
    <t>Fisk Pure Raw Licorice</t>
  </si>
  <si>
    <t>L5290500</t>
  </si>
  <si>
    <t>Flor de Cana Coco</t>
  </si>
  <si>
    <t>L1138400</t>
  </si>
  <si>
    <t>Fluere</t>
  </si>
  <si>
    <t>L0928300</t>
  </si>
  <si>
    <t>Four Pillars Bloody Shiraz Gin</t>
  </si>
  <si>
    <t>L2508700</t>
  </si>
  <si>
    <t>Four Pillars Rare Dry Gin</t>
  </si>
  <si>
    <t>L0632300</t>
  </si>
  <si>
    <t>Four Roses Single Barrel 100 Proof</t>
  </si>
  <si>
    <t>L0482900</t>
  </si>
  <si>
    <t>Frangelico</t>
  </si>
  <si>
    <t>L0097100</t>
  </si>
  <si>
    <t>Frysk Hynder Port Cask Strenght</t>
  </si>
  <si>
    <t>L0483300</t>
  </si>
  <si>
    <t>L0483700</t>
  </si>
  <si>
    <t>L0039800</t>
  </si>
  <si>
    <t>Gecko Caramel Vodka</t>
  </si>
  <si>
    <t>L0930700</t>
  </si>
  <si>
    <t>Generous Gin Fresh &amp; Aromatic</t>
  </si>
  <si>
    <t>L5464300</t>
  </si>
  <si>
    <t>Generous Gin Organic</t>
  </si>
  <si>
    <t>L0929100</t>
  </si>
  <si>
    <t>Geranium Gin</t>
  </si>
  <si>
    <t>L5989900</t>
  </si>
  <si>
    <t>L5030300</t>
  </si>
  <si>
    <t>Giarola Amaretto Della Nonna</t>
  </si>
  <si>
    <t>L1721700</t>
  </si>
  <si>
    <t>Gin 1689 Authentic Dutch Dry Gin</t>
  </si>
  <si>
    <t>L1721800</t>
  </si>
  <si>
    <t>Gin 1689 Authentic Dutch Pink Gin</t>
  </si>
  <si>
    <t>L0929800</t>
  </si>
  <si>
    <t>Gin Lane 1751 London Dry Royal Strength Gin</t>
  </si>
  <si>
    <t>L2259800</t>
  </si>
  <si>
    <t>Gin Lane 1751 Sloe Gin</t>
  </si>
  <si>
    <t>L0294700</t>
  </si>
  <si>
    <t>L5277300</t>
  </si>
  <si>
    <t>L5534200</t>
  </si>
  <si>
    <t>Ginarte Frida Kahlo + GB</t>
  </si>
  <si>
    <t>L0047100</t>
  </si>
  <si>
    <t>Giori Lemoncillo</t>
  </si>
  <si>
    <t>L5799800</t>
  </si>
  <si>
    <t>Giulioncello Lemon Cream</t>
  </si>
  <si>
    <t>L0486100</t>
  </si>
  <si>
    <t>Glayva Liqueur</t>
  </si>
  <si>
    <t>L0783900</t>
  </si>
  <si>
    <t>Glen Garioch 12 Years + GB</t>
  </si>
  <si>
    <t>L0784200</t>
  </si>
  <si>
    <t>Glen Garioch Founders Reserve + GB</t>
  </si>
  <si>
    <t>L0784800</t>
  </si>
  <si>
    <t>Glen Moray 18 Years + GB</t>
  </si>
  <si>
    <t>L5743700</t>
  </si>
  <si>
    <t>Glenallachie 10 Years 2022 French Oak + GB</t>
  </si>
  <si>
    <t>L5992100</t>
  </si>
  <si>
    <t>Glenallachie 10 Years Batch no. 9 + GB</t>
  </si>
  <si>
    <t>L5930000</t>
  </si>
  <si>
    <t>Glenallachie 10 Years Cask Strength Batch 8 + GB</t>
  </si>
  <si>
    <t>L6101900</t>
  </si>
  <si>
    <t>Glenallachie 10 years Cuvee Wine Cask Batch 2 + GB</t>
  </si>
  <si>
    <t>L6002300</t>
  </si>
  <si>
    <t>Glenallachie 7 Years Hungarian Virgin Oak + GB</t>
  </si>
  <si>
    <t>L6002600</t>
  </si>
  <si>
    <t>Glenallachie 8 Years Scottish Virgin Oak + GB</t>
  </si>
  <si>
    <t>L5962900</t>
  </si>
  <si>
    <t>L5427700</t>
  </si>
  <si>
    <t>Glenfarclas 105 + GB</t>
  </si>
  <si>
    <t>L0782700</t>
  </si>
  <si>
    <t>Glenfiddich Project XX + GB</t>
  </si>
  <si>
    <t>L0772000</t>
  </si>
  <si>
    <t>Glenglassaugh Evolution + GB</t>
  </si>
  <si>
    <t>L6082100</t>
  </si>
  <si>
    <t>L5069000</t>
  </si>
  <si>
    <t>Glenglassaugh Torfa + GB</t>
  </si>
  <si>
    <t>L5715800</t>
  </si>
  <si>
    <t>Glengoyne Cask Strength + GB</t>
  </si>
  <si>
    <t>L5698900</t>
  </si>
  <si>
    <t>Glengoyne The Legacy Series - Chapter Three + GB</t>
  </si>
  <si>
    <t>L0047200</t>
  </si>
  <si>
    <t>Golmar By Zanin'Limoncello</t>
  </si>
  <si>
    <t>L5305700</t>
  </si>
  <si>
    <t>Gordon's Alcohol Free</t>
  </si>
  <si>
    <t>L0931700</t>
  </si>
  <si>
    <t>Gosling's Black Seal 151 Proof</t>
  </si>
  <si>
    <t>L0485600</t>
  </si>
  <si>
    <t>Gozio Amaretto</t>
  </si>
  <si>
    <t>L0210400</t>
  </si>
  <si>
    <t>Grafenhof Eierlikör</t>
  </si>
  <si>
    <t>L5197300</t>
  </si>
  <si>
    <t>Grandial XO Brandy</t>
  </si>
  <si>
    <t>L0462500</t>
  </si>
  <si>
    <t>Green Tree Absinth Green Fairy</t>
  </si>
  <si>
    <t>L2360000</t>
  </si>
  <si>
    <t>Green Tree Absinth Red Devil</t>
  </si>
  <si>
    <t>L0942100</t>
  </si>
  <si>
    <t>Hammer &amp; Son Old English Gin</t>
  </si>
  <si>
    <t>L0044200</t>
  </si>
  <si>
    <t>Hasseltse Koffie Frijns</t>
  </si>
  <si>
    <t>L0939400</t>
  </si>
  <si>
    <t>Haswell London Dry Gin</t>
  </si>
  <si>
    <t>L5593800</t>
  </si>
  <si>
    <t>Havana Club Cuban Spiced</t>
  </si>
  <si>
    <t>L5369400</t>
  </si>
  <si>
    <t>Hayman's Gently Rested Gin</t>
  </si>
  <si>
    <t>L0946500</t>
  </si>
  <si>
    <t>Hayman's London Dry Gin</t>
  </si>
  <si>
    <t>L1734600</t>
  </si>
  <si>
    <t>Hayman's Old Tom</t>
  </si>
  <si>
    <t>L0947000</t>
  </si>
  <si>
    <t>Hayman's Sloe Gin</t>
  </si>
  <si>
    <t>L5015600</t>
  </si>
  <si>
    <t>Heaven's Door Double Barrel</t>
  </si>
  <si>
    <t>L5015400</t>
  </si>
  <si>
    <t>Heaven's Door Straight Bourbon</t>
  </si>
  <si>
    <t>L0473100</t>
  </si>
  <si>
    <t>Heering Cherry</t>
  </si>
  <si>
    <t>L0211800</t>
  </si>
  <si>
    <t>Helbing Kümmel</t>
  </si>
  <si>
    <t>L5939700</t>
  </si>
  <si>
    <t>Hendrick's Flora Adora</t>
  </si>
  <si>
    <t>L0940500</t>
  </si>
  <si>
    <t>L2487400</t>
  </si>
  <si>
    <t>Hendrick's Lunar</t>
  </si>
  <si>
    <t>L5550800</t>
  </si>
  <si>
    <t>Hendrick's Neptunia</t>
  </si>
  <si>
    <t>L0941700</t>
  </si>
  <si>
    <t>Hendrick's Orbium</t>
  </si>
  <si>
    <t>L5477400</t>
  </si>
  <si>
    <t>Highland Park 15 Years Viking Heart</t>
  </si>
  <si>
    <t>L2371400</t>
  </si>
  <si>
    <t>Highland Park Cask Strength Release No 1 + GB</t>
  </si>
  <si>
    <t>L5819300</t>
  </si>
  <si>
    <t>Highland Park Cask Strength Release No 3 + GB</t>
  </si>
  <si>
    <t>L0800600</t>
  </si>
  <si>
    <t>Highland Park Dragon Legends + GB</t>
  </si>
  <si>
    <t>L1132200</t>
  </si>
  <si>
    <t>Hooghoudt Grenadine Siroop</t>
  </si>
  <si>
    <t>L2516100</t>
  </si>
  <si>
    <t>Hooghoudt Premium Jonge Jenever</t>
  </si>
  <si>
    <t>L0559300</t>
  </si>
  <si>
    <t>Hooghoudt Sweet Spiced Genever</t>
  </si>
  <si>
    <t>L5310200</t>
  </si>
  <si>
    <t>Hot N'Sweet</t>
  </si>
  <si>
    <t>L0486400</t>
  </si>
  <si>
    <t>Hpnotiq Liqour</t>
  </si>
  <si>
    <t>L0811000</t>
  </si>
  <si>
    <t>Ileach Cask Strength + GB</t>
  </si>
  <si>
    <t>L5673800</t>
  </si>
  <si>
    <t>Indian Summer Ex Sherry Highland Cs + Velvet Bag</t>
  </si>
  <si>
    <t>L5652200</t>
  </si>
  <si>
    <t>Indian Summer Ex Sherry Speyside Cs + Velvet Bag</t>
  </si>
  <si>
    <t>L0486500</t>
  </si>
  <si>
    <t>L5844900</t>
  </si>
  <si>
    <t>Isle Of Raasay Hebridean Single Malt Batch 1 + GB</t>
  </si>
  <si>
    <t>L2067400</t>
  </si>
  <si>
    <t>Isolabella Limoncello</t>
  </si>
  <si>
    <t>L2067600</t>
  </si>
  <si>
    <t>Isolabella Limoncello + 2 glasses</t>
  </si>
  <si>
    <t>L0560900</t>
  </si>
  <si>
    <t>Italicus Rosolio di Bergamotto</t>
  </si>
  <si>
    <t>L0074500</t>
  </si>
  <si>
    <t>L2068300</t>
  </si>
  <si>
    <t>L5699700</t>
  </si>
  <si>
    <t>Jack Daniel's Bonded</t>
  </si>
  <si>
    <t>L1651800</t>
  </si>
  <si>
    <t>L0651200</t>
  </si>
  <si>
    <t>Jack Daniel's Honey</t>
  </si>
  <si>
    <t>L6063600</t>
  </si>
  <si>
    <t>Jack Daniels Single Barrel - Barrel Strength + GB</t>
  </si>
  <si>
    <t>L0653000</t>
  </si>
  <si>
    <t>Jack Daniel's Single Barrel + GB</t>
  </si>
  <si>
    <t>L6095000</t>
  </si>
  <si>
    <t>Jack Daniel's Single Barrel + Glass</t>
  </si>
  <si>
    <t>L0652900</t>
  </si>
  <si>
    <t>Jack Daniel's Single Barrel 100 Proof + GB</t>
  </si>
  <si>
    <t>L5764800</t>
  </si>
  <si>
    <t>Jack Daniel's Single Barrel Select + GB</t>
  </si>
  <si>
    <t>L5146100</t>
  </si>
  <si>
    <t>L5018200</t>
  </si>
  <si>
    <t>L0488700</t>
  </si>
  <si>
    <t>L5855900</t>
  </si>
  <si>
    <t>Jagermeister + Gameset</t>
  </si>
  <si>
    <t>L2355100</t>
  </si>
  <si>
    <t>Jameson Cold Brew</t>
  </si>
  <si>
    <t>L5791300</t>
  </si>
  <si>
    <t>Jameson Orange</t>
  </si>
  <si>
    <t>L5681700</t>
  </si>
  <si>
    <t>Jarana Azul Blanco</t>
  </si>
  <si>
    <t>L5681500</t>
  </si>
  <si>
    <t>Jarana Reposado</t>
  </si>
  <si>
    <t>L1737600</t>
  </si>
  <si>
    <t>Jawbox Gin Liqueur - Pineapple &amp; Ginger</t>
  </si>
  <si>
    <t>L1737700</t>
  </si>
  <si>
    <t>Jawbox Gin Liqueur - Rhubarb &amp; Ginger</t>
  </si>
  <si>
    <t>L5295900</t>
  </si>
  <si>
    <t>Jawbox Small batch Export Strength</t>
  </si>
  <si>
    <t>L5706200</t>
  </si>
  <si>
    <t>Jim Beam Apple</t>
  </si>
  <si>
    <t>L6079700</t>
  </si>
  <si>
    <t>Jim Beam Black Cherry</t>
  </si>
  <si>
    <t>L5639800</t>
  </si>
  <si>
    <t>Jim Beam Honey</t>
  </si>
  <si>
    <t>L5743900</t>
  </si>
  <si>
    <t>Jim Beam Peach</t>
  </si>
  <si>
    <t>L5932500</t>
  </si>
  <si>
    <t>Jin Jiji High Proof India Dry Gin</t>
  </si>
  <si>
    <t>L0951200</t>
  </si>
  <si>
    <t>Jinzu Gin</t>
  </si>
  <si>
    <t>L5306800</t>
  </si>
  <si>
    <t>Juniper Bird Gin</t>
  </si>
  <si>
    <t>L1523600</t>
  </si>
  <si>
    <t>Jura 18 Years Wine Cask + GB</t>
  </si>
  <si>
    <t>L5175400</t>
  </si>
  <si>
    <t>Jura 21 Years Tide And Time + GB</t>
  </si>
  <si>
    <t>L0809800</t>
  </si>
  <si>
    <t>Jura Seven Wood + GB</t>
  </si>
  <si>
    <t>L1391300</t>
  </si>
  <si>
    <t>Juttertje</t>
  </si>
  <si>
    <t>L5307100</t>
  </si>
  <si>
    <t>L5962500</t>
  </si>
  <si>
    <t>Kavalan Peated + GB</t>
  </si>
  <si>
    <t>L5368900</t>
  </si>
  <si>
    <t>Kavalan Solist Vinho Barrique + GB</t>
  </si>
  <si>
    <t>L5985100</t>
  </si>
  <si>
    <t>Ketel 1 Signature Blend</t>
  </si>
  <si>
    <t>L1739600</t>
  </si>
  <si>
    <t>KI NO BI Kinotea Kyoto Dry Gin + GB</t>
  </si>
  <si>
    <t>L0952600</t>
  </si>
  <si>
    <t>KI NO BI Kyoto Dry Gin + GB</t>
  </si>
  <si>
    <t>L0952800</t>
  </si>
  <si>
    <t>KI NO BI SEI Kyoto Dry Gin + GB</t>
  </si>
  <si>
    <t>L1739700</t>
  </si>
  <si>
    <t>King Of Soho Gin</t>
  </si>
  <si>
    <t>L5295600</t>
  </si>
  <si>
    <t>Kirker &amp; Greer Shamrock 10 Years Cask Strenght</t>
  </si>
  <si>
    <t>L0431100</t>
  </si>
  <si>
    <t>L5624100</t>
  </si>
  <si>
    <t>Knob Creek RYE</t>
  </si>
  <si>
    <t>L0031200</t>
  </si>
  <si>
    <t>Koekie</t>
  </si>
  <si>
    <t>L0045600</t>
  </si>
  <si>
    <t>Koffiekaatje</t>
  </si>
  <si>
    <t>L6069800</t>
  </si>
  <si>
    <t>Kraken Black Spiced + Deterring Candle</t>
  </si>
  <si>
    <t>L5891900</t>
  </si>
  <si>
    <t>Kraken Black Spiced Black Label</t>
  </si>
  <si>
    <t>L5933300</t>
  </si>
  <si>
    <t>Krijtje</t>
  </si>
  <si>
    <t>L5207000</t>
  </si>
  <si>
    <t>Kusje Likeur</t>
  </si>
  <si>
    <t>L0478900</t>
  </si>
  <si>
    <t>Kwai Feh Lychee</t>
  </si>
  <si>
    <t>L0472900</t>
  </si>
  <si>
    <t>La Chouffe Coffee</t>
  </si>
  <si>
    <t>L5299400</t>
  </si>
  <si>
    <t>La Fee Bohemian Absinthe</t>
  </si>
  <si>
    <t>L1898100</t>
  </si>
  <si>
    <t>La Fee Parisian Absinthe</t>
  </si>
  <si>
    <t>L5812500</t>
  </si>
  <si>
    <t>Lagavulin 12 Years Limited Release 2022 + GB</t>
  </si>
  <si>
    <t>L0816200</t>
  </si>
  <si>
    <t>Lagavulin 8 Years + GB</t>
  </si>
  <si>
    <t>L5322500</t>
  </si>
  <si>
    <t>Laphroaig 10 Years Sherry Cask Finish + GB</t>
  </si>
  <si>
    <t>L0821900</t>
  </si>
  <si>
    <t>Laphroaig Lore + GB</t>
  </si>
  <si>
    <t>L0822200</t>
  </si>
  <si>
    <t>Laphroaig Quarter Cask + GB</t>
  </si>
  <si>
    <t>L1560200</t>
  </si>
  <si>
    <t>Laphroaig The 1815 Edition + GB</t>
  </si>
  <si>
    <t>L2517100</t>
  </si>
  <si>
    <t>L'Arbre Gin</t>
  </si>
  <si>
    <t>L0816900</t>
  </si>
  <si>
    <t>Ledaig 10 Years + GB</t>
  </si>
  <si>
    <t>L5051100</t>
  </si>
  <si>
    <t>Ledaig Sinclair Series Rioja Cask + GB</t>
  </si>
  <si>
    <t>L0955500</t>
  </si>
  <si>
    <t>Legendario Elixir De Cuba NRF</t>
  </si>
  <si>
    <t>L0568200</t>
  </si>
  <si>
    <t>Lepanto Solera Gran Reserva + GB</t>
  </si>
  <si>
    <t>L0493500</t>
  </si>
  <si>
    <t>L5384900</t>
  </si>
  <si>
    <t>Licor 43 Chocolate</t>
  </si>
  <si>
    <t>L6090000</t>
  </si>
  <si>
    <t>Licor 43 Creme Brulee Limited Edition</t>
  </si>
  <si>
    <t>L2500600</t>
  </si>
  <si>
    <t>L2557700</t>
  </si>
  <si>
    <t>Licor Beirao D'Honra NRF + GB</t>
  </si>
  <si>
    <t>L5478100</t>
  </si>
  <si>
    <t>Licor Beirao NRF</t>
  </si>
  <si>
    <t>L0046700</t>
  </si>
  <si>
    <t>Licor De La Vainilla</t>
  </si>
  <si>
    <t>L0492500</t>
  </si>
  <si>
    <t>Limoncello Di Capri NRF</t>
  </si>
  <si>
    <t>L2097500</t>
  </si>
  <si>
    <t>Lind &amp; Lime Gin</t>
  </si>
  <si>
    <t>L0567700</t>
  </si>
  <si>
    <t>Linie Akvavit</t>
  </si>
  <si>
    <t>L5800700</t>
  </si>
  <si>
    <t>Longmorn 23 Years + GB</t>
  </si>
  <si>
    <t>L1016300</t>
  </si>
  <si>
    <t>Loopuyt Dry Gin</t>
  </si>
  <si>
    <t>L0418200</t>
  </si>
  <si>
    <t>Loopuyt Virgin</t>
  </si>
  <si>
    <t>L5223400</t>
  </si>
  <si>
    <t>Luxardo Amaretto Di Saschira</t>
  </si>
  <si>
    <t>L1385000</t>
  </si>
  <si>
    <t>Luxardo Cherry Sangue Morlacco</t>
  </si>
  <si>
    <t>L0568700</t>
  </si>
  <si>
    <t>Luxardo Limoncello</t>
  </si>
  <si>
    <t>L5297800</t>
  </si>
  <si>
    <t>Luxardo Maraschino NRF</t>
  </si>
  <si>
    <t>L2477900</t>
  </si>
  <si>
    <t>Lyre's American Malt</t>
  </si>
  <si>
    <t>L5126600</t>
  </si>
  <si>
    <t>Mackmyra Bjorksav + GB</t>
  </si>
  <si>
    <t>L0676600</t>
  </si>
  <si>
    <t>Mackmyra Brukswhisky + GB</t>
  </si>
  <si>
    <t>L5240200</t>
  </si>
  <si>
    <t>Mackmyra Moment Brukswhisky DLX + GB</t>
  </si>
  <si>
    <t>L5454700</t>
  </si>
  <si>
    <t>Mackmyra Moment Brukswhisky DLX II + GB</t>
  </si>
  <si>
    <t>L5985400</t>
  </si>
  <si>
    <t>Mackmyra Muddus + GB</t>
  </si>
  <si>
    <t>L1566100</t>
  </si>
  <si>
    <t>Mackmyra Svensk Ek + GB</t>
  </si>
  <si>
    <t>L5356600</t>
  </si>
  <si>
    <t>Mac-Talla Mara Cask Strength + GB</t>
  </si>
  <si>
    <t>L6001800</t>
  </si>
  <si>
    <t>Maker's Mark 46</t>
  </si>
  <si>
    <t>L0675200</t>
  </si>
  <si>
    <t>L5808800</t>
  </si>
  <si>
    <t>Maker's Mark 46 + GB</t>
  </si>
  <si>
    <t>L0958700</t>
  </si>
  <si>
    <t>Malfy Gin Con Arancia</t>
  </si>
  <si>
    <t>L0958800</t>
  </si>
  <si>
    <t>Malfy Gin Con Limone</t>
  </si>
  <si>
    <t>L0959100</t>
  </si>
  <si>
    <t>Malfy Gin Originale</t>
  </si>
  <si>
    <t>L5568000</t>
  </si>
  <si>
    <t>Malfy Gin Rosa</t>
  </si>
  <si>
    <t>L0496000</t>
  </si>
  <si>
    <t>L0496100</t>
  </si>
  <si>
    <t>L2101200</t>
  </si>
  <si>
    <t>Malibu Lime</t>
  </si>
  <si>
    <t>L0495300</t>
  </si>
  <si>
    <t>Malibu Passion Fruit</t>
  </si>
  <si>
    <t>L5926600</t>
  </si>
  <si>
    <t>Malibu Strawberry</t>
  </si>
  <si>
    <t>L5135500</t>
  </si>
  <si>
    <t>Malibu Watermelon</t>
  </si>
  <si>
    <t>L1745600</t>
  </si>
  <si>
    <t>Marienburg 81</t>
  </si>
  <si>
    <t>L5996700</t>
  </si>
  <si>
    <t>Masons The Original Gin</t>
  </si>
  <si>
    <t>L5150100</t>
  </si>
  <si>
    <t>Matsui The Hakuto Premium Gin + GB</t>
  </si>
  <si>
    <t>L0395300</t>
  </si>
  <si>
    <t>Mermaid Gin</t>
  </si>
  <si>
    <t>L1394300</t>
  </si>
  <si>
    <t>Meukow Vanilla</t>
  </si>
  <si>
    <t>L5760700</t>
  </si>
  <si>
    <t>Meukow Wild Berry</t>
  </si>
  <si>
    <t>L2516600</t>
  </si>
  <si>
    <t>Michter's Unblended American Whisky</t>
  </si>
  <si>
    <t>L0496900</t>
  </si>
  <si>
    <t>Midori Melon</t>
  </si>
  <si>
    <t>L5838700</t>
  </si>
  <si>
    <t>Milk &amp; Honey Apex Small Batch Dead Sea + GB</t>
  </si>
  <si>
    <t>L0103900</t>
  </si>
  <si>
    <t>Millstone 100 RYE</t>
  </si>
  <si>
    <t>L5983800</t>
  </si>
  <si>
    <t>Mintis Gin Amarena Cherry &amp; Mint</t>
  </si>
  <si>
    <t>L5984100</t>
  </si>
  <si>
    <t>Mintis Gin Blackcurrant &amp; Mint</t>
  </si>
  <si>
    <t>L5983900</t>
  </si>
  <si>
    <t>Mintis Gin Clementine &amp; Mint</t>
  </si>
  <si>
    <t>L5343500</t>
  </si>
  <si>
    <t>Molinari Sambuca Caffe NRF</t>
  </si>
  <si>
    <t>L0958400</t>
  </si>
  <si>
    <t>Mom Royal Smoothness</t>
  </si>
  <si>
    <t>L1746800</t>
  </si>
  <si>
    <t>Mombasa Colonel's Reserve</t>
  </si>
  <si>
    <t>L0957400</t>
  </si>
  <si>
    <t>Mombasa Dry Gin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</si>
  <si>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</si>
  <si>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</si>
  <si>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</si>
  <si>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</si>
  <si>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</si>
  <si>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</si>
  <si>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</si>
  <si>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L0414600</t>
  </si>
  <si>
    <t>Monin Lime Juice</t>
  </si>
  <si>
    <t>Monin Raspberry</t>
  </si>
  <si>
    <t>Monin Strawberry</t>
  </si>
  <si>
    <t>Monin Vanilla</t>
  </si>
  <si>
    <t>L0051000</t>
  </si>
  <si>
    <t>Monkey Balls</t>
  </si>
  <si>
    <t>L5029600</t>
  </si>
  <si>
    <t>Montelobos Mezcal Joven</t>
  </si>
  <si>
    <t>L0830800</t>
  </si>
  <si>
    <t>Mortlach 12 Years + GB</t>
  </si>
  <si>
    <t>L0831400</t>
  </si>
  <si>
    <t>Mortlach 16 Years + GB</t>
  </si>
  <si>
    <t>L0077600</t>
  </si>
  <si>
    <t>Moullon Cognac 1e Grand Cru Champagne</t>
  </si>
  <si>
    <t>L5166800</t>
  </si>
  <si>
    <t>L1339900</t>
  </si>
  <si>
    <t>L1340000</t>
  </si>
  <si>
    <t>L5403500</t>
  </si>
  <si>
    <t>Mr Black Cold Brew Coffee Liqueur</t>
  </si>
  <si>
    <t>L5263500</t>
  </si>
  <si>
    <t>Napoleon Colbert VSOP Brandy</t>
  </si>
  <si>
    <t>L0254700</t>
  </si>
  <si>
    <t>Nega Fulo</t>
  </si>
  <si>
    <t>L0963200</t>
  </si>
  <si>
    <t>Nikka Coffey Gin</t>
  </si>
  <si>
    <t>L5512600</t>
  </si>
  <si>
    <t>Nikka Coffey Gin + GB</t>
  </si>
  <si>
    <t>L0334700</t>
  </si>
  <si>
    <t>Noah's Mill Bourbon</t>
  </si>
  <si>
    <t>L2266700</t>
  </si>
  <si>
    <t>L1178200</t>
  </si>
  <si>
    <t>Nomad Outland Whisky</t>
  </si>
  <si>
    <t>L2459700</t>
  </si>
  <si>
    <t>Nona June</t>
  </si>
  <si>
    <t>L1398500</t>
  </si>
  <si>
    <t>Nonino Il Moscato + GB</t>
  </si>
  <si>
    <t>L5180800</t>
  </si>
  <si>
    <t>Nonino Merlot + GB</t>
  </si>
  <si>
    <t>L0128700</t>
  </si>
  <si>
    <t>Normindia</t>
  </si>
  <si>
    <t>L5931200</t>
  </si>
  <si>
    <t>Nucano Mezcal Arroqueno Joven</t>
  </si>
  <si>
    <t>L0077800</t>
  </si>
  <si>
    <t>Nucano Mezcal Cuishe Joven</t>
  </si>
  <si>
    <t>L5265900</t>
  </si>
  <si>
    <t>Nucano Mezcal Tepextate Joven</t>
  </si>
  <si>
    <t>L0077900</t>
  </si>
  <si>
    <t>Nucano Mezcal Tobala Joven</t>
  </si>
  <si>
    <t>L5612000</t>
  </si>
  <si>
    <t>L5612500</t>
  </si>
  <si>
    <t>L5890200</t>
  </si>
  <si>
    <t>Okinawa Gin</t>
  </si>
  <si>
    <t>L0359200</t>
  </si>
  <si>
    <t>Old Ballantruan + GB</t>
  </si>
  <si>
    <t>L0359100</t>
  </si>
  <si>
    <t>Old Ballantruan 10 Years + GB</t>
  </si>
  <si>
    <t>L2340800</t>
  </si>
  <si>
    <t>Old Ballantruan 15 Years + GB</t>
  </si>
  <si>
    <t>L6004500</t>
  </si>
  <si>
    <t>Ole Smoky Peanut Butter</t>
  </si>
  <si>
    <t>L6004400</t>
  </si>
  <si>
    <t>Ole Smoky Salty Caramel</t>
  </si>
  <si>
    <t>L5584700</t>
  </si>
  <si>
    <t>Olmeca Blanco</t>
  </si>
  <si>
    <t>L5788200</t>
  </si>
  <si>
    <t>Olmeca Gold</t>
  </si>
  <si>
    <t>L0967200</t>
  </si>
  <si>
    <t>L5384100</t>
  </si>
  <si>
    <t>Opkickertje</t>
  </si>
  <si>
    <t>L5811500</t>
  </si>
  <si>
    <t>Osborne Brandy 103</t>
  </si>
  <si>
    <t>L1754800</t>
  </si>
  <si>
    <t>Oxley London Dry Gin</t>
  </si>
  <si>
    <t>L2333800</t>
  </si>
  <si>
    <t>Pampelle Ruby L'Apéro</t>
  </si>
  <si>
    <t>L0501900</t>
  </si>
  <si>
    <t>L5407300</t>
  </si>
  <si>
    <t>Paul John Select Classic + GB</t>
  </si>
  <si>
    <t>L5135600</t>
  </si>
  <si>
    <t>Peat's Beast 30 Years + GB</t>
  </si>
  <si>
    <t>L0836700</t>
  </si>
  <si>
    <t>Peat's Beast Cask Strength + GB</t>
  </si>
  <si>
    <t>L1578400</t>
  </si>
  <si>
    <t>Peat's Beast PX Sherry Wood Finish + GB</t>
  </si>
  <si>
    <t>L2497300</t>
  </si>
  <si>
    <t>Pernod 68 Absinthe</t>
  </si>
  <si>
    <t>L0969400</t>
  </si>
  <si>
    <t>Pickering's Gin</t>
  </si>
  <si>
    <t>L5525900</t>
  </si>
  <si>
    <t>Pickering's Gin Scottish Botanicals</t>
  </si>
  <si>
    <t>L5343600</t>
  </si>
  <si>
    <t>L1756100</t>
  </si>
  <si>
    <t>Pickering's Navy Strength Gin</t>
  </si>
  <si>
    <t>L5343900</t>
  </si>
  <si>
    <t>Pickering's Original 1947</t>
  </si>
  <si>
    <t>L0500800</t>
  </si>
  <si>
    <t>L0971100</t>
  </si>
  <si>
    <t>Pink 47</t>
  </si>
  <si>
    <t>L0500100</t>
  </si>
  <si>
    <t>L0580700</t>
  </si>
  <si>
    <t>Pisco Capel Especial</t>
  </si>
  <si>
    <t>L1758900</t>
  </si>
  <si>
    <t>Plantation 3 Stars</t>
  </si>
  <si>
    <t>L1760000</t>
  </si>
  <si>
    <t>Plantation Gran Anejo Guatamala &amp; Belize + GB</t>
  </si>
  <si>
    <t>L1759800</t>
  </si>
  <si>
    <t>L0973600</t>
  </si>
  <si>
    <t>Plantation Overproof O.F.T.D.</t>
  </si>
  <si>
    <t>L0971600</t>
  </si>
  <si>
    <t>Plymouth Navy Strength</t>
  </si>
  <si>
    <t>L5249300</t>
  </si>
  <si>
    <t>Ponche Caballero NRF</t>
  </si>
  <si>
    <t>L0501400</t>
  </si>
  <si>
    <t>Ponche Kuba</t>
  </si>
  <si>
    <t>L5701900</t>
  </si>
  <si>
    <t>Pongo Rum Punch Pineapple &amp; Lime</t>
  </si>
  <si>
    <t>L1580800</t>
  </si>
  <si>
    <t>Port Askaig 8 Years + GB</t>
  </si>
  <si>
    <t>L5311200</t>
  </si>
  <si>
    <t>Porter's Modern Classic</t>
  </si>
  <si>
    <t>L0975500</t>
  </si>
  <si>
    <t>L0975800</t>
  </si>
  <si>
    <t>Puschkin Nuts &amp; Nougat</t>
  </si>
  <si>
    <t>L5930600</t>
  </si>
  <si>
    <t>Puschkin Passion Fruit</t>
  </si>
  <si>
    <t>L0976000</t>
  </si>
  <si>
    <t>L0976300</t>
  </si>
  <si>
    <t>Puschkin Time Warp</t>
  </si>
  <si>
    <t>L1767000</t>
  </si>
  <si>
    <t>Puschkin Water Melon</t>
  </si>
  <si>
    <t>L0976700</t>
  </si>
  <si>
    <t>Puschkin Whipped Cream</t>
  </si>
  <si>
    <t>L5994800</t>
  </si>
  <si>
    <t>Pusser's Coronation Reserve British Navy Rum Limited Edition</t>
  </si>
  <si>
    <t>L6078900</t>
  </si>
  <si>
    <t>Pusser's Gunpowder Proof Spiced</t>
  </si>
  <si>
    <t>L1005900</t>
  </si>
  <si>
    <t>Pusser's Navy Rum Gunpowder Proof</t>
  </si>
  <si>
    <t>L5174200</t>
  </si>
  <si>
    <t>Pusser's Rum Select Aged 151</t>
  </si>
  <si>
    <t>L5294400</t>
  </si>
  <si>
    <t>Raki Tekirdag No.10 NRF</t>
  </si>
  <si>
    <t>L5294300</t>
  </si>
  <si>
    <t>Raki Yeni Ala NRF</t>
  </si>
  <si>
    <t>L0516300</t>
  </si>
  <si>
    <t>L5062300</t>
  </si>
  <si>
    <t>Ramazzotti Crema</t>
  </si>
  <si>
    <t>L5561700</t>
  </si>
  <si>
    <t>Rammstein Sloe Gin 1st Edition</t>
  </si>
  <si>
    <t>L5133200</t>
  </si>
  <si>
    <t>Rebel Yell Small Batch Reserve</t>
  </si>
  <si>
    <t>L5703700</t>
  </si>
  <si>
    <t>Red Cask 12 Years Mannochmore + GB</t>
  </si>
  <si>
    <t>L5149600</t>
  </si>
  <si>
    <t>Rittenhouse Straight Rye 100 Proof</t>
  </si>
  <si>
    <t>L0503400</t>
  </si>
  <si>
    <t>Rocketshot</t>
  </si>
  <si>
    <t>L5743300</t>
  </si>
  <si>
    <t>Rocketshot Orange Star</t>
  </si>
  <si>
    <t>L0503200</t>
  </si>
  <si>
    <t>Rocketshot Pink</t>
  </si>
  <si>
    <t>L0503300</t>
  </si>
  <si>
    <t>Rocketshot Sour</t>
  </si>
  <si>
    <t>L1898700</t>
  </si>
  <si>
    <t>Rodnik Classic</t>
  </si>
  <si>
    <t>L2542500</t>
  </si>
  <si>
    <t>Ron Malteco 11 Years + GB</t>
  </si>
  <si>
    <t>L5326900</t>
  </si>
  <si>
    <t>Ron Miel Artemi NRF</t>
  </si>
  <si>
    <t>L5468700</t>
  </si>
  <si>
    <t>Ron Miel Indias NRF</t>
  </si>
  <si>
    <t>L0984700</t>
  </si>
  <si>
    <t>Rumbullion!</t>
  </si>
  <si>
    <t>L0503100</t>
  </si>
  <si>
    <t>Rumchata</t>
  </si>
  <si>
    <t>L5613500</t>
  </si>
  <si>
    <t>L5978600</t>
  </si>
  <si>
    <t>Sacle</t>
  </si>
  <si>
    <t>L0503500</t>
  </si>
  <si>
    <t>L0055000</t>
  </si>
  <si>
    <t>Salmari Premium Salmiak Liquor</t>
  </si>
  <si>
    <t>L2137300</t>
  </si>
  <si>
    <t>Sambuca Cafe</t>
  </si>
  <si>
    <t>L5241700</t>
  </si>
  <si>
    <t>Santa Maria Al Monte Amaretto NRF</t>
  </si>
  <si>
    <t>L5241800</t>
  </si>
  <si>
    <t>Santa Maria Al Monte Limoncino NRF</t>
  </si>
  <si>
    <t>L0055700</t>
  </si>
  <si>
    <t>Santocci Limoncello</t>
  </si>
  <si>
    <t>L0393400</t>
  </si>
  <si>
    <t>Scapegrace Classic</t>
  </si>
  <si>
    <t>L2235700</t>
  </si>
  <si>
    <t>Scapegrace Dry Gin Black</t>
  </si>
  <si>
    <t>L1348800</t>
  </si>
  <si>
    <t>Scharlachberg Meisterspirituose</t>
  </si>
  <si>
    <t>L5109400</t>
  </si>
  <si>
    <t>L1316700</t>
  </si>
  <si>
    <t>Seaman's Shot</t>
  </si>
  <si>
    <t>L5727700</t>
  </si>
  <si>
    <t>Seedlip Garden 108</t>
  </si>
  <si>
    <t>L5671800</t>
  </si>
  <si>
    <t>Seedlip Grove 42 Non-Alcoholic</t>
  </si>
  <si>
    <t>L5719400</t>
  </si>
  <si>
    <t>Seedlip Spice 94</t>
  </si>
  <si>
    <t>L0504500</t>
  </si>
  <si>
    <t>L5132800</t>
  </si>
  <si>
    <t>Sipsmith Lemon Drizzle</t>
  </si>
  <si>
    <t>L0995900</t>
  </si>
  <si>
    <t>Sipsmith London Dry Gin</t>
  </si>
  <si>
    <t>L1776300</t>
  </si>
  <si>
    <t>Skully Oriental Citrus</t>
  </si>
  <si>
    <t>L5454600</t>
  </si>
  <si>
    <t>Slipknot No. 9 Iowa Anniversary Whiskey</t>
  </si>
  <si>
    <t>L5850100</t>
  </si>
  <si>
    <t>Slipknot No.9 Iowa Whiskey - Red Wine Cask Small Batch</t>
  </si>
  <si>
    <t>L0991400</t>
  </si>
  <si>
    <t>Smirnoff Ice</t>
  </si>
  <si>
    <t>L6021900</t>
  </si>
  <si>
    <t>Smirnoff Mango &amp; Passionfruit</t>
  </si>
  <si>
    <t>L5833500</t>
  </si>
  <si>
    <t>Smirnoff Raspberry Crush</t>
  </si>
  <si>
    <t>L0987100</t>
  </si>
  <si>
    <t>Smith &amp; Cross Traditional Jamaica</t>
  </si>
  <si>
    <t>L2455800</t>
  </si>
  <si>
    <t>Snow Globe Orange &amp; Gingerbread + GB</t>
  </si>
  <si>
    <t>L5468500</t>
  </si>
  <si>
    <t>L0504900</t>
  </si>
  <si>
    <t>Sourz Apple</t>
  </si>
  <si>
    <t>L0505000</t>
  </si>
  <si>
    <t>Sourz Blackcurrant</t>
  </si>
  <si>
    <t>L0505300</t>
  </si>
  <si>
    <t>Sourz Mango</t>
  </si>
  <si>
    <t>L0505500</t>
  </si>
  <si>
    <t>Sourz Passion Fruit</t>
  </si>
  <si>
    <t>L0505900</t>
  </si>
  <si>
    <t>Sourz Raspberry</t>
  </si>
  <si>
    <t>L0506100</t>
  </si>
  <si>
    <t>Sourz Red Berry</t>
  </si>
  <si>
    <t>L5023100</t>
  </si>
  <si>
    <t>L0689000</t>
  </si>
  <si>
    <t>L5754700</t>
  </si>
  <si>
    <t>Speckie</t>
  </si>
  <si>
    <t>L5795500</t>
  </si>
  <si>
    <t>Spirited Union Honey</t>
  </si>
  <si>
    <t>L0485900</t>
  </si>
  <si>
    <t>L5184600</t>
  </si>
  <si>
    <t>Strega Amaretto Liqueur</t>
  </si>
  <si>
    <t>L5184500</t>
  </si>
  <si>
    <t>Strega Limoncello Liqueur</t>
  </si>
  <si>
    <t>L1122700</t>
  </si>
  <si>
    <t>L0988900</t>
  </si>
  <si>
    <t>L0506300</t>
  </si>
  <si>
    <t>Stroh Obst Schnaps</t>
  </si>
  <si>
    <t>L0055500</t>
  </si>
  <si>
    <t>Stroopwafel Likeur</t>
  </si>
  <si>
    <t>L5886400</t>
  </si>
  <si>
    <t>Strykk Not Aperitivo</t>
  </si>
  <si>
    <t>L5329100</t>
  </si>
  <si>
    <t>Strykk Not Gin</t>
  </si>
  <si>
    <t>L5329000</t>
  </si>
  <si>
    <t>Strykk Not Rum</t>
  </si>
  <si>
    <t>L5376100</t>
  </si>
  <si>
    <t>Strykk Not Vanilla Vodka</t>
  </si>
  <si>
    <t>L5327900</t>
  </si>
  <si>
    <t>Strykk Not Vodka</t>
  </si>
  <si>
    <t>L1332700</t>
  </si>
  <si>
    <t>L5726900</t>
  </si>
  <si>
    <t>'t Gilliske</t>
  </si>
  <si>
    <t>L1332300</t>
  </si>
  <si>
    <t>Tabu Classic</t>
  </si>
  <si>
    <t>L0846500</t>
  </si>
  <si>
    <t>L5857600</t>
  </si>
  <si>
    <t>Talisker Distillers Edition + GB</t>
  </si>
  <si>
    <t>L0849300</t>
  </si>
  <si>
    <t>Talisker Port Ruighe + GB</t>
  </si>
  <si>
    <t>L0849700</t>
  </si>
  <si>
    <t>Talisker Skye + GB</t>
  </si>
  <si>
    <t>L0849800</t>
  </si>
  <si>
    <t>Talisker Storm + GB</t>
  </si>
  <si>
    <t>L5781500</t>
  </si>
  <si>
    <t>Talisker Surge + GB</t>
  </si>
  <si>
    <t>L5665900</t>
  </si>
  <si>
    <t>Tamdhu 18 Years + GB</t>
  </si>
  <si>
    <t>L5790800</t>
  </si>
  <si>
    <t>Tamdhu Batch Strength No. 7 + GB</t>
  </si>
  <si>
    <t>L5991200</t>
  </si>
  <si>
    <t>Tanglin Singapore Gin</t>
  </si>
  <si>
    <t>L5499800</t>
  </si>
  <si>
    <t>Tanqueray 0,0% Alcohol Free</t>
  </si>
  <si>
    <t>L5111800</t>
  </si>
  <si>
    <t>Tanqueray Blackcurrant Royale Gin</t>
  </si>
  <si>
    <t>L0999100</t>
  </si>
  <si>
    <t>Tanqueray Flor de Sevilla</t>
  </si>
  <si>
    <t>L1000100</t>
  </si>
  <si>
    <t>Tanqueray Gin</t>
  </si>
  <si>
    <t>L5330000</t>
  </si>
  <si>
    <t>Tanqueray Rangpur</t>
  </si>
  <si>
    <t>L1001100</t>
  </si>
  <si>
    <t>Tanqueray Ten</t>
  </si>
  <si>
    <t>L0588100</t>
  </si>
  <si>
    <t>Taylors Velvet Falernum</t>
  </si>
  <si>
    <t>L5373600</t>
  </si>
  <si>
    <t>L6078300</t>
  </si>
  <si>
    <t>Teeling 15 Years Single Grain + GB</t>
  </si>
  <si>
    <t>L0056600</t>
  </si>
  <si>
    <t>Teichenne Crema de Fresa con Tequila</t>
  </si>
  <si>
    <t>L2194500</t>
  </si>
  <si>
    <t>Tequila Rose Strawberry Cream</t>
  </si>
  <si>
    <t>L2156300</t>
  </si>
  <si>
    <t>The Braemble Gin Liqueur</t>
  </si>
  <si>
    <t>L5663100</t>
  </si>
  <si>
    <t>L5964100</t>
  </si>
  <si>
    <t>The Dalmore 2003 Vintage + GB</t>
  </si>
  <si>
    <t>L1602500</t>
  </si>
  <si>
    <t>L2009200</t>
  </si>
  <si>
    <t>The Dalmore Port Wood Reserve + GB</t>
  </si>
  <si>
    <t>L5608300</t>
  </si>
  <si>
    <t>The Glendronach Cask Strength Batch 10 + GB</t>
  </si>
  <si>
    <t>L5068900</t>
  </si>
  <si>
    <t>The Glendronach Traditionally Peated + GB</t>
  </si>
  <si>
    <t>L2261200</t>
  </si>
  <si>
    <t>The Glenrothes Whisky Maker's Cut + GB</t>
  </si>
  <si>
    <t>L5831200</t>
  </si>
  <si>
    <t>The Macallan 30 Years Vintage 1991 Private Bourbon Cask + GB</t>
  </si>
  <si>
    <t>L5839200</t>
  </si>
  <si>
    <t>The Macallan Classic Cut Limited Edition 2022 + GB</t>
  </si>
  <si>
    <t>L6102700</t>
  </si>
  <si>
    <t>The Macallan Classic Cut Limited Edition 2023 + GB</t>
  </si>
  <si>
    <t>L0826000</t>
  </si>
  <si>
    <t>The Macallan Enigma + GB</t>
  </si>
  <si>
    <t>L5874700</t>
  </si>
  <si>
    <t>The Macallan Harmony Inspired By Intense Arabica + GB</t>
  </si>
  <si>
    <t>L5376800</t>
  </si>
  <si>
    <t>The Singleton Of Glendullan 19 Years Special Release 21 +GB</t>
  </si>
  <si>
    <t>L5634700</t>
  </si>
  <si>
    <t>The Six Isles Batch Strength</t>
  </si>
  <si>
    <t>L5634600</t>
  </si>
  <si>
    <t>The Six Isles Rum Cask Finish + GB</t>
  </si>
  <si>
    <t>L5554100</t>
  </si>
  <si>
    <t>Thunder Rhubarb &amp; Ginger Vodka</t>
  </si>
  <si>
    <t>L2407100</t>
  </si>
  <si>
    <t>L0507300</t>
  </si>
  <si>
    <t>L1331900</t>
  </si>
  <si>
    <t>L5991600</t>
  </si>
  <si>
    <t>Tiscaz Tequila Blanco</t>
  </si>
  <si>
    <t>L0084700</t>
  </si>
  <si>
    <t>Tiscaz Tequila Gold</t>
  </si>
  <si>
    <t>L1427700</t>
  </si>
  <si>
    <t>Tobermory 12 Years + GB</t>
  </si>
  <si>
    <t>L0692700</t>
  </si>
  <si>
    <t>Togouchi 15 Years + GB</t>
  </si>
  <si>
    <t>L0852700</t>
  </si>
  <si>
    <t>Tomatin Cask Strength + GB</t>
  </si>
  <si>
    <t>L0057500</t>
  </si>
  <si>
    <t>Tribelle Triple Sec</t>
  </si>
  <si>
    <t>L5328600</t>
  </si>
  <si>
    <t>Trojka Green</t>
  </si>
  <si>
    <t>L1111400</t>
  </si>
  <si>
    <t>Trojka Orange Vodka Liqueur</t>
  </si>
  <si>
    <t>L5053400</t>
  </si>
  <si>
    <t>Trojka Pink</t>
  </si>
  <si>
    <t>L0690800</t>
  </si>
  <si>
    <t>Tullamore Dew 14 Years + GB</t>
  </si>
  <si>
    <t>L5635100</t>
  </si>
  <si>
    <t>Tullibardine The Murray Cask Strength + GB</t>
  </si>
  <si>
    <t>L1002600</t>
  </si>
  <si>
    <t>Ungava Gin</t>
  </si>
  <si>
    <t>L1006200</t>
  </si>
  <si>
    <t>L1239900</t>
  </si>
  <si>
    <t>V2C Classic Dutch Dry Gin</t>
  </si>
  <si>
    <t>L6039900</t>
  </si>
  <si>
    <t>Vecchia Romagna Riserva Tre Botti</t>
  </si>
  <si>
    <t>L0598400</t>
  </si>
  <si>
    <t>L0060000</t>
  </si>
  <si>
    <t>Venezia Amaretto</t>
  </si>
  <si>
    <t>L2335800</t>
  </si>
  <si>
    <t>Villa Massa Amaretto</t>
  </si>
  <si>
    <t>L0508600</t>
  </si>
  <si>
    <t>L1894500</t>
  </si>
  <si>
    <t>Warninks Advocaat Dun</t>
  </si>
  <si>
    <t>L1894300</t>
  </si>
  <si>
    <t>L6070100</t>
  </si>
  <si>
    <t>Whitley Neill Black Cherry Gin</t>
  </si>
  <si>
    <t>L5501000</t>
  </si>
  <si>
    <t>Whitley Neill Connoisseur's Cut</t>
  </si>
  <si>
    <t>L0701100</t>
  </si>
  <si>
    <t>Wild Turkey 101 Proof</t>
  </si>
  <si>
    <t>Wild Turkey 81 Proof</t>
  </si>
  <si>
    <t>L0701700</t>
  </si>
  <si>
    <t>Wild Turkey American Honey</t>
  </si>
  <si>
    <t>L0346200</t>
  </si>
  <si>
    <t>Willett Family Estate 4 Years Rye Whisky</t>
  </si>
  <si>
    <t>L6019400</t>
  </si>
  <si>
    <t>Willett Family Estate Rye Whisky</t>
  </si>
  <si>
    <t>L0345900</t>
  </si>
  <si>
    <t>Willett Pot Still Reserve</t>
  </si>
  <si>
    <t>L0346300</t>
  </si>
  <si>
    <t>Willett Pure Kentucky XO Small Batch</t>
  </si>
  <si>
    <t>L2184000</t>
  </si>
  <si>
    <t>Wkd Vodka Blue</t>
  </si>
  <si>
    <t>L1232600</t>
  </si>
  <si>
    <t>Wolfburn Langskip + GB</t>
  </si>
  <si>
    <t>L1232000</t>
  </si>
  <si>
    <t>L0700100</t>
  </si>
  <si>
    <t>L1231200</t>
  </si>
  <si>
    <t>Woodford Reserve Double Oaked + GB</t>
  </si>
  <si>
    <t>L0700400</t>
  </si>
  <si>
    <t>Woodford Reserve RYE</t>
  </si>
  <si>
    <t>L5261800</t>
  </si>
  <si>
    <t>Woodford Reserve Wheat + GB</t>
  </si>
  <si>
    <t>L5582900</t>
  </si>
  <si>
    <t>Wooly's Coffee Liqueur</t>
  </si>
  <si>
    <t>L5007600</t>
  </si>
  <si>
    <t>Wray &amp; Nephew White Overproof Rum NRF</t>
  </si>
  <si>
    <t>L0510200</t>
  </si>
  <si>
    <t>Zedda Piras Mirto Rosso</t>
  </si>
  <si>
    <t>L0139300</t>
  </si>
  <si>
    <t>Zoladkowa Gorzka Traditional Flavoured</t>
  </si>
  <si>
    <t>L5134500</t>
  </si>
  <si>
    <t>Zuidam Amandel Speculaas</t>
  </si>
  <si>
    <t>L0508900</t>
  </si>
  <si>
    <t>Zuidam Amaretto</t>
  </si>
  <si>
    <t>L0509300</t>
  </si>
  <si>
    <t>Zuidam Chocolat</t>
  </si>
  <si>
    <t>L1931600</t>
  </si>
  <si>
    <t>Zuidam Creme De Cafe</t>
  </si>
  <si>
    <t>L1018000</t>
  </si>
  <si>
    <t>Zuidam Dutch Courage Aged Dry Gin</t>
  </si>
  <si>
    <t>L1108600</t>
  </si>
  <si>
    <t>Zuidam Dutch Courage Dry Gin</t>
  </si>
  <si>
    <t>L0509500</t>
  </si>
  <si>
    <t>Zuidam Framboise</t>
  </si>
  <si>
    <t>L1932000</t>
  </si>
  <si>
    <t>Zuidam Inspiration</t>
  </si>
  <si>
    <t>L0509600</t>
  </si>
  <si>
    <t>Zuidam Kaneel</t>
  </si>
  <si>
    <t>L5820800</t>
  </si>
  <si>
    <t>Zuidam Oranje Kopstoot</t>
  </si>
  <si>
    <t>L0509700</t>
  </si>
  <si>
    <t>Zuidam Poire William</t>
  </si>
  <si>
    <t>L0509800</t>
  </si>
  <si>
    <t>Zuidam Speculaas</t>
  </si>
  <si>
    <t>L5559400</t>
  </si>
  <si>
    <t>Zure Mattie</t>
  </si>
  <si>
    <t>L0513800</t>
  </si>
  <si>
    <t>Aalborg Taffel Akvavit</t>
  </si>
  <si>
    <t>L5532700</t>
  </si>
  <si>
    <t>Bally 12 Years Pyramide + GB</t>
  </si>
  <si>
    <t>L5532800</t>
  </si>
  <si>
    <t>Bally 7 Years Pyramide + GB</t>
  </si>
  <si>
    <t>L1684000</t>
  </si>
  <si>
    <t>Beefeater Gin 24</t>
  </si>
  <si>
    <t>L5593400</t>
  </si>
  <si>
    <t>Beylerbeyi Gobek Raki NRF</t>
  </si>
  <si>
    <t>L5832800</t>
  </si>
  <si>
    <t>Blossom Peach</t>
  </si>
  <si>
    <t>L5169500</t>
  </si>
  <si>
    <t>Botran Cobre + GB</t>
  </si>
  <si>
    <t>L0135800</t>
  </si>
  <si>
    <t>Boukman Rhum</t>
  </si>
  <si>
    <t>Bulleit Bourbon</t>
  </si>
  <si>
    <t>L0608400</t>
  </si>
  <si>
    <t>L0608600</t>
  </si>
  <si>
    <t>Bulleit Rye</t>
  </si>
  <si>
    <t>L5176600</t>
  </si>
  <si>
    <t>Don Papa Rye Cask + GB</t>
  </si>
  <si>
    <t>L1716300</t>
  </si>
  <si>
    <t>Don Papa Sherry Cask + GB</t>
  </si>
  <si>
    <t>L0121100</t>
  </si>
  <si>
    <t>Don Q Oak Aged Spice</t>
  </si>
  <si>
    <t>L0203200</t>
  </si>
  <si>
    <t>Duval Pastis</t>
  </si>
  <si>
    <t>L0547900</t>
  </si>
  <si>
    <t>L5889200</t>
  </si>
  <si>
    <t>Etsu Pacific Ocean Water Gin + GB</t>
  </si>
  <si>
    <t>L5515100</t>
  </si>
  <si>
    <t>Ezra Brooks Rye Whiskey</t>
  </si>
  <si>
    <t>L5090000</t>
  </si>
  <si>
    <t>Fords Gin</t>
  </si>
  <si>
    <t>L0632500</t>
  </si>
  <si>
    <t>Four Roses Small Batch</t>
  </si>
  <si>
    <t>L6064100</t>
  </si>
  <si>
    <t>Gansloser Black Gin</t>
  </si>
  <si>
    <t>L6082200</t>
  </si>
  <si>
    <t>L0938900</t>
  </si>
  <si>
    <t>G'Vine Nouaison</t>
  </si>
  <si>
    <t>L0945300</t>
  </si>
  <si>
    <t>Havana Club Seleccion de Maestros + GB</t>
  </si>
  <si>
    <t>L0071800</t>
  </si>
  <si>
    <t>Henri Bardouin Pastis</t>
  </si>
  <si>
    <t>L0126700</t>
  </si>
  <si>
    <t>Isle of Harris</t>
  </si>
  <si>
    <t>L0653100</t>
  </si>
  <si>
    <t>Jack Daniel's Single Barrel RYE + GB</t>
  </si>
  <si>
    <t>L1651300</t>
  </si>
  <si>
    <t>Jack Daniel's Single Barrel Select</t>
  </si>
  <si>
    <t>L0653400</t>
  </si>
  <si>
    <t>Jack Daniel's Straight Rye</t>
  </si>
  <si>
    <t>L0645200</t>
  </si>
  <si>
    <t>Jim Beam Devil's Cut</t>
  </si>
  <si>
    <t>L0675700</t>
  </si>
  <si>
    <t>L5019900</t>
  </si>
  <si>
    <t>Meukow 90 Proof</t>
  </si>
  <si>
    <t>L5549300</t>
  </si>
  <si>
    <t>Motorhead Ace of Spades Straight</t>
  </si>
  <si>
    <t>L0680000</t>
  </si>
  <si>
    <t>Nikka Coffey Grain + GB</t>
  </si>
  <si>
    <t>L0680200</t>
  </si>
  <si>
    <t>Nikka Coffey Malt + GB</t>
  </si>
  <si>
    <t>L0681300</t>
  </si>
  <si>
    <t>Nikka Miyagikyo Single Malt + GB</t>
  </si>
  <si>
    <t>L0682700</t>
  </si>
  <si>
    <t>Nikka Yoichi Single Malt + GB</t>
  </si>
  <si>
    <t>L5949700</t>
  </si>
  <si>
    <t>Nucano Mezcal Barril Joven</t>
  </si>
  <si>
    <t>L0078200</t>
  </si>
  <si>
    <t>Nucano Mezcal Espadin Joven</t>
  </si>
  <si>
    <t>L5889500</t>
  </si>
  <si>
    <t>Nuestra Soledad Matatlan</t>
  </si>
  <si>
    <t>L0582900</t>
  </si>
  <si>
    <t>L2505800</t>
  </si>
  <si>
    <t>L0587000</t>
  </si>
  <si>
    <t>Raki Tekirdag Gold NRF</t>
  </si>
  <si>
    <t>L5245400</t>
  </si>
  <si>
    <t>Raki Tekirdag NRF</t>
  </si>
  <si>
    <t>L0266500</t>
  </si>
  <si>
    <t>Raki Tekirdag Trakya Serisi NRF</t>
  </si>
  <si>
    <t>L5232700</t>
  </si>
  <si>
    <t>L2129200</t>
  </si>
  <si>
    <t>Raki Yeni Seri NRF</t>
  </si>
  <si>
    <t>L0585900</t>
  </si>
  <si>
    <t>L0687600</t>
  </si>
  <si>
    <t>Roe &amp; Co</t>
  </si>
  <si>
    <t>L5332500</t>
  </si>
  <si>
    <t>Saint James Royal Agricole Ambre</t>
  </si>
  <si>
    <t>L0343200</t>
  </si>
  <si>
    <t>Slipknot No.9 Whiskey</t>
  </si>
  <si>
    <t>L1005000</t>
  </si>
  <si>
    <t>The Duke Gin</t>
  </si>
  <si>
    <t>L5610300</t>
  </si>
  <si>
    <t>Worthy Park Single Estate Reserve + GB</t>
  </si>
  <si>
    <t>L5017300</t>
  </si>
  <si>
    <t>L0895000</t>
  </si>
  <si>
    <t>Barcelo Blanco</t>
  </si>
  <si>
    <t>L0895500</t>
  </si>
  <si>
    <t>Barcelo Gran Anejo</t>
  </si>
  <si>
    <t>L1684400</t>
  </si>
  <si>
    <t>Beefeater Blood Orange</t>
  </si>
  <si>
    <t>L0893500</t>
  </si>
  <si>
    <t>Beefeater Pink</t>
  </si>
  <si>
    <t>L1977800</t>
  </si>
  <si>
    <t>Bombay Bramble</t>
  </si>
  <si>
    <t>L5642000</t>
  </si>
  <si>
    <t>Bombay Citron Presse</t>
  </si>
  <si>
    <t>L1688800</t>
  </si>
  <si>
    <t>Bombay London Dry Gin</t>
  </si>
  <si>
    <t>L2565900</t>
  </si>
  <si>
    <t>Calibre 38 Blanco</t>
  </si>
  <si>
    <t>L2565800</t>
  </si>
  <si>
    <t>Calibre 38 Ron Anejo</t>
  </si>
  <si>
    <t>L5359800</t>
  </si>
  <si>
    <t>Cannabis Sativa Jamaican Rum</t>
  </si>
  <si>
    <t>L0900200</t>
  </si>
  <si>
    <t>Cannabis Sativa Vodka</t>
  </si>
  <si>
    <t>L0908800</t>
  </si>
  <si>
    <t>L0119200</t>
  </si>
  <si>
    <t>Captain's Gin</t>
  </si>
  <si>
    <t>L0901600</t>
  </si>
  <si>
    <t>Ciroc Apple</t>
  </si>
  <si>
    <t>L0901800</t>
  </si>
  <si>
    <t>Ciroc Coconut</t>
  </si>
  <si>
    <t>L0902100</t>
  </si>
  <si>
    <t>Ciroc Mango</t>
  </si>
  <si>
    <t>L0902300</t>
  </si>
  <si>
    <t>Ciroc Peach</t>
  </si>
  <si>
    <t>L0902700</t>
  </si>
  <si>
    <t>Ciroc Pineapple</t>
  </si>
  <si>
    <t>L0903100</t>
  </si>
  <si>
    <t>Ciroc Red Berry</t>
  </si>
  <si>
    <t>L5571000</t>
  </si>
  <si>
    <t>Crystal Ball Gin Light Up + GB</t>
  </si>
  <si>
    <t>L2413500</t>
  </si>
  <si>
    <t>L2510700</t>
  </si>
  <si>
    <t>Estaro Brown</t>
  </si>
  <si>
    <t>L0930800</t>
  </si>
  <si>
    <t>Estaro White</t>
  </si>
  <si>
    <t>L1718200</t>
  </si>
  <si>
    <t>Finsbury London Dry Gin</t>
  </si>
  <si>
    <t>L5556200</t>
  </si>
  <si>
    <t>Foursquare spiced</t>
  </si>
  <si>
    <t>L0122800</t>
  </si>
  <si>
    <t>Gibson's London Dry Gin</t>
  </si>
  <si>
    <t>L1722800</t>
  </si>
  <si>
    <t>L5043700</t>
  </si>
  <si>
    <t>L0933100</t>
  </si>
  <si>
    <t>L0934100</t>
  </si>
  <si>
    <t>Gordon's Sicilian Lemon</t>
  </si>
  <si>
    <t>L5157300</t>
  </si>
  <si>
    <t>L5950600</t>
  </si>
  <si>
    <t>Gordon's Tropical Passionfruit</t>
  </si>
  <si>
    <t>L5101800</t>
  </si>
  <si>
    <t>June Royal Pear &amp; Cardamom</t>
  </si>
  <si>
    <t>L5101700</t>
  </si>
  <si>
    <t>June Wild Peach &amp; Summer Fruits</t>
  </si>
  <si>
    <t>L5608400</t>
  </si>
  <si>
    <t>Justerini &amp; Brooks Botanico NRF</t>
  </si>
  <si>
    <t>L2539900</t>
  </si>
  <si>
    <t>King of Soho Variorum</t>
  </si>
  <si>
    <t>L2107400</t>
  </si>
  <si>
    <t>Mom Love Gin</t>
  </si>
  <si>
    <t>L2107300</t>
  </si>
  <si>
    <t>Mom Rocks Gin</t>
  </si>
  <si>
    <t>L0128200</t>
  </si>
  <si>
    <t>Mombasa Strawberry</t>
  </si>
  <si>
    <t>L5524700</t>
  </si>
  <si>
    <t>Nobels Pink Gin</t>
  </si>
  <si>
    <t>L1751000</t>
  </si>
  <si>
    <t>L1751200</t>
  </si>
  <si>
    <t>L1752200</t>
  </si>
  <si>
    <t>Old Pascas Dark</t>
  </si>
  <si>
    <t>Old Pascas White</t>
  </si>
  <si>
    <t>L5776100</t>
  </si>
  <si>
    <t>Ouzo 7</t>
  </si>
  <si>
    <t>L0974800</t>
  </si>
  <si>
    <t>L1757300</t>
  </si>
  <si>
    <t>Pirate’s Grog 5 Years</t>
  </si>
  <si>
    <t>L5135000</t>
  </si>
  <si>
    <t>Pirate's Grog Honey Spiced Rum</t>
  </si>
  <si>
    <t>L5134900</t>
  </si>
  <si>
    <t>Pirate's Grog Pineapple Spiced Rum</t>
  </si>
  <si>
    <t>L0131000</t>
  </si>
  <si>
    <t>L1877100</t>
  </si>
  <si>
    <t>Pravda Cherry</t>
  </si>
  <si>
    <t>L1877300</t>
  </si>
  <si>
    <t>Pravda Coconut</t>
  </si>
  <si>
    <t>L1877500</t>
  </si>
  <si>
    <t>Pravda Orange</t>
  </si>
  <si>
    <t>L1877600</t>
  </si>
  <si>
    <t>Pravda Peach</t>
  </si>
  <si>
    <t>L1003200</t>
  </si>
  <si>
    <t>L0976500</t>
  </si>
  <si>
    <t>L0286100</t>
  </si>
  <si>
    <t>L0992800</t>
  </si>
  <si>
    <t>L6080800</t>
  </si>
  <si>
    <t>Tenjaku Gin</t>
  </si>
  <si>
    <t>L2156700</t>
  </si>
  <si>
    <t>The Duppy Share Spiced</t>
  </si>
  <si>
    <t>L5554200</t>
  </si>
  <si>
    <t>Thunder Really Pink Gin</t>
  </si>
  <si>
    <t>L1013500</t>
  </si>
  <si>
    <t>L2272300</t>
  </si>
  <si>
    <t>Zubrowka Biala</t>
  </si>
  <si>
    <t>L0528900</t>
  </si>
  <si>
    <t>1800 Anejo</t>
  </si>
  <si>
    <t>L0529100</t>
  </si>
  <si>
    <t>1800 Reposado</t>
  </si>
  <si>
    <t>L0529200</t>
  </si>
  <si>
    <t>1800 Tequila Silver</t>
  </si>
  <si>
    <t>L2559600</t>
  </si>
  <si>
    <t>38 Tequila Blanco</t>
  </si>
  <si>
    <t>L2559700</t>
  </si>
  <si>
    <t>38 Tequila Reposado</t>
  </si>
  <si>
    <t>L0513300</t>
  </si>
  <si>
    <t>Aalborg Dild Akvavit</t>
  </si>
  <si>
    <t>L5998200</t>
  </si>
  <si>
    <t>Absolut Mango</t>
  </si>
  <si>
    <t>L5931100</t>
  </si>
  <si>
    <t>Absolut Passion Fruit</t>
  </si>
  <si>
    <t>L5985600</t>
  </si>
  <si>
    <t>Absolut Peach</t>
  </si>
  <si>
    <t>L5535000</t>
  </si>
  <si>
    <t>Absolut Raspberri</t>
  </si>
  <si>
    <t>L5566100</t>
  </si>
  <si>
    <t>Absolut Vanille</t>
  </si>
  <si>
    <t>L5131900</t>
  </si>
  <si>
    <t>Absolut Watermelon</t>
  </si>
  <si>
    <t>L1168700</t>
  </si>
  <si>
    <t>Agavita Tequila Blanco</t>
  </si>
  <si>
    <t>L0514900</t>
  </si>
  <si>
    <t>Agavita Tequila Gold</t>
  </si>
  <si>
    <t>L1240200</t>
  </si>
  <si>
    <t>Amaro Borsci San Marzano NRF</t>
  </si>
  <si>
    <t>L0512600</t>
  </si>
  <si>
    <t>Antica Sambuca Banana</t>
  </si>
  <si>
    <t>L0512800</t>
  </si>
  <si>
    <t>L2369800</t>
  </si>
  <si>
    <t>Antica Sambuca Cherry</t>
  </si>
  <si>
    <t>L1958700</t>
  </si>
  <si>
    <t>Antica Sambuca Chilli</t>
  </si>
  <si>
    <t>L1189900</t>
  </si>
  <si>
    <t>Antica Sambuca Raspberry</t>
  </si>
  <si>
    <t>L1958800</t>
  </si>
  <si>
    <t>Antica Sambuca Tropical</t>
  </si>
  <si>
    <t>L5863000</t>
  </si>
  <si>
    <t>Asbach Original 3 Years</t>
  </si>
  <si>
    <t>L1843300</t>
  </si>
  <si>
    <t>Barcelo Imperial + 2 Glasses</t>
  </si>
  <si>
    <t>L1769500</t>
  </si>
  <si>
    <t>Barcelo Imperial + GB</t>
  </si>
  <si>
    <t>L1769200</t>
  </si>
  <si>
    <t>L1769400</t>
  </si>
  <si>
    <t>Barcelo Imperial Onyx + GB</t>
  </si>
  <si>
    <t>L2351400</t>
  </si>
  <si>
    <t>Bobby's Jenever</t>
  </si>
  <si>
    <t>L5048100</t>
  </si>
  <si>
    <t>Bols Kirsch</t>
  </si>
  <si>
    <t>L0524500</t>
  </si>
  <si>
    <t>Bols Triple Sec</t>
  </si>
  <si>
    <t>L0519100</t>
  </si>
  <si>
    <t>Bommerlunder</t>
  </si>
  <si>
    <t>L1345700</t>
  </si>
  <si>
    <t>Bommerlunder Gold</t>
  </si>
  <si>
    <t>L1693500</t>
  </si>
  <si>
    <t>Borgoe Gold Rum</t>
  </si>
  <si>
    <t>L5978500</t>
  </si>
  <si>
    <t>Botran Miracielo Spiced Rum</t>
  </si>
  <si>
    <t>L2105700</t>
  </si>
  <si>
    <t>L0915500</t>
  </si>
  <si>
    <t>Brugal Anejo</t>
  </si>
  <si>
    <t>Brugal Extra Viejo NRF</t>
  </si>
  <si>
    <t>L5948100</t>
  </si>
  <si>
    <t>Buen Amigo Gold</t>
  </si>
  <si>
    <t>L5948300</t>
  </si>
  <si>
    <t>Buen Amigo Silver</t>
  </si>
  <si>
    <t>L0528300</t>
  </si>
  <si>
    <t>L2565700</t>
  </si>
  <si>
    <t>Calibre 38 5 Years Extra Anejo</t>
  </si>
  <si>
    <t>L1359800</t>
  </si>
  <si>
    <t>Cellini Cru</t>
  </si>
  <si>
    <t>L5768400</t>
  </si>
  <si>
    <t>Codigo 1530 Blanco</t>
  </si>
  <si>
    <t>L1708500</t>
  </si>
  <si>
    <t>Contrabando</t>
  </si>
  <si>
    <t>L0533500</t>
  </si>
  <si>
    <t>Corralejo Anejo</t>
  </si>
  <si>
    <t>L1356200</t>
  </si>
  <si>
    <t>Corralejo Blanco</t>
  </si>
  <si>
    <t>L0533800</t>
  </si>
  <si>
    <t>Corralejo Reposado</t>
  </si>
  <si>
    <t>L0544700</t>
  </si>
  <si>
    <t>Don Julio 1942 + GB</t>
  </si>
  <si>
    <t>L0545300</t>
  </si>
  <si>
    <t>Don Julio Anejo</t>
  </si>
  <si>
    <t>L0545200</t>
  </si>
  <si>
    <t>Don Julio Anejo + GB</t>
  </si>
  <si>
    <t>L0545500</t>
  </si>
  <si>
    <t>Don Julio Blanco</t>
  </si>
  <si>
    <t>L0545400</t>
  </si>
  <si>
    <t>Don Julio Blanco + GB</t>
  </si>
  <si>
    <t>L0545700</t>
  </si>
  <si>
    <t>Don Julio Reposado</t>
  </si>
  <si>
    <t>L0545600</t>
  </si>
  <si>
    <t>Don Julio Reposado + GB</t>
  </si>
  <si>
    <t>L0546600</t>
  </si>
  <si>
    <t>Doornkaat</t>
  </si>
  <si>
    <t>L0548200</t>
  </si>
  <si>
    <t>El Jimador Blanco</t>
  </si>
  <si>
    <t>L0548400</t>
  </si>
  <si>
    <t>El Jimador Reposado</t>
  </si>
  <si>
    <t>L0071300</t>
  </si>
  <si>
    <t>Gammeldansk Bitter Dram</t>
  </si>
  <si>
    <t>L2537400</t>
  </si>
  <si>
    <t>Grand Kadoo Banana Flavoured</t>
  </si>
  <si>
    <t>L2537500</t>
  </si>
  <si>
    <t>Grand Kadoo Coconut Flavoured</t>
  </si>
  <si>
    <t>L2537600</t>
  </si>
  <si>
    <t>Grand Kadoo Pineapple Flavoured</t>
  </si>
  <si>
    <t>L2537700</t>
  </si>
  <si>
    <t>Grand Kadoo Spiced</t>
  </si>
  <si>
    <t>L1726900</t>
  </si>
  <si>
    <t>L6087200</t>
  </si>
  <si>
    <t>Grasovka Bison Brand Vodka + Glass</t>
  </si>
  <si>
    <t>L0550700</t>
  </si>
  <si>
    <t>Gusano Rojo Mezcal</t>
  </si>
  <si>
    <t>L0071700</t>
  </si>
  <si>
    <t>Hanappier</t>
  </si>
  <si>
    <t>L2434500</t>
  </si>
  <si>
    <t>Hooghoudt Korenwijn</t>
  </si>
  <si>
    <t>L2487500</t>
  </si>
  <si>
    <t>Hooghoudt Oude Jenever</t>
  </si>
  <si>
    <t>L1362800</t>
  </si>
  <si>
    <t>L1361600</t>
  </si>
  <si>
    <t>L6103500</t>
  </si>
  <si>
    <t>Jose Cuervo Especial Silver Limited Edition</t>
  </si>
  <si>
    <t>L5766700</t>
  </si>
  <si>
    <t>Jose Cuervo Tradicional Reposado</t>
  </si>
  <si>
    <t>L1355900</t>
  </si>
  <si>
    <t>Julia Grappa Superiore</t>
  </si>
  <si>
    <t>L0565700</t>
  </si>
  <si>
    <t>Karlsbader Becherovka</t>
  </si>
  <si>
    <t>L5472200</t>
  </si>
  <si>
    <t>Lala Blanco</t>
  </si>
  <si>
    <t>L0569400</t>
  </si>
  <si>
    <t>Luxardo Sambuca Dei Cesari</t>
  </si>
  <si>
    <t>L0497500</t>
  </si>
  <si>
    <t>Mandarine Napoleon</t>
  </si>
  <si>
    <t>L0395400</t>
  </si>
  <si>
    <t>Mermaid Pink Gin</t>
  </si>
  <si>
    <t>L1372100</t>
  </si>
  <si>
    <t>Metaxa 5*</t>
  </si>
  <si>
    <t>L1399200</t>
  </si>
  <si>
    <t>Olmeca Altos Plata</t>
  </si>
  <si>
    <t>L0578000</t>
  </si>
  <si>
    <t>Olmeca Altos Reposado</t>
  </si>
  <si>
    <t>L0968600</t>
  </si>
  <si>
    <t>Opthimus 15 Years + GB</t>
  </si>
  <si>
    <t>L0968700</t>
  </si>
  <si>
    <t>Opthimus 18 Years + GB</t>
  </si>
  <si>
    <t>L0968800</t>
  </si>
  <si>
    <t>Opthimus 21 Years + GB</t>
  </si>
  <si>
    <t>L0968900</t>
  </si>
  <si>
    <t>Opthimus 25 Years + GB</t>
  </si>
  <si>
    <t>L0579500</t>
  </si>
  <si>
    <t>Ouzo 12</t>
  </si>
  <si>
    <t>L0581700</t>
  </si>
  <si>
    <t>L0261800</t>
  </si>
  <si>
    <t>Ramazzotti Sambuca</t>
  </si>
  <si>
    <t>L5751100</t>
  </si>
  <si>
    <t>Rammstein Pink Gin Edition 2</t>
  </si>
  <si>
    <t>L0510500</t>
  </si>
  <si>
    <t>Rammstein Tequila</t>
  </si>
  <si>
    <t>L5627900</t>
  </si>
  <si>
    <t>Rooster Rojo Reposado</t>
  </si>
  <si>
    <t>L0592500</t>
  </si>
  <si>
    <t>Sagatiba Pura Cachaca</t>
  </si>
  <si>
    <t>L5953900</t>
  </si>
  <si>
    <t>L5953800</t>
  </si>
  <si>
    <t>L5986200</t>
  </si>
  <si>
    <t>Soplica Staropolska Original</t>
  </si>
  <si>
    <t>L1832500</t>
  </si>
  <si>
    <t>Spirited Union Lemon &amp; Leaf</t>
  </si>
  <si>
    <t>L5207100</t>
  </si>
  <si>
    <t>Spirited Union Organic Coconut</t>
  </si>
  <si>
    <t>L5207300</t>
  </si>
  <si>
    <t>Spirited Union Pink Grapefruit &amp; Rose</t>
  </si>
  <si>
    <t>L5207200</t>
  </si>
  <si>
    <t>Spirited Union Queen Pineapple &amp; Spice</t>
  </si>
  <si>
    <t>L5847500</t>
  </si>
  <si>
    <t>Spirited Union Queen Pineapple + GB</t>
  </si>
  <si>
    <t>L2437300</t>
  </si>
  <si>
    <t>Spirited Union Spice &amp; Sea Salt</t>
  </si>
  <si>
    <t>L5961900</t>
  </si>
  <si>
    <t>Stonegaze Black Raspberry Vodka</t>
  </si>
  <si>
    <t>L5313800</t>
  </si>
  <si>
    <t>Stonegaze Rhubarb &amp; Raspberry Gin</t>
  </si>
  <si>
    <t>L5313900</t>
  </si>
  <si>
    <t>Stonegaze Sourberry Rum</t>
  </si>
  <si>
    <t>L5184300</t>
  </si>
  <si>
    <t>Strega Sambuca Liqueur</t>
  </si>
  <si>
    <t>L1122300</t>
  </si>
  <si>
    <t>Stroh 38</t>
  </si>
  <si>
    <t>L5997800</t>
  </si>
  <si>
    <t>Takamaka Dark Spiced</t>
  </si>
  <si>
    <t>L5991300</t>
  </si>
  <si>
    <t>Tanglin Triple Tangerine Orange Likeur</t>
  </si>
  <si>
    <t>L0598200</t>
  </si>
  <si>
    <t>Vaccari Sambuca</t>
  </si>
  <si>
    <t>L0598800</t>
  </si>
  <si>
    <t>L1014000</t>
  </si>
  <si>
    <t>Xoriguer Mahon Gin</t>
  </si>
  <si>
    <t>L5940500</t>
  </si>
  <si>
    <t>Xoriguer Mahon Gin Canet</t>
  </si>
  <si>
    <t>L0712700</t>
  </si>
  <si>
    <t>L0712800</t>
  </si>
  <si>
    <t>L0713900</t>
  </si>
  <si>
    <t>L5687300</t>
  </si>
  <si>
    <t>Ardbeg Ardcore The Ultimate + GB</t>
  </si>
  <si>
    <t>L0710100</t>
  </si>
  <si>
    <t>Ardmore 12 Years Portwood + GB</t>
  </si>
  <si>
    <t>L5525700</t>
  </si>
  <si>
    <t>Armorik Classic + GB</t>
  </si>
  <si>
    <t>L0806200</t>
  </si>
  <si>
    <t>Arran 10 Years + GB</t>
  </si>
  <si>
    <t>L5715900</t>
  </si>
  <si>
    <t>Arran 25 Years + Wooden GB</t>
  </si>
  <si>
    <t>L5154900</t>
  </si>
  <si>
    <t>Arran Machrie Moor Peated Single Malt + Tin GB</t>
  </si>
  <si>
    <t>L1469000</t>
  </si>
  <si>
    <t>Balblair 12 Years + GB</t>
  </si>
  <si>
    <t>L1469100</t>
  </si>
  <si>
    <t>Balblair 15 Years + GB</t>
  </si>
  <si>
    <t>L5578000</t>
  </si>
  <si>
    <t>Balcones Baby Blue Corn</t>
  </si>
  <si>
    <t>L5577900</t>
  </si>
  <si>
    <t>Balcones Texas Pot Still Bourbon</t>
  </si>
  <si>
    <t>L1965400</t>
  </si>
  <si>
    <t>Ballechin 10 Years + GB</t>
  </si>
  <si>
    <t>L5576900</t>
  </si>
  <si>
    <t>Battlehill Glengarioch 9 Years + GB</t>
  </si>
  <si>
    <t>L5033800</t>
  </si>
  <si>
    <t>Benriach 10 Years The Smoky Ten + GB</t>
  </si>
  <si>
    <t>L1490800</t>
  </si>
  <si>
    <t>Benriach 12 Years The Smoky Twelve + GB</t>
  </si>
  <si>
    <t>L5649800</t>
  </si>
  <si>
    <t>Benriach 21 Years + GB</t>
  </si>
  <si>
    <t>L5813400</t>
  </si>
  <si>
    <t>Cask Speyside 12 Years + GB</t>
  </si>
  <si>
    <t>L0749300</t>
  </si>
  <si>
    <t>Clynelish 14 Years + GB</t>
  </si>
  <si>
    <t>L5569900</t>
  </si>
  <si>
    <t>Compass Box Orchard House</t>
  </si>
  <si>
    <t>L5640800</t>
  </si>
  <si>
    <t>Compass Box The Peat Monster</t>
  </si>
  <si>
    <t>L0104900</t>
  </si>
  <si>
    <t>Compass Box The Peat Monster + GB</t>
  </si>
  <si>
    <t>L5753500</t>
  </si>
  <si>
    <t>Compass Box The Spice Tree</t>
  </si>
  <si>
    <t>L0750100</t>
  </si>
  <si>
    <t>Compass Box The Spice Tree + GB</t>
  </si>
  <si>
    <t>L0745600</t>
  </si>
  <si>
    <t>Craigellachie 13 Years + GB</t>
  </si>
  <si>
    <t>L5822300</t>
  </si>
  <si>
    <t>Craigellachie 13 Years Armagnac Cask Finish + GB</t>
  </si>
  <si>
    <t>L0745700</t>
  </si>
  <si>
    <t>Craigellachie 17 Years + GB</t>
  </si>
  <si>
    <t>L0755700</t>
  </si>
  <si>
    <t>Douglas Laing's Big Peat + GB</t>
  </si>
  <si>
    <t>L2034500</t>
  </si>
  <si>
    <t>Glen Scotia Single Malt Double Cask + GB</t>
  </si>
  <si>
    <t>L6085400</t>
  </si>
  <si>
    <t>Glenallachie 12 Years</t>
  </si>
  <si>
    <t>L0759500</t>
  </si>
  <si>
    <t>Glenallachie 12 Years + GB</t>
  </si>
  <si>
    <t>L2346000</t>
  </si>
  <si>
    <t>Glenallachie 15 Years + GB</t>
  </si>
  <si>
    <t>L5710500</t>
  </si>
  <si>
    <t>Glenallachie 8 Years + GB</t>
  </si>
  <si>
    <t>L0763800</t>
  </si>
  <si>
    <t>Glencadam 10 Years + GB</t>
  </si>
  <si>
    <t>L2340600</t>
  </si>
  <si>
    <t>Glencadam 13 Years + GB</t>
  </si>
  <si>
    <t>L0763900</t>
  </si>
  <si>
    <t>Glencadam 15 Years + GB</t>
  </si>
  <si>
    <t>L5066100</t>
  </si>
  <si>
    <t>Glencadam Reserva Andalucia Oloroso + GB</t>
  </si>
  <si>
    <t>L0766700</t>
  </si>
  <si>
    <t>Glenfarclas 15 Years + GB</t>
  </si>
  <si>
    <t>L0772500</t>
  </si>
  <si>
    <t>Glenglassaugh Revival + GB</t>
  </si>
  <si>
    <t>L5855500</t>
  </si>
  <si>
    <t>Glenmorangie 12 Years Palo Cortado Finish</t>
  </si>
  <si>
    <t>L0761800</t>
  </si>
  <si>
    <t>Glenmorangie 14 Years Quinta Ruban + GB</t>
  </si>
  <si>
    <t>L0761700</t>
  </si>
  <si>
    <t>Glenmorangie Nectar D'or + GB</t>
  </si>
  <si>
    <t>L0104600</t>
  </si>
  <si>
    <t>Gouden Carolus Whisky + GB</t>
  </si>
  <si>
    <t>L2304700</t>
  </si>
  <si>
    <t>High West Double Rye</t>
  </si>
  <si>
    <t>L5510700</t>
  </si>
  <si>
    <t>Hunter Laing Islay Journey  + GB</t>
  </si>
  <si>
    <t>L5789400</t>
  </si>
  <si>
    <t>Hunter Laing Islay Journey + GB</t>
  </si>
  <si>
    <t>L5852800</t>
  </si>
  <si>
    <t>Hunter Laing Journey + GB</t>
  </si>
  <si>
    <t>L1383500</t>
  </si>
  <si>
    <t>Kavalan Podium + GB</t>
  </si>
  <si>
    <t>L0812800</t>
  </si>
  <si>
    <t>Kilchoman Machir Bay + GB</t>
  </si>
  <si>
    <t>L0812900</t>
  </si>
  <si>
    <t>Kilchoman Sanaig + GB</t>
  </si>
  <si>
    <t>L5774900</t>
  </si>
  <si>
    <t>Larceny Straight Bourbon</t>
  </si>
  <si>
    <t>L0818300</t>
  </si>
  <si>
    <t>Loch Lomond 12 Years + GB</t>
  </si>
  <si>
    <t>L6084500</t>
  </si>
  <si>
    <t>Mac-Talla 15 Years Strata + GB</t>
  </si>
  <si>
    <t>L5356500</t>
  </si>
  <si>
    <t>Mac-Talla Terra + GB</t>
  </si>
  <si>
    <t>L0103400</t>
  </si>
  <si>
    <t>Millstone 12 Years Sherry Cask</t>
  </si>
  <si>
    <t>L0963600</t>
  </si>
  <si>
    <t>No.3 London Dry Gin</t>
  </si>
  <si>
    <t>L0834500</t>
  </si>
  <si>
    <t>Old Pulteney 15 Years + GB</t>
  </si>
  <si>
    <t>L1576100</t>
  </si>
  <si>
    <t>Old Pulteney 16 Years + GB</t>
  </si>
  <si>
    <t>L0834800</t>
  </si>
  <si>
    <t>Old Pulteney 18 Years + GB</t>
  </si>
  <si>
    <t>Old Pulteney Flotilla + GB</t>
  </si>
  <si>
    <t>L0280800</t>
  </si>
  <si>
    <t>Paul John Bold + GB</t>
  </si>
  <si>
    <t>L0360200</t>
  </si>
  <si>
    <t>Paul John Brilliance + GB</t>
  </si>
  <si>
    <t>L1578500</t>
  </si>
  <si>
    <t>Peat's Beast Single Malt Unchillfiltered + GB</t>
  </si>
  <si>
    <t>L5849200</t>
  </si>
  <si>
    <t>R.L. Seale's 10 Years</t>
  </si>
  <si>
    <t>L5701000</t>
  </si>
  <si>
    <t>Rammstein Rum French Ex-Sauternes Cask Finish + GB</t>
  </si>
  <si>
    <t>L5864000</t>
  </si>
  <si>
    <t>Rammstein Rum Port Cask Edition + GB</t>
  </si>
  <si>
    <t>L5622400</t>
  </si>
  <si>
    <t>L5494200</t>
  </si>
  <si>
    <t>Royal Brackla 18 Years + GB</t>
  </si>
  <si>
    <t>L2335400</t>
  </si>
  <si>
    <t>Spey Trutina + GB</t>
  </si>
  <si>
    <t>L1589100</t>
  </si>
  <si>
    <t>Speyburn 15 Years + GB</t>
  </si>
  <si>
    <t>L1589500</t>
  </si>
  <si>
    <t>Speyburn 18 Years + GB</t>
  </si>
  <si>
    <t>L1598700</t>
  </si>
  <si>
    <t>Tamdhu 15 Years Sherry Cask + GB</t>
  </si>
  <si>
    <t>L2367900</t>
  </si>
  <si>
    <t>Teeling Blackpitts Peated Whisky + GB</t>
  </si>
  <si>
    <t>L6069000</t>
  </si>
  <si>
    <t>Teeling IPA Dot Brewery Cask + GB</t>
  </si>
  <si>
    <t>L0694200</t>
  </si>
  <si>
    <t>Teeling Single Grain + GB</t>
  </si>
  <si>
    <t>L0694400</t>
  </si>
  <si>
    <t>Teeling Single Malt + GB</t>
  </si>
  <si>
    <t>L5061700</t>
  </si>
  <si>
    <t>Teeling Single Pot Still + GB</t>
  </si>
  <si>
    <t>L0694800</t>
  </si>
  <si>
    <t>Teeling Small Batch</t>
  </si>
  <si>
    <t>L6068900</t>
  </si>
  <si>
    <t>Teeling Sommelier Selection Douro Old Vines + GB</t>
  </si>
  <si>
    <t>L1599400</t>
  </si>
  <si>
    <t>Teeling Stout Cask Finish + GB</t>
  </si>
  <si>
    <t>L0930200</t>
  </si>
  <si>
    <t>The Botanist Islay Dry Gin</t>
  </si>
  <si>
    <t>L1606600</t>
  </si>
  <si>
    <t>The Glendronach 15 Years Revival + GB</t>
  </si>
  <si>
    <t>L5068800</t>
  </si>
  <si>
    <t>The Glendronach Port Wood + GB</t>
  </si>
  <si>
    <t>L5722400</t>
  </si>
  <si>
    <t>The Irishman Marsala Cask Finish + GB</t>
  </si>
  <si>
    <t>L5601300</t>
  </si>
  <si>
    <t>The Six Isles Voyager + GB</t>
  </si>
  <si>
    <t>L1635600</t>
  </si>
  <si>
    <t>Tomatin 14 Years Portwood + GB</t>
  </si>
  <si>
    <t>L0852100</t>
  </si>
  <si>
    <t>Tomatin 18 Years + GB</t>
  </si>
  <si>
    <t>L2170800</t>
  </si>
  <si>
    <t>Tomatin Cu Bocan Signature Limited + GB</t>
  </si>
  <si>
    <t>L5445200</t>
  </si>
  <si>
    <t>Torabhaig Legacy 2 Allt Gleann + GB</t>
  </si>
  <si>
    <t>L6090500</t>
  </si>
  <si>
    <t>Tullibardine The Murray Double Wood + GB</t>
  </si>
  <si>
    <t>L6090600</t>
  </si>
  <si>
    <t>Tullibardine The Murray Triple Port + GB</t>
  </si>
  <si>
    <t>L0855200</t>
  </si>
  <si>
    <t>Wolfburn Aurora + GB</t>
  </si>
  <si>
    <t>L1232400</t>
  </si>
  <si>
    <t>Wolfburn Morven Lightly Peated + GB</t>
  </si>
  <si>
    <t>L0855300</t>
  </si>
  <si>
    <t>Wolfburn Northland + GB</t>
  </si>
  <si>
    <t>L5929000</t>
  </si>
  <si>
    <t>Wolfburn Small Batch 458 + GB</t>
  </si>
  <si>
    <t>L6079000</t>
  </si>
  <si>
    <t>Writers Tears Single Pot Still + GB</t>
  </si>
  <si>
    <t>L5795200</t>
  </si>
  <si>
    <t>Aberlour 18 Years Double Sherry Cask Finish + GB</t>
  </si>
  <si>
    <t>L6022600</t>
  </si>
  <si>
    <t>Amuerte Coca Leaf Gin Green Edition</t>
  </si>
  <si>
    <t>L2394600</t>
  </si>
  <si>
    <t>Amuerte Coca Leaf Gin Red Edition</t>
  </si>
  <si>
    <t>L6079800</t>
  </si>
  <si>
    <t>L1184600</t>
  </si>
  <si>
    <t>L1184500</t>
  </si>
  <si>
    <t>Amuerte Coca Leaf Gin White Edition + 2 Glasses</t>
  </si>
  <si>
    <t>L0602500</t>
  </si>
  <si>
    <t>Antiquary 21 Years + GB</t>
  </si>
  <si>
    <t>L5848100</t>
  </si>
  <si>
    <t>Appleton 15 Years Black River Casks + GB</t>
  </si>
  <si>
    <t>L5155600</t>
  </si>
  <si>
    <t>Appleton Estate 12 Years Rare Blend</t>
  </si>
  <si>
    <t>L5252800</t>
  </si>
  <si>
    <t>L1201000</t>
  </si>
  <si>
    <t>Arran Barrel Reserve + GB</t>
  </si>
  <si>
    <t>L1203900</t>
  </si>
  <si>
    <t>Arran Robert Burns + GB</t>
  </si>
  <si>
    <t>L2412700</t>
  </si>
  <si>
    <t>Auchentoshan Three Wood + GB</t>
  </si>
  <si>
    <t>L0712900</t>
  </si>
  <si>
    <t>Auchroisk 10 Years - Flora &amp; Fauna</t>
  </si>
  <si>
    <t>L0735700</t>
  </si>
  <si>
    <t>Balvenie 12 Years American Oak + GB</t>
  </si>
  <si>
    <t>L2412900</t>
  </si>
  <si>
    <t>Balvenie 14 Years Caribbean Cask + GB</t>
  </si>
  <si>
    <t>L5531400</t>
  </si>
  <si>
    <t>Balvenie Creation of a Classic + GB</t>
  </si>
  <si>
    <t>L0719500</t>
  </si>
  <si>
    <t>Benriach 10 Years The Original Ten + GB</t>
  </si>
  <si>
    <t>L5892400</t>
  </si>
  <si>
    <t>Benriach 16 Years Three Cask Matured + GB</t>
  </si>
  <si>
    <t>L0721800</t>
  </si>
  <si>
    <t>Benromach 10 Years + GB</t>
  </si>
  <si>
    <t>L2665300</t>
  </si>
  <si>
    <t>Benromach Speyside 15 Years + GB</t>
  </si>
  <si>
    <t>L5195000</t>
  </si>
  <si>
    <t>Blair Athol 12 Years - Flora &amp; Fauna</t>
  </si>
  <si>
    <t>L5832900</t>
  </si>
  <si>
    <t>Blossom Costa Blanca</t>
  </si>
  <si>
    <t>L5280900</t>
  </si>
  <si>
    <t>Bombay Sapphire Sunset Special Edition</t>
  </si>
  <si>
    <t>L6074100</t>
  </si>
  <si>
    <t>Bowmore 15 Years + 2 Glasses</t>
  </si>
  <si>
    <t>L0724300</t>
  </si>
  <si>
    <t>Bowmore 15 Years Sherry Cask Finish + GB</t>
  </si>
  <si>
    <t>L2412800</t>
  </si>
  <si>
    <t>Bowmore 18 Years + GB</t>
  </si>
  <si>
    <t>L0746000</t>
  </si>
  <si>
    <t>L0746700</t>
  </si>
  <si>
    <t>Caol Ila 18 Years + GB</t>
  </si>
  <si>
    <t>L5857500</t>
  </si>
  <si>
    <t>Caol Ila Distillers Edition 2022 + GB</t>
  </si>
  <si>
    <t>L0749100</t>
  </si>
  <si>
    <t>Caol Ila Moch + GB</t>
  </si>
  <si>
    <t>L0475200</t>
  </si>
  <si>
    <t>Chartreuse Yellow</t>
  </si>
  <si>
    <t>L5369300</t>
  </si>
  <si>
    <t>Compass Box Artist Blend</t>
  </si>
  <si>
    <t>L5369200</t>
  </si>
  <si>
    <t>Compass Box Glasgow Blend</t>
  </si>
  <si>
    <t>L5290800</t>
  </si>
  <si>
    <t>Compass Box Hedonism</t>
  </si>
  <si>
    <t>L1461300</t>
  </si>
  <si>
    <t>Compass Box Hedonism + GB</t>
  </si>
  <si>
    <t>L1436400</t>
  </si>
  <si>
    <t>Connemara Distillers Edition + GB</t>
  </si>
  <si>
    <t>L0858100</t>
  </si>
  <si>
    <t>Crafter's London Dry Gin</t>
  </si>
  <si>
    <t>L0756300</t>
  </si>
  <si>
    <t>Dalwhinnie 15 Years + GB</t>
  </si>
  <si>
    <t>L5858000</t>
  </si>
  <si>
    <t>Dalwhinnie Distillers Edition 2022 + GB</t>
  </si>
  <si>
    <t>L0757400</t>
  </si>
  <si>
    <t>Dalwhinnie Winters Gold + GB</t>
  </si>
  <si>
    <t>L0913500</t>
  </si>
  <si>
    <t>Dictador Ortodoxy Colombian Aged Gin</t>
  </si>
  <si>
    <t>L0913300</t>
  </si>
  <si>
    <t>Dictador Treasure Colombian Aged Gin</t>
  </si>
  <si>
    <t>Diplomatico Seleccion de Familia + GB</t>
  </si>
  <si>
    <t>L5450500</t>
  </si>
  <si>
    <t>L1715700</t>
  </si>
  <si>
    <t>Don Papa 10 Years + GB</t>
  </si>
  <si>
    <t>L2299500</t>
  </si>
  <si>
    <t>Doorly's 12 Years + GB</t>
  </si>
  <si>
    <t>L2299600</t>
  </si>
  <si>
    <t>Doorly's XO + GB</t>
  </si>
  <si>
    <t>L5177800</t>
  </si>
  <si>
    <t>Drumshanbo Gunpowder + Glass</t>
  </si>
  <si>
    <t>L5894500</t>
  </si>
  <si>
    <t>Drumshanbo Gunpowder Californian Orange Irish Gin</t>
  </si>
  <si>
    <t>L5177700</t>
  </si>
  <si>
    <t>Drumshanbo Gunpowder Ceramic Bottle</t>
  </si>
  <si>
    <t>L0939100</t>
  </si>
  <si>
    <t>Drumshanbo Gunpowder Irish Gin</t>
  </si>
  <si>
    <t>L2197300</t>
  </si>
  <si>
    <t>Drumshanbo Gunpowder Sardinian Citrus</t>
  </si>
  <si>
    <t>L5894600</t>
  </si>
  <si>
    <t>Drumshanbo Gunpowder Sardinian Citrus Ceramic Bottle</t>
  </si>
  <si>
    <t>L5177900</t>
  </si>
  <si>
    <t>Drumshanbo Single Pot Still + GB</t>
  </si>
  <si>
    <t>L0918900</t>
  </si>
  <si>
    <t>Edinburgh Gin</t>
  </si>
  <si>
    <t>L2019700</t>
  </si>
  <si>
    <t>Edinburgh Gin Seaside</t>
  </si>
  <si>
    <t>L0918300</t>
  </si>
  <si>
    <t>El Dorado 15 Years + GB</t>
  </si>
  <si>
    <t>L5457000</t>
  </si>
  <si>
    <t>Etsu Double Orange Gin + GB</t>
  </si>
  <si>
    <t>L5809800</t>
  </si>
  <si>
    <t>Etsu Double Yuzu Gin + GB</t>
  </si>
  <si>
    <t>L0922500</t>
  </si>
  <si>
    <t>Etsu Gin + GB</t>
  </si>
  <si>
    <t>L0628200</t>
  </si>
  <si>
    <t>L5992200</t>
  </si>
  <si>
    <t>Fercullen Falls Small Batch</t>
  </si>
  <si>
    <t>L2537800</t>
  </si>
  <si>
    <t>Ginato Clementino Orange</t>
  </si>
  <si>
    <t>L2537900</t>
  </si>
  <si>
    <t>Ginato Melograno Pomegranate &amp; Barbera Grape</t>
  </si>
  <si>
    <t>L2538000</t>
  </si>
  <si>
    <t>Ginato Pinot Grigio &amp; Sicilian Citrus</t>
  </si>
  <si>
    <t>L2538100</t>
  </si>
  <si>
    <t>Ginato Pompelmo Pink Grapefruit</t>
  </si>
  <si>
    <t>L0758300</t>
  </si>
  <si>
    <t>Glen Elgin 12 Years + GB</t>
  </si>
  <si>
    <t>L0770200</t>
  </si>
  <si>
    <t>Glen Grant 12 Years + GB</t>
  </si>
  <si>
    <t>L0771300</t>
  </si>
  <si>
    <t>L2034600</t>
  </si>
  <si>
    <t>Glen Spey 12 Years - Flora &amp; Fauna</t>
  </si>
  <si>
    <t>L5001900</t>
  </si>
  <si>
    <t>Glenfarclas 12 Years + GB</t>
  </si>
  <si>
    <t>L0767500</t>
  </si>
  <si>
    <t>Glenfarclas 25 Years + GB</t>
  </si>
  <si>
    <t>L0781400</t>
  </si>
  <si>
    <t>Glenfiddich Fire &amp; Cane</t>
  </si>
  <si>
    <t>L0782300</t>
  </si>
  <si>
    <t>Glenfiddich Malt Master's Edition + GB</t>
  </si>
  <si>
    <t>L5757200</t>
  </si>
  <si>
    <t>Glenfiddich Orchard Experiment + GB</t>
  </si>
  <si>
    <t>L0794700</t>
  </si>
  <si>
    <t>Glengoyne 12 Years + GB</t>
  </si>
  <si>
    <t>L0794800</t>
  </si>
  <si>
    <t>Glengoyne 15 Years + GB</t>
  </si>
  <si>
    <t>L5159700</t>
  </si>
  <si>
    <t>Glengoyne 18 Years + GB</t>
  </si>
  <si>
    <t>L0795800</t>
  </si>
  <si>
    <t>Glengoyne 21 Years + GB</t>
  </si>
  <si>
    <t>L0783800</t>
  </si>
  <si>
    <t>Glenkinchie 12 Years + GB</t>
  </si>
  <si>
    <t>L5857900</t>
  </si>
  <si>
    <t>Glenkinchie Distillers Edition 2022 + GB</t>
  </si>
  <si>
    <t>L5194700</t>
  </si>
  <si>
    <t>Glenlossie 10 Years - Flora &amp; Fauna</t>
  </si>
  <si>
    <t>L1514000</t>
  </si>
  <si>
    <t>Glenmorangie 12 Years The Lasanta Sherry Cask Finish + GB</t>
  </si>
  <si>
    <t>L6036300</t>
  </si>
  <si>
    <t>Glenmorangie 15 Years Cadboll Estate + GB</t>
  </si>
  <si>
    <t>L0760000</t>
  </si>
  <si>
    <t>Glenmorangie 18 Years + GB</t>
  </si>
  <si>
    <t>L0639100</t>
  </si>
  <si>
    <t>Hakushu Distiller's Reserve + GB</t>
  </si>
  <si>
    <t>L0939500</t>
  </si>
  <si>
    <t>Hanami Dry Gin</t>
  </si>
  <si>
    <t>L5015500</t>
  </si>
  <si>
    <t>Heaven's Door Straight Rye</t>
  </si>
  <si>
    <t>L0638000</t>
  </si>
  <si>
    <t>Hibiki Harmony + GB</t>
  </si>
  <si>
    <t>L1518300</t>
  </si>
  <si>
    <t>Highland Park 18 Years Viking Pride + GB</t>
  </si>
  <si>
    <t>L1645100</t>
  </si>
  <si>
    <t>Jack Daniel's Legacy</t>
  </si>
  <si>
    <t>L2238200</t>
  </si>
  <si>
    <t>Jack Daniel's Legacy No. 3</t>
  </si>
  <si>
    <t>L5341600</t>
  </si>
  <si>
    <t>Jack Daniel's Paula Sher Limited Edition 2021</t>
  </si>
  <si>
    <t>L1864300</t>
  </si>
  <si>
    <t>Jawbox Small Batch Gin</t>
  </si>
  <si>
    <t>L2633200</t>
  </si>
  <si>
    <t>Jim Beam Black Bourbon</t>
  </si>
  <si>
    <t>L0645600</t>
  </si>
  <si>
    <t>Jim Beam Double Oak</t>
  </si>
  <si>
    <t>L5932400</t>
  </si>
  <si>
    <t>Jin Jiji Darjeeling India Dry Gin</t>
  </si>
  <si>
    <t>L0666300</t>
  </si>
  <si>
    <t>Johnnie Walker 15 Years Green Label + GB</t>
  </si>
  <si>
    <t>L5295700</t>
  </si>
  <si>
    <t>L5295500</t>
  </si>
  <si>
    <t>Kirker &amp; Greer Shamrock</t>
  </si>
  <si>
    <t>L0813300</t>
  </si>
  <si>
    <t>Knockando 12 Years + GB</t>
  </si>
  <si>
    <t>L5110400</t>
  </si>
  <si>
    <t>Knockando 15 Years Richly Matured + GB</t>
  </si>
  <si>
    <t>L1550200</t>
  </si>
  <si>
    <t>Knockando 18 Years + GB</t>
  </si>
  <si>
    <t>L0814000</t>
  </si>
  <si>
    <t>Knockando 21 Years Master Reserve + GB</t>
  </si>
  <si>
    <t>L5112100</t>
  </si>
  <si>
    <t>Kujira 5 Years + GB</t>
  </si>
  <si>
    <t>L2239100</t>
  </si>
  <si>
    <t>Lagavulin 10 Years + GB</t>
  </si>
  <si>
    <t>L0815800</t>
  </si>
  <si>
    <t>Lagavulin 16 Years + GB</t>
  </si>
  <si>
    <t>L5857800</t>
  </si>
  <si>
    <t>Lagavulin Distillers Edition 2022 + GB</t>
  </si>
  <si>
    <t>L5421500</t>
  </si>
  <si>
    <t>Lost Distillery Towiemore</t>
  </si>
  <si>
    <t>L0673500</t>
  </si>
  <si>
    <t>Mars Maltage Cosmo + GB</t>
  </si>
  <si>
    <t>L5330200</t>
  </si>
  <si>
    <t>Mount Gay Black Barrel Double Cask Blend</t>
  </si>
  <si>
    <t>L0959900</t>
  </si>
  <si>
    <t>Mount Gay XO Triple Cask Blend + GB</t>
  </si>
  <si>
    <t>L2276800</t>
  </si>
  <si>
    <t>Nikka Tailored + GB</t>
  </si>
  <si>
    <t>L2113200</t>
  </si>
  <si>
    <t>Nikka Taketsuru Pure malt + GB</t>
  </si>
  <si>
    <t>L0833500</t>
  </si>
  <si>
    <t>Oban 14 Years + GB</t>
  </si>
  <si>
    <t>L5857700</t>
  </si>
  <si>
    <t>Oban Distillers Edition 2022 + GB</t>
  </si>
  <si>
    <t>L0833800</t>
  </si>
  <si>
    <t>Oban Little Bay + GB</t>
  </si>
  <si>
    <t>L1754600</t>
  </si>
  <si>
    <t>Opthimus 25 Years Malt Cask Finish + GB</t>
  </si>
  <si>
    <t>L5931800</t>
  </si>
  <si>
    <t>Opthimus 25 Years Oporto + GB</t>
  </si>
  <si>
    <t>L0974300</t>
  </si>
  <si>
    <t>Plantation Xaymaca Special Dry</t>
  </si>
  <si>
    <t>L5561900</t>
  </si>
  <si>
    <t>Rammstein Whiskey</t>
  </si>
  <si>
    <t>L5770000</t>
  </si>
  <si>
    <t>Rutte Dutch Dry Gin</t>
  </si>
  <si>
    <t>L5290200</t>
  </si>
  <si>
    <t>Saigon Baigur Dry Gin</t>
  </si>
  <si>
    <t>L2140900</t>
  </si>
  <si>
    <t>Shinobu 15 Years + GB</t>
  </si>
  <si>
    <t>Shinobu Pure Malt + GB</t>
  </si>
  <si>
    <t>L0987600</t>
  </si>
  <si>
    <t>Silent Pool Gin</t>
  </si>
  <si>
    <t>L2437000</t>
  </si>
  <si>
    <t>Silent Pool Rare Citrus Gin</t>
  </si>
  <si>
    <t>L5410700</t>
  </si>
  <si>
    <t>Six Dogs Blue + GB</t>
  </si>
  <si>
    <t>L5410900</t>
  </si>
  <si>
    <t>Six Dogs Honey Lime + GB</t>
  </si>
  <si>
    <t>L5410600</t>
  </si>
  <si>
    <t>Six Dogs Karoo + GB</t>
  </si>
  <si>
    <t>L5410800</t>
  </si>
  <si>
    <t>Six Dogs Pinotage Stained + GB</t>
  </si>
  <si>
    <t>L0844400</t>
  </si>
  <si>
    <t>L5852100</t>
  </si>
  <si>
    <t>L6076000</t>
  </si>
  <si>
    <t>Smokehead Twisted Stout + GB</t>
  </si>
  <si>
    <t>L5702500</t>
  </si>
  <si>
    <t>L2149300</t>
  </si>
  <si>
    <t>Strathmill 12 Years - Flora &amp; Fauna</t>
  </si>
  <si>
    <t>L1768400</t>
  </si>
  <si>
    <t>L0639800</t>
  </si>
  <si>
    <t>Suntory The Chita + GB</t>
  </si>
  <si>
    <t>L0640100</t>
  </si>
  <si>
    <t>Suntory Toki</t>
  </si>
  <si>
    <t>L5053100</t>
  </si>
  <si>
    <t>Tamdhu 12 Years + GB</t>
  </si>
  <si>
    <t>L5194500</t>
  </si>
  <si>
    <t>Teaninich 10 Years - Flora &amp; Fauna</t>
  </si>
  <si>
    <t>L6044700</t>
  </si>
  <si>
    <t>Tenjaku Pure Malt Whisky + GB</t>
  </si>
  <si>
    <t>L5663000</t>
  </si>
  <si>
    <t>The Copper In The Clouds Hertfordshire Dry Gin</t>
  </si>
  <si>
    <t>L5226700</t>
  </si>
  <si>
    <t>The Dalmore 12 Years Sherry Cask + GB</t>
  </si>
  <si>
    <t>L6073500</t>
  </si>
  <si>
    <t>The Dalmore 18 Years 2023 Edition + GB</t>
  </si>
  <si>
    <t>L0764800</t>
  </si>
  <si>
    <t>The Glendronach 12 Years + GB</t>
  </si>
  <si>
    <t>L0812000</t>
  </si>
  <si>
    <t>The Irishman 12 Years + GB</t>
  </si>
  <si>
    <t>L1619000</t>
  </si>
  <si>
    <t>The Kurayoshi 12 Years Malt Whisky + GB</t>
  </si>
  <si>
    <t>L5334300</t>
  </si>
  <si>
    <t>The London No. 1</t>
  </si>
  <si>
    <t>L2270600</t>
  </si>
  <si>
    <t>The Macallan 15 Years Double Cask + GB</t>
  </si>
  <si>
    <t>L5018500</t>
  </si>
  <si>
    <t>L6089600</t>
  </si>
  <si>
    <t>The Macallan 18 Years Double Cask 2023 Release + GB</t>
  </si>
  <si>
    <t>L1620700</t>
  </si>
  <si>
    <t>L6062800</t>
  </si>
  <si>
    <t>The Macallan 18 Years Sherry Oak Annual release 2023  + GB</t>
  </si>
  <si>
    <t>L5863900</t>
  </si>
  <si>
    <t>L0702700</t>
  </si>
  <si>
    <t>The Yamazaki 12 Years + GB</t>
  </si>
  <si>
    <t>L0702500</t>
  </si>
  <si>
    <t>The Yamazaki Distiller's Reserve + GB</t>
  </si>
  <si>
    <t>L0851600</t>
  </si>
  <si>
    <t>L0853500</t>
  </si>
  <si>
    <t>Tomatin Legacy + GB</t>
  </si>
  <si>
    <t>L5954200</t>
  </si>
  <si>
    <t>L1641600</t>
  </si>
  <si>
    <t>L2273000</t>
  </si>
  <si>
    <t>Tullibardine 15 Years + GB</t>
  </si>
  <si>
    <t>L5385700</t>
  </si>
  <si>
    <t>L1426500</t>
  </si>
  <si>
    <t>Tullibardine Burgundy 228 + GB</t>
  </si>
  <si>
    <t>L1427300</t>
  </si>
  <si>
    <t>Tullibardine Sherry Finish + GB</t>
  </si>
  <si>
    <t>L0854400</t>
  </si>
  <si>
    <t>Tullibardine Sovereign + GB</t>
  </si>
  <si>
    <t>L1642500</t>
  </si>
  <si>
    <t>Tyrconnell Irish Malt</t>
  </si>
  <si>
    <t>L2173800</t>
  </si>
  <si>
    <t>Tyrconnell Irish Malt + GB</t>
  </si>
  <si>
    <t>L5373900</t>
  </si>
  <si>
    <t>West Cork Sherry Cask Single Malt</t>
  </si>
  <si>
    <t>L5061800</t>
  </si>
  <si>
    <t>West Cork Virgin Oak Cask Finished</t>
  </si>
  <si>
    <t>L5357700</t>
  </si>
  <si>
    <t>Whitley Neill Aloe &amp; Cucumber</t>
  </si>
  <si>
    <t>L1011900</t>
  </si>
  <si>
    <t>Whitley Neill Blackberry</t>
  </si>
  <si>
    <t>L1012000</t>
  </si>
  <si>
    <t>Whitley Neill Blood Orange Gin</t>
  </si>
  <si>
    <t>L1236700</t>
  </si>
  <si>
    <t>Whitley Neill Original</t>
  </si>
  <si>
    <t>L6070000</t>
  </si>
  <si>
    <t>Whitley Neill Pineapple</t>
  </si>
  <si>
    <t>L1012300</t>
  </si>
  <si>
    <t>Whitley Neill Quince</t>
  </si>
  <si>
    <t>Whitley Neill Raspberry</t>
  </si>
  <si>
    <t>Whitley Neill Rhubarb &amp; Ginger Gin</t>
  </si>
  <si>
    <t>L5775700</t>
  </si>
  <si>
    <t>Yamazaki Limited Edition 2021 + GB</t>
  </si>
  <si>
    <t>L0302700</t>
  </si>
  <si>
    <t>L1109400</t>
  </si>
  <si>
    <t>Zacapa Edition Negra + GB</t>
  </si>
  <si>
    <t>L0872400</t>
  </si>
  <si>
    <t>L0872900</t>
  </si>
  <si>
    <t>Absolut Grapefruit</t>
  </si>
  <si>
    <t>L0873400</t>
  </si>
  <si>
    <t>L0873800</t>
  </si>
  <si>
    <t>Absolut Mandrin</t>
  </si>
  <si>
    <t>L0876600</t>
  </si>
  <si>
    <t>L0884400</t>
  </si>
  <si>
    <t>L0884900</t>
  </si>
  <si>
    <t>L0606200</t>
  </si>
  <si>
    <t>L0893200</t>
  </si>
  <si>
    <t>L0607700</t>
  </si>
  <si>
    <t>Bell's</t>
  </si>
  <si>
    <t>L0613900</t>
  </si>
  <si>
    <t>L5464400</t>
  </si>
  <si>
    <t>Black Velvet 8 Years Reserve</t>
  </si>
  <si>
    <t>L0612900</t>
  </si>
  <si>
    <t>L0723600</t>
  </si>
  <si>
    <t>Bowmore 10 Years Dark &amp; Intense + GB</t>
  </si>
  <si>
    <t>L5297700</t>
  </si>
  <si>
    <t>Buchanan's 12 Years NRF + GB</t>
  </si>
  <si>
    <t>L2506100</t>
  </si>
  <si>
    <t>L0612100</t>
  </si>
  <si>
    <t>L0615100</t>
  </si>
  <si>
    <t>L0905200</t>
  </si>
  <si>
    <t>Captain Morgan Black Spiced</t>
  </si>
  <si>
    <t>L0905800</t>
  </si>
  <si>
    <t>Captain Morgan Dark Rum</t>
  </si>
  <si>
    <t>L2592300</t>
  </si>
  <si>
    <t>L2508500</t>
  </si>
  <si>
    <t>L0621500</t>
  </si>
  <si>
    <t>L0474700</t>
  </si>
  <si>
    <t>L0912200</t>
  </si>
  <si>
    <t>L5813700</t>
  </si>
  <si>
    <t>Davidoff VSOP</t>
  </si>
  <si>
    <t>L5679700</t>
  </si>
  <si>
    <t>L0625600</t>
  </si>
  <si>
    <t>L0482200</t>
  </si>
  <si>
    <t>L0629600</t>
  </si>
  <si>
    <t>L5759100</t>
  </si>
  <si>
    <t>L0629800</t>
  </si>
  <si>
    <t>L0924600</t>
  </si>
  <si>
    <t>L1718100</t>
  </si>
  <si>
    <t>Finlandia NRF</t>
  </si>
  <si>
    <t>L0094700</t>
  </si>
  <si>
    <t>L5771100</t>
  </si>
  <si>
    <t>Glenfiddich Perpetual Collection Vat 1 + GB</t>
  </si>
  <si>
    <t>L0683200</t>
  </si>
  <si>
    <t>Grand Old Parr 12 Years + GB</t>
  </si>
  <si>
    <t>L0637100</t>
  </si>
  <si>
    <t>Hankey Bannister</t>
  </si>
  <si>
    <t>L0637200</t>
  </si>
  <si>
    <t>Heaven Hill</t>
  </si>
  <si>
    <t>L0554900</t>
  </si>
  <si>
    <t>L1378100</t>
  </si>
  <si>
    <t>Hennessy VS + GB</t>
  </si>
  <si>
    <t>L2420600</t>
  </si>
  <si>
    <t>L5992400</t>
  </si>
  <si>
    <t>L0952100</t>
  </si>
  <si>
    <t>L0821500</t>
  </si>
  <si>
    <t>Laphroaig Four Oak + GB</t>
  </si>
  <si>
    <t>L2314300</t>
  </si>
  <si>
    <t>Meukow VS Black</t>
  </si>
  <si>
    <t>L6096000</t>
  </si>
  <si>
    <t>Meukow VS Black + GB</t>
  </si>
  <si>
    <t>L1395300</t>
  </si>
  <si>
    <t>Meukow VSOP</t>
  </si>
  <si>
    <t>L2480400</t>
  </si>
  <si>
    <t>L5251800</t>
  </si>
  <si>
    <t>L1750000</t>
  </si>
  <si>
    <t>L5611000</t>
  </si>
  <si>
    <t>Nemiroff Delikat NRF</t>
  </si>
  <si>
    <t>L1872600</t>
  </si>
  <si>
    <t>Nemiroff Honey Pepper</t>
  </si>
  <si>
    <t>L5395600</t>
  </si>
  <si>
    <t>Nemiroff Original NRF</t>
  </si>
  <si>
    <t>L0579800</t>
  </si>
  <si>
    <t>L0580000</t>
  </si>
  <si>
    <t>Ouzo 7 + GB</t>
  </si>
  <si>
    <t>L0581400</t>
  </si>
  <si>
    <t>L5583300</t>
  </si>
  <si>
    <t>L0590200</t>
  </si>
  <si>
    <t>Remy Martin VSOP + GB</t>
  </si>
  <si>
    <t>L6089700</t>
  </si>
  <si>
    <t>Seagrams VO</t>
  </si>
  <si>
    <t>L0689800</t>
  </si>
  <si>
    <t>L0990100</t>
  </si>
  <si>
    <t>L2325300</t>
  </si>
  <si>
    <t>Sobieski Premium</t>
  </si>
  <si>
    <t>L1109600</t>
  </si>
  <si>
    <t>Sobieski Superior</t>
  </si>
  <si>
    <t>L5646700</t>
  </si>
  <si>
    <t>Tamnavulin Oloroso Cask + GB</t>
  </si>
  <si>
    <t>L0854500</t>
  </si>
  <si>
    <t>Tamnavulin Tempranillo Cask + GB</t>
  </si>
  <si>
    <t>L0858500</t>
  </si>
  <si>
    <t>L0696300</t>
  </si>
  <si>
    <t>L0697700</t>
  </si>
  <si>
    <t>White Horse</t>
  </si>
  <si>
    <t>L2181100</t>
  </si>
  <si>
    <t>Whyte &amp; Mackay</t>
  </si>
  <si>
    <t>L0140300</t>
  </si>
  <si>
    <t>Zytnia Poolse Graanwodka</t>
  </si>
  <si>
    <t>L5229900</t>
  </si>
  <si>
    <t>L5093400</t>
  </si>
  <si>
    <t>L0871600</t>
  </si>
  <si>
    <t>L0460100</t>
  </si>
  <si>
    <t>Ararat 10 Years Akhtamar + GB</t>
  </si>
  <si>
    <t>L1959900</t>
  </si>
  <si>
    <t>L0320000</t>
  </si>
  <si>
    <t>Ararat 5 Years + GB</t>
  </si>
  <si>
    <t>L5631900</t>
  </si>
  <si>
    <t>Arran Robert Burns Blended + GB</t>
  </si>
  <si>
    <t>L0605700</t>
  </si>
  <si>
    <t>L5895000</t>
  </si>
  <si>
    <t>L0607400</t>
  </si>
  <si>
    <t>L1008300</t>
  </si>
  <si>
    <t>L2566800</t>
  </si>
  <si>
    <t>L2315000</t>
  </si>
  <si>
    <t>L1908600</t>
  </si>
  <si>
    <t>L1855600</t>
  </si>
  <si>
    <t>Euphoria Cannabis Gin</t>
  </si>
  <si>
    <t>L1829400</t>
  </si>
  <si>
    <t>L1830000</t>
  </si>
  <si>
    <t>Euphoria Cocaine Vodka</t>
  </si>
  <si>
    <t>L0924400</t>
  </si>
  <si>
    <t>L0181200</t>
  </si>
  <si>
    <t>L0095100</t>
  </si>
  <si>
    <t>L0095000</t>
  </si>
  <si>
    <t>L0094800</t>
  </si>
  <si>
    <t>Glen Scanlan Peated</t>
  </si>
  <si>
    <t>L2549100</t>
  </si>
  <si>
    <t>L0695300</t>
  </si>
  <si>
    <t>L0932400</t>
  </si>
  <si>
    <t>Gosling's Gold Seal Rum</t>
  </si>
  <si>
    <t>L0484900</t>
  </si>
  <si>
    <t>L0634300</t>
  </si>
  <si>
    <t>L2218200</t>
  </si>
  <si>
    <t>L2192700</t>
  </si>
  <si>
    <t>L0637000</t>
  </si>
  <si>
    <t>L0554200</t>
  </si>
  <si>
    <t>L0554500</t>
  </si>
  <si>
    <t>L0557000</t>
  </si>
  <si>
    <t>L0797900</t>
  </si>
  <si>
    <t>Highland Park 10 Years + GB</t>
  </si>
  <si>
    <t>L0071900</t>
  </si>
  <si>
    <t>L0072000</t>
  </si>
  <si>
    <t>L2067800</t>
  </si>
  <si>
    <t>L5000500</t>
  </si>
  <si>
    <t>L2630500</t>
  </si>
  <si>
    <t>L5428500</t>
  </si>
  <si>
    <t>L5158900</t>
  </si>
  <si>
    <t>L0668000</t>
  </si>
  <si>
    <t>L2085000</t>
  </si>
  <si>
    <t>L5949400</t>
  </si>
  <si>
    <t>L5022700</t>
  </si>
  <si>
    <t>Kiss Black Diamond Rum</t>
  </si>
  <si>
    <t>L0953600</t>
  </si>
  <si>
    <t>Krupnik Vodka</t>
  </si>
  <si>
    <t>L2093500</t>
  </si>
  <si>
    <t>L5111500</t>
  </si>
  <si>
    <t>Mermaid Salt Vodka Mini</t>
  </si>
  <si>
    <t>L5125200</t>
  </si>
  <si>
    <t>Meukow De Luxe + GB</t>
  </si>
  <si>
    <t>L5303300</t>
  </si>
  <si>
    <t>Meukow Icone + GB</t>
  </si>
  <si>
    <t>L5245300</t>
  </si>
  <si>
    <t>L1830400</t>
  </si>
  <si>
    <t>Mocambo Rum Anejo 10 Years Pistol + 2 Glasses</t>
  </si>
  <si>
    <t>L0129300</t>
  </si>
  <si>
    <t>Neft White Barrel</t>
  </si>
  <si>
    <t>L0114600</t>
  </si>
  <si>
    <t>L5885700</t>
  </si>
  <si>
    <t>L0579600</t>
  </si>
  <si>
    <t>L5433600</t>
  </si>
  <si>
    <t>L2121900</t>
  </si>
  <si>
    <t>Peaky Blinder Black Spiced Rum</t>
  </si>
  <si>
    <t>L5394200</t>
  </si>
  <si>
    <t>L5954700</t>
  </si>
  <si>
    <t>L0591200</t>
  </si>
  <si>
    <t>L6090300</t>
  </si>
  <si>
    <t>Remy Martin XO Limited Edition + GB</t>
  </si>
  <si>
    <t>L5737600</t>
  </si>
  <si>
    <t>San Pablo 15 years</t>
  </si>
  <si>
    <t>L5965500</t>
  </si>
  <si>
    <t>San Pablo Patria Gold</t>
  </si>
  <si>
    <t>L5965200</t>
  </si>
  <si>
    <t>San Pablo Patria White</t>
  </si>
  <si>
    <t>L5311000</t>
  </si>
  <si>
    <t>L1010700</t>
  </si>
  <si>
    <t>L5164400</t>
  </si>
  <si>
    <t>Sobieski Superior NRF</t>
  </si>
  <si>
    <t>L5408700</t>
  </si>
  <si>
    <t>St.Remy VSOP</t>
  </si>
  <si>
    <t>L2147900</t>
  </si>
  <si>
    <t>St.Remy XO + GB</t>
  </si>
  <si>
    <t>L0695000</t>
  </si>
  <si>
    <t>L5504600</t>
  </si>
  <si>
    <t>The Pogues Irish Whisky</t>
  </si>
  <si>
    <t>L5786300</t>
  </si>
  <si>
    <t>Tubi 60</t>
  </si>
  <si>
    <t>L2591500</t>
  </si>
  <si>
    <t>William Peel Blended Scotch Whisky</t>
  </si>
  <si>
    <t>L0704100</t>
  </si>
  <si>
    <t>L5723800</t>
  </si>
  <si>
    <t>Zacapa 23 Years Centenario</t>
  </si>
  <si>
    <t>L0139200</t>
  </si>
  <si>
    <t>L1891600</t>
  </si>
  <si>
    <t>Zubrowka Czarna ‘Black’</t>
  </si>
  <si>
    <t>L0140600</t>
  </si>
  <si>
    <t>L5301500</t>
  </si>
  <si>
    <t>L1165300</t>
  </si>
  <si>
    <t>L1158500</t>
  </si>
  <si>
    <t>L1158200</t>
  </si>
  <si>
    <t>L2661600</t>
  </si>
  <si>
    <t>Army Vodka + GB</t>
  </si>
  <si>
    <t>L2528200</t>
  </si>
  <si>
    <t>Bacardi Carta Blanca PET</t>
  </si>
  <si>
    <t>L5419300</t>
  </si>
  <si>
    <t>L5869900</t>
  </si>
  <si>
    <t>Ballantines Finest PET</t>
  </si>
  <si>
    <t>L2521200</t>
  </si>
  <si>
    <t>Beefeater</t>
  </si>
  <si>
    <t>L2520000</t>
  </si>
  <si>
    <t>L1115700</t>
  </si>
  <si>
    <t>L1009000</t>
  </si>
  <si>
    <t>L6042700</t>
  </si>
  <si>
    <t>L1009200</t>
  </si>
  <si>
    <t>L5334900</t>
  </si>
  <si>
    <t>Bombay Sapphire PET</t>
  </si>
  <si>
    <t>L2528300</t>
  </si>
  <si>
    <t>L5720300</t>
  </si>
  <si>
    <t>Chivas Regal 12 Years + GB + Craddle</t>
  </si>
  <si>
    <t>L5352300</t>
  </si>
  <si>
    <t>L0904100</t>
  </si>
  <si>
    <t>L2527600</t>
  </si>
  <si>
    <t>L0910000</t>
  </si>
  <si>
    <t>L0910200</t>
  </si>
  <si>
    <t>L1712400</t>
  </si>
  <si>
    <t>Deadhead Rum</t>
  </si>
  <si>
    <t>L0916400</t>
  </si>
  <si>
    <t>L2670100</t>
  </si>
  <si>
    <t>Debowa Oak Thermo</t>
  </si>
  <si>
    <t>L0860100</t>
  </si>
  <si>
    <t>L2520200</t>
  </si>
  <si>
    <t>L0095300</t>
  </si>
  <si>
    <t>L0094900</t>
  </si>
  <si>
    <t>L6072800</t>
  </si>
  <si>
    <t>L5568300</t>
  </si>
  <si>
    <t>Gold Dry Vodka + Light</t>
  </si>
  <si>
    <t>L2528900</t>
  </si>
  <si>
    <t>L5033500</t>
  </si>
  <si>
    <t>L2519800</t>
  </si>
  <si>
    <t>L0938300</t>
  </si>
  <si>
    <t>L2522400</t>
  </si>
  <si>
    <t>L0554100</t>
  </si>
  <si>
    <t>L5943900</t>
  </si>
  <si>
    <t>L5815300</t>
  </si>
  <si>
    <t>L2511700</t>
  </si>
  <si>
    <t>L5719000</t>
  </si>
  <si>
    <t>L2490400</t>
  </si>
  <si>
    <t>Jameson + GB</t>
  </si>
  <si>
    <t>L0660300</t>
  </si>
  <si>
    <t>L0660600</t>
  </si>
  <si>
    <t>L0662000</t>
  </si>
  <si>
    <t>L5705300</t>
  </si>
  <si>
    <t>Johnnie Walker Black Label PET</t>
  </si>
  <si>
    <t>L0667700</t>
  </si>
  <si>
    <t>L0669400</t>
  </si>
  <si>
    <t>L2523900</t>
  </si>
  <si>
    <t>Johnnie Walker Red Label PET</t>
  </si>
  <si>
    <t>L5485200</t>
  </si>
  <si>
    <t>L0656500</t>
  </si>
  <si>
    <t>L5241300</t>
  </si>
  <si>
    <t>Justerini &amp; Brooks PET</t>
  </si>
  <si>
    <t>L5949300</t>
  </si>
  <si>
    <t>L5211900</t>
  </si>
  <si>
    <t>Louers Vodka + Light + GB</t>
  </si>
  <si>
    <t>L5530100</t>
  </si>
  <si>
    <t>Louers Vodka + Wooden GB</t>
  </si>
  <si>
    <t>L5055000</t>
  </si>
  <si>
    <t>L5216100</t>
  </si>
  <si>
    <t>Old St. Andrews Admiral's Cask Rum - Mini Barrel</t>
  </si>
  <si>
    <t>L5216000</t>
  </si>
  <si>
    <t>Old St. Andrews Clubhouse Whisky - Mini Barrel</t>
  </si>
  <si>
    <t>L5430400</t>
  </si>
  <si>
    <t>Old St. Andrews Clubhouse Whisky Mini + GB</t>
  </si>
  <si>
    <t>L5465200</t>
  </si>
  <si>
    <t>L0864400</t>
  </si>
  <si>
    <t>Pepesza Vodka - Tommy Gun</t>
  </si>
  <si>
    <t>L1876900</t>
  </si>
  <si>
    <t>L1765100</t>
  </si>
  <si>
    <t>Precious Vodka Mini</t>
  </si>
  <si>
    <t>L5562200</t>
  </si>
  <si>
    <t>Remy Martin Louis XIII + GB</t>
  </si>
  <si>
    <t>L2529700</t>
  </si>
  <si>
    <t>Saper Vodka (3X20Cl Grenade Bottles)</t>
  </si>
  <si>
    <t>L1779600</t>
  </si>
  <si>
    <t>Smirnoff Red + Pump</t>
  </si>
  <si>
    <t>L5934500</t>
  </si>
  <si>
    <t>Smirnoff Red PET</t>
  </si>
  <si>
    <t>L5601000</t>
  </si>
  <si>
    <t>Soplica Szlachetna</t>
  </si>
  <si>
    <t>L0107800</t>
  </si>
  <si>
    <t>L5806300</t>
  </si>
  <si>
    <t>Tasting Box - Grappa</t>
  </si>
  <si>
    <t>L5806200</t>
  </si>
  <si>
    <t>Tasting Box - Whisky Starters</t>
  </si>
  <si>
    <t>L5967500</t>
  </si>
  <si>
    <t>L2523200</t>
  </si>
  <si>
    <t>The Glenlivet Founder's Reserve</t>
  </si>
  <si>
    <t>L6068500</t>
  </si>
  <si>
    <t>L5996400</t>
  </si>
  <si>
    <t>L1890600</t>
  </si>
  <si>
    <t>L5562700</t>
  </si>
  <si>
    <t>L0140400</t>
  </si>
  <si>
    <t>L0711700</t>
  </si>
  <si>
    <t>Aberfeldy 21 Years + GB</t>
  </si>
  <si>
    <t>L2408400</t>
  </si>
  <si>
    <t>Aberlour 12 Years Double Cask + GB</t>
  </si>
  <si>
    <t>L5942000</t>
  </si>
  <si>
    <t>Aberlour 14 Years Double Cask Matured</t>
  </si>
  <si>
    <t>L2544000</t>
  </si>
  <si>
    <t>Aberlour 16 Years Double Cask + GB</t>
  </si>
  <si>
    <t>L5960500</t>
  </si>
  <si>
    <t>Aberlour Triple Cask</t>
  </si>
  <si>
    <t>L5780100</t>
  </si>
  <si>
    <t>L5780200</t>
  </si>
  <si>
    <t>Aman Tequila Anejo El Profesor + GB</t>
  </si>
  <si>
    <t>L0517300</t>
  </si>
  <si>
    <t>Asbach 15 Years + GB</t>
  </si>
  <si>
    <t>L0517800</t>
  </si>
  <si>
    <t>Asbach 8 Years Privatbrand + GB</t>
  </si>
  <si>
    <t>L0885900</t>
  </si>
  <si>
    <t>Bacardi Facundo Paraiso + GB</t>
  </si>
  <si>
    <t>L5801100</t>
  </si>
  <si>
    <t>Cannabis Sativa Gin + Stirrer + Ice Cube Mould + GB</t>
  </si>
  <si>
    <t>L5329800</t>
  </si>
  <si>
    <t>Caracas Club 8 Years Ron Anejo</t>
  </si>
  <si>
    <t>L5329700</t>
  </si>
  <si>
    <t>Caracas Club Nectar</t>
  </si>
  <si>
    <t>L1361000</t>
  </si>
  <si>
    <t>Carlos I Imperial XO + GB</t>
  </si>
  <si>
    <t>L5983400</t>
  </si>
  <si>
    <t>Casa Dragones Anejo + GB</t>
  </si>
  <si>
    <t>L5983300</t>
  </si>
  <si>
    <t>Casa Dragones Blanco + GB</t>
  </si>
  <si>
    <t>L5983200</t>
  </si>
  <si>
    <t>Casa Dragones Joven + GB</t>
  </si>
  <si>
    <t>L0619900</t>
  </si>
  <si>
    <t>Chivas Regal 25 Years + GB</t>
  </si>
  <si>
    <t>L5095900</t>
  </si>
  <si>
    <t>Clase Azul Anejo + GB</t>
  </si>
  <si>
    <t>L5744500</t>
  </si>
  <si>
    <t>Clase Azul Gold + GB</t>
  </si>
  <si>
    <t>L1431900</t>
  </si>
  <si>
    <t>Cosa Nostra Tommy Gun + GB</t>
  </si>
  <si>
    <t>L6039300</t>
  </si>
  <si>
    <t>Crystal Head + 2 Glasses</t>
  </si>
  <si>
    <t>L6069600</t>
  </si>
  <si>
    <t>Debowa Excellent Grenade + GB</t>
  </si>
  <si>
    <t>L5153400</t>
  </si>
  <si>
    <t>Glenfiddich 18 Years Small Batch + GB</t>
  </si>
  <si>
    <t>L1541300</t>
  </si>
  <si>
    <t>Glenfiddich 21 Years Reserva Rum Cask Finish + GB</t>
  </si>
  <si>
    <t>L1541800</t>
  </si>
  <si>
    <t>Glenfiddich 23 Years Grand Cru + GB</t>
  </si>
  <si>
    <t>L0546900</t>
  </si>
  <si>
    <t>L2217700</t>
  </si>
  <si>
    <t>Gran Duque D'Alba XO + GB</t>
  </si>
  <si>
    <t>L5824700</t>
  </si>
  <si>
    <t>Grand Marnier Revelation Grande Cuvee + GB</t>
  </si>
  <si>
    <t>L5866300</t>
  </si>
  <si>
    <t>Johnnie Walker Blue Lab. Chin. Nw. Yr. Yr. Of The Rabbit +GB</t>
  </si>
  <si>
    <t>L5772300</t>
  </si>
  <si>
    <t>Johnnie Walker Blue Label City Of The Future Berlin + GB</t>
  </si>
  <si>
    <t>L5772400</t>
  </si>
  <si>
    <t>Johnnie Walker Blue Label City Of The Future London + GB</t>
  </si>
  <si>
    <t>L5772500</t>
  </si>
  <si>
    <t>Johnnie Walker Blue Label City Of The Future Mars + GB</t>
  </si>
  <si>
    <t>L2435400</t>
  </si>
  <si>
    <t>Marama Origins + GB</t>
  </si>
  <si>
    <t>L0570600</t>
  </si>
  <si>
    <t>Martell Cordon Bleu + GB</t>
  </si>
  <si>
    <t>L0574000</t>
  </si>
  <si>
    <t>Martell XO + GB</t>
  </si>
  <si>
    <t>L0962700</t>
  </si>
  <si>
    <t>Matusalem 23 Years Gran Reserva + GB</t>
  </si>
  <si>
    <t>L6017200</t>
  </si>
  <si>
    <t>Midleton Very Rare 2023 + GB</t>
  </si>
  <si>
    <t>L6099500</t>
  </si>
  <si>
    <t>Panda Gin Black Box + 2 Glasses</t>
  </si>
  <si>
    <t>L5740700</t>
  </si>
  <si>
    <t>Plantation XO 20Th Anniversary + 2 Glasses</t>
  </si>
  <si>
    <t>L0685700</t>
  </si>
  <si>
    <t>Redbreast 12 Years + GB</t>
  </si>
  <si>
    <t>L1124700</t>
  </si>
  <si>
    <t>Relicario Peated Finish + GB</t>
  </si>
  <si>
    <t>L0985200</t>
  </si>
  <si>
    <t>Relicario Superior + GB</t>
  </si>
  <si>
    <t>L2131400</t>
  </si>
  <si>
    <t>Relicario Supremo + GB</t>
  </si>
  <si>
    <t>L5389100</t>
  </si>
  <si>
    <t>Sir Edmond Bourbon Vanilla Infused Gin + 2 Copa Glasses</t>
  </si>
  <si>
    <t>L6106800</t>
  </si>
  <si>
    <t>Sir Edmond Gin &amp; Fever-Tree Indian Tonic + 2 Glasses</t>
  </si>
  <si>
    <t>L0793200</t>
  </si>
  <si>
    <t>L6043400</t>
  </si>
  <si>
    <t>Tomintoul 21 Years + GB</t>
  </si>
  <si>
    <t>L5927100</t>
  </si>
  <si>
    <t>Unicum Zwack Riserva + GB</t>
  </si>
  <si>
    <t>L5363700</t>
  </si>
  <si>
    <t>L5212200</t>
  </si>
  <si>
    <t>Zlatogor Vodka AK 47 Black + GB</t>
  </si>
  <si>
    <t>L0408700</t>
  </si>
  <si>
    <t>1724 Tonic</t>
  </si>
  <si>
    <t>L2524600</t>
  </si>
  <si>
    <t>5 O'Clock Peanut Butter Whiskey Liqueur</t>
  </si>
  <si>
    <t>L0706400</t>
  </si>
  <si>
    <t>L2465600</t>
  </si>
  <si>
    <t>Absinthe lepeltje</t>
  </si>
  <si>
    <t>L2528000</t>
  </si>
  <si>
    <t>Acqua Panna</t>
  </si>
  <si>
    <t>L2526800</t>
  </si>
  <si>
    <t>L0514600</t>
  </si>
  <si>
    <t>L5975000</t>
  </si>
  <si>
    <t>Aperol Spritz</t>
  </si>
  <si>
    <t>L5764700</t>
  </si>
  <si>
    <t>Ardbeg 25 Years 2022 Edition + GB</t>
  </si>
  <si>
    <t>L2489300</t>
  </si>
  <si>
    <t>Astoria Lounge Spumante Jereboame</t>
  </si>
  <si>
    <t>L6071100</t>
  </si>
  <si>
    <t>L0883700</t>
  </si>
  <si>
    <t>L1903600</t>
  </si>
  <si>
    <t>L2527900</t>
  </si>
  <si>
    <t>Baileys Irish Cream PET</t>
  </si>
  <si>
    <t>L5854900</t>
  </si>
  <si>
    <t>Barcelo Imperial Premium Blend 40th Anniversary + GB</t>
  </si>
  <si>
    <t>L5315300</t>
  </si>
  <si>
    <t>Benriach 30 Years The Thirty + GB</t>
  </si>
  <si>
    <t>L0401800</t>
  </si>
  <si>
    <t>Birra Moretti</t>
  </si>
  <si>
    <t>L6094700</t>
  </si>
  <si>
    <t>Birra Moretti La Rossa</t>
  </si>
  <si>
    <t>L0402200</t>
  </si>
  <si>
    <t>L2527100</t>
  </si>
  <si>
    <t>L5802400</t>
  </si>
  <si>
    <t>Bollinger Special Cuvee DF-Label + GB</t>
  </si>
  <si>
    <t>L2417300</t>
  </si>
  <si>
    <t>L2529600</t>
  </si>
  <si>
    <t>L1136000</t>
  </si>
  <si>
    <t>Bottega Prosecco Gold</t>
  </si>
  <si>
    <t>L5420800</t>
  </si>
  <si>
    <t>L2509500</t>
  </si>
  <si>
    <t>Budweiser</t>
  </si>
  <si>
    <t>L2529200</t>
  </si>
  <si>
    <t>L5265600</t>
  </si>
  <si>
    <t>Captain Morgan Spiced Gold</t>
  </si>
  <si>
    <t>L0907300</t>
  </si>
  <si>
    <t>L2419300</t>
  </si>
  <si>
    <t>Carlos I 1520 + GB</t>
  </si>
  <si>
    <t>L5851400</t>
  </si>
  <si>
    <t>Codigo 1530 Barrel Strength Anejo</t>
  </si>
  <si>
    <t>L5899900</t>
  </si>
  <si>
    <t>Colinas do Douro Extrema Edicao II branco 2016</t>
  </si>
  <si>
    <t>L5900100</t>
  </si>
  <si>
    <t>Colinas do Douro Extrema Edicao II tinto</t>
  </si>
  <si>
    <t>L1019300</t>
  </si>
  <si>
    <t>Corona Extra</t>
  </si>
  <si>
    <t>L1019700</t>
  </si>
  <si>
    <t>L6114900</t>
  </si>
  <si>
    <t>L5198000</t>
  </si>
  <si>
    <t>L5127500</t>
  </si>
  <si>
    <t>L5606800</t>
  </si>
  <si>
    <t>Crystal Head Shotglas Normal 0.25ml</t>
  </si>
  <si>
    <t>L5817500</t>
  </si>
  <si>
    <t>Deer Jimmy's DIY Barrel Chips American Bourbon Blend</t>
  </si>
  <si>
    <t>L5817200</t>
  </si>
  <si>
    <t>Deer Jimmy's DIY Barrel Chips France Calvados Blend</t>
  </si>
  <si>
    <t>L5817300</t>
  </si>
  <si>
    <t>Deer Jimmy's DIY Barrel Chips France Cognac Blend</t>
  </si>
  <si>
    <t>L5817600</t>
  </si>
  <si>
    <t>Deer Jimmy's DIY Barrel Chips Scotish Whiskey Blend</t>
  </si>
  <si>
    <t>L5817400</t>
  </si>
  <si>
    <t>Deer Jimmy's DIY Barrel Chips South American Rum Blend</t>
  </si>
  <si>
    <t>L6017100</t>
  </si>
  <si>
    <t>Desperados</t>
  </si>
  <si>
    <t>L0916800</t>
  </si>
  <si>
    <t>Diplomatico Ambassador + GB</t>
  </si>
  <si>
    <t>L2521800</t>
  </si>
  <si>
    <t>L5935700</t>
  </si>
  <si>
    <t>Dom Perignon Luminous Blanc Brut Vintage 2013</t>
  </si>
  <si>
    <t>L5602500</t>
  </si>
  <si>
    <t>Dutch Gin Box</t>
  </si>
  <si>
    <t>L5686900</t>
  </si>
  <si>
    <t>Efes Pilsener</t>
  </si>
  <si>
    <t>L6042800</t>
  </si>
  <si>
    <t>L0920000</t>
  </si>
  <si>
    <t>Euphoria 80 Absinth</t>
  </si>
  <si>
    <t>L2521600</t>
  </si>
  <si>
    <t>Euphoria Absinth Miniset (4X5Cl Bottles)</t>
  </si>
  <si>
    <t>L5814300</t>
  </si>
  <si>
    <t>Euphoria Cannabis Absinth</t>
  </si>
  <si>
    <t>L5814500</t>
  </si>
  <si>
    <t>Euphoria Cannabis Vodka</t>
  </si>
  <si>
    <t>L5104400</t>
  </si>
  <si>
    <t>Fallen Angel Blood Orange Gin - Ceramic Bottle</t>
  </si>
  <si>
    <t>L5104500</t>
  </si>
  <si>
    <t>Fallen Angel Spiced Rum - Ceramic Bottle</t>
  </si>
  <si>
    <t>L1222100</t>
  </si>
  <si>
    <t>Fentimans Tonic Water</t>
  </si>
  <si>
    <t>L5262000</t>
  </si>
  <si>
    <t>Fever-Tree Clementine &amp; Cinnamon</t>
  </si>
  <si>
    <t>L1243000</t>
  </si>
  <si>
    <t>Fever-Tree Elderflower</t>
  </si>
  <si>
    <t>L0411800</t>
  </si>
  <si>
    <t>L5418000</t>
  </si>
  <si>
    <t>Fever-Tree Ginger Ale</t>
  </si>
  <si>
    <t>L0411900</t>
  </si>
  <si>
    <t>L0412000</t>
  </si>
  <si>
    <t>Fever-Tree Ginger Beer</t>
  </si>
  <si>
    <t>L5514600</t>
  </si>
  <si>
    <t>L0412100</t>
  </si>
  <si>
    <t>Fever-Tree Indian Tonic</t>
  </si>
  <si>
    <t>L0412300</t>
  </si>
  <si>
    <t>L5514400</t>
  </si>
  <si>
    <t>Fever-Tree Indian Tonic Light</t>
  </si>
  <si>
    <t>L1789200</t>
  </si>
  <si>
    <t>L5390300</t>
  </si>
  <si>
    <t>Fever-Tree Indian Tonic Water</t>
  </si>
  <si>
    <t>L5390900</t>
  </si>
  <si>
    <t>Fever-Tree Mediterranean</t>
  </si>
  <si>
    <t>L1243900</t>
  </si>
  <si>
    <t>Fever-Tree Mediterranean Tonic</t>
  </si>
  <si>
    <t>L2510800</t>
  </si>
  <si>
    <t>Fever-Tree Mediterranean Tonic Water</t>
  </si>
  <si>
    <t>L5262500</t>
  </si>
  <si>
    <t>Fever-Tree Raspberry &amp; Rhubarb</t>
  </si>
  <si>
    <t>L5262600</t>
  </si>
  <si>
    <t>L5514500</t>
  </si>
  <si>
    <t>Fever-Tree Sicilian Bitter Lemon</t>
  </si>
  <si>
    <t>L2530000</t>
  </si>
  <si>
    <t>Fever-Tree Sicilian Lemonade</t>
  </si>
  <si>
    <t>L5551400</t>
  </si>
  <si>
    <t>Fever-Tree Soda Water</t>
  </si>
  <si>
    <t>L2519100</t>
  </si>
  <si>
    <t>Flacon De Cuisine Marasquin</t>
  </si>
  <si>
    <t>L5333300</t>
  </si>
  <si>
    <t>Flacon De Cuisine Marsala Dry</t>
  </si>
  <si>
    <t>L2519200</t>
  </si>
  <si>
    <t>Flacon De Cuisine Marsala Sweet</t>
  </si>
  <si>
    <t>L2519300</t>
  </si>
  <si>
    <t>Flacon De Cuisine Pastis</t>
  </si>
  <si>
    <t>L2521100</t>
  </si>
  <si>
    <t>Flacon de Cuisine Sherry Medium Dry</t>
  </si>
  <si>
    <t>L2507500</t>
  </si>
  <si>
    <t>Flugel</t>
  </si>
  <si>
    <t>L2387000</t>
  </si>
  <si>
    <t>L5750900</t>
  </si>
  <si>
    <t>Flugel PET</t>
  </si>
  <si>
    <t>L5723600</t>
  </si>
  <si>
    <t>Freixenet Bubbelstopper Goud</t>
  </si>
  <si>
    <t>L1265800</t>
  </si>
  <si>
    <t>Freixenet Carta Nevada semi seco Piccolo</t>
  </si>
  <si>
    <t>L5222600</t>
  </si>
  <si>
    <t>L1176900</t>
  </si>
  <si>
    <t>L2031200</t>
  </si>
  <si>
    <t>Gin Mare + GB</t>
  </si>
  <si>
    <t>L5298600</t>
  </si>
  <si>
    <t>L5298700</t>
  </si>
  <si>
    <t>Ginato Melograno Pomegranate</t>
  </si>
  <si>
    <t>L5298800</t>
  </si>
  <si>
    <t>Ginato Pinot Grigio &amp; Sicilian Lemon</t>
  </si>
  <si>
    <t>L5299000</t>
  </si>
  <si>
    <t>L6001600</t>
  </si>
  <si>
    <t>Glen Deveron 40 Years + Wooden GB</t>
  </si>
  <si>
    <t>L5725500</t>
  </si>
  <si>
    <t>Glenfarclas 40 Year Old Miniature + GB</t>
  </si>
  <si>
    <t>L5834000</t>
  </si>
  <si>
    <t>Glenfiddich 30 Years Old Suspended Time + Metal GB</t>
  </si>
  <si>
    <t>L5062800</t>
  </si>
  <si>
    <t>Glengoyne 30 Years + GB</t>
  </si>
  <si>
    <t>L5629700</t>
  </si>
  <si>
    <t>Glengoyne 30 Years Limited Release 2021 + Wooden GB</t>
  </si>
  <si>
    <t>L0762100</t>
  </si>
  <si>
    <t>Glenmorangie Signet + GB</t>
  </si>
  <si>
    <t>L5260200</t>
  </si>
  <si>
    <t>L5217500</t>
  </si>
  <si>
    <t>L2529400</t>
  </si>
  <si>
    <t>Gordon's PET</t>
  </si>
  <si>
    <t>L0635900</t>
  </si>
  <si>
    <t>Green Spot Leoville Barton + GB</t>
  </si>
  <si>
    <t>L1441900</t>
  </si>
  <si>
    <t>Green Spot Montelena Finish + GB</t>
  </si>
  <si>
    <t>L1156000</t>
  </si>
  <si>
    <t>L6075100</t>
  </si>
  <si>
    <t>Heaven Hill Miniature Bourbon Whiskey Collection Set</t>
  </si>
  <si>
    <t>L1861700</t>
  </si>
  <si>
    <t>L5135200</t>
  </si>
  <si>
    <t>Hierbas Mari Mayans Ibicencas Rama</t>
  </si>
  <si>
    <t>L2218400</t>
  </si>
  <si>
    <t>Highland Park 21 Years + GB</t>
  </si>
  <si>
    <t>L5843900</t>
  </si>
  <si>
    <t>Jack Daniel's Honey PET</t>
  </si>
  <si>
    <t>L2522600</t>
  </si>
  <si>
    <t>L6100600</t>
  </si>
  <si>
    <t>L2528600</t>
  </si>
  <si>
    <t>L5326600</t>
  </si>
  <si>
    <t>L5327800</t>
  </si>
  <si>
    <t>L5461400</t>
  </si>
  <si>
    <t>L5559300</t>
  </si>
  <si>
    <t>L5797000</t>
  </si>
  <si>
    <t>Jameson 18 Years + GB</t>
  </si>
  <si>
    <t>L5991800</t>
  </si>
  <si>
    <t>Jinro Soju Chamisul Fresh</t>
  </si>
  <si>
    <t>L5667200</t>
  </si>
  <si>
    <t>Jinro Soju Green Grape</t>
  </si>
  <si>
    <t>L6037000</t>
  </si>
  <si>
    <t>Jinro Soju Plum</t>
  </si>
  <si>
    <t>Jinro Soju Strawberry</t>
  </si>
  <si>
    <t>L5844500</t>
  </si>
  <si>
    <t>L5779800</t>
  </si>
  <si>
    <t>Jodhpur Dry Gin</t>
  </si>
  <si>
    <t>Jodhpur Mandore</t>
  </si>
  <si>
    <t>L0949900</t>
  </si>
  <si>
    <t>Jodhpur Premium</t>
  </si>
  <si>
    <t>L0950100</t>
  </si>
  <si>
    <t>Jodhpur Reserve</t>
  </si>
  <si>
    <t>L1864900</t>
  </si>
  <si>
    <t>Jodhpur Spicy</t>
  </si>
  <si>
    <t>L0684500</t>
  </si>
  <si>
    <t>John Powers 12 Years Irish John's Lane + GB</t>
  </si>
  <si>
    <t>L5782300</t>
  </si>
  <si>
    <t>Johnnie Walker Blue Label Ghost &amp; Rare Port Dundas + GB</t>
  </si>
  <si>
    <t>L0662900</t>
  </si>
  <si>
    <t>Johnnie Walker Blue Label 'King George V' + GB</t>
  </si>
  <si>
    <t>L0537000</t>
  </si>
  <si>
    <t>Jose Cuervo Reserva De La Familia + Wooden GB</t>
  </si>
  <si>
    <t>L0565900</t>
  </si>
  <si>
    <t>L2522800</t>
  </si>
  <si>
    <t>L5938500</t>
  </si>
  <si>
    <t>L2529100</t>
  </si>
  <si>
    <t>Kleiner Feigling</t>
  </si>
  <si>
    <t>L1345100</t>
  </si>
  <si>
    <t>L0045800</t>
  </si>
  <si>
    <t>L5992800</t>
  </si>
  <si>
    <t>Kraken Black Spiced Rum Mini</t>
  </si>
  <si>
    <t>L5948000</t>
  </si>
  <si>
    <t>La Maison du Rhum Guatemala Botran Batch 5 + GB</t>
  </si>
  <si>
    <t>L5849500</t>
  </si>
  <si>
    <t>La Maison du Rhum Ile Maurice Chamarel 2014 Batch 5 + GB</t>
  </si>
  <si>
    <t>L5849600</t>
  </si>
  <si>
    <t>La Maison du Rhum Panama 2007 Batch 5 + GB</t>
  </si>
  <si>
    <t>L5849400</t>
  </si>
  <si>
    <t>La Maison du Rhum St. Lucia 2013 Batch 5 + GB</t>
  </si>
  <si>
    <t>L5870400</t>
  </si>
  <si>
    <t>Lamborghini Brut Spumante Gold + 2 Glasses</t>
  </si>
  <si>
    <t>L0861100</t>
  </si>
  <si>
    <t>Le Tribute Gin</t>
  </si>
  <si>
    <t>L1178500</t>
  </si>
  <si>
    <t>Lepanto O.V. Brandy + GB</t>
  </si>
  <si>
    <t>L1178600</t>
  </si>
  <si>
    <t>Lepanto P.X. Brandy + GB</t>
  </si>
  <si>
    <t>L2521900</t>
  </si>
  <si>
    <t>L5756500</t>
  </si>
  <si>
    <t>London Essence Ginger Ale</t>
  </si>
  <si>
    <t>L5755900</t>
  </si>
  <si>
    <t>London Essence Indian Tonic</t>
  </si>
  <si>
    <t>L6077200</t>
  </si>
  <si>
    <t>London Essence Pink Grapefruit</t>
  </si>
  <si>
    <t>L5756300</t>
  </si>
  <si>
    <t>London Essence Soda Water</t>
  </si>
  <si>
    <t>L1132800</t>
  </si>
  <si>
    <t>Loopuyt Gingerbeer</t>
  </si>
  <si>
    <t>L2531200</t>
  </si>
  <si>
    <t>Loopuyt Tonic Water 4-Pack</t>
  </si>
  <si>
    <t>L5822700</t>
  </si>
  <si>
    <t>Louis Roederer Cristal Rose 2013</t>
  </si>
  <si>
    <t>L5474400</t>
  </si>
  <si>
    <t>L1808600</t>
  </si>
  <si>
    <t>Luc Belaire Fantome Rose</t>
  </si>
  <si>
    <t>L1273400</t>
  </si>
  <si>
    <t>Luc Belaire Rose</t>
  </si>
  <si>
    <t>Mackmyra Svensk Rök + GB</t>
  </si>
  <si>
    <t>L1283300</t>
  </si>
  <si>
    <t>Magners Cider</t>
  </si>
  <si>
    <t>L0494700</t>
  </si>
  <si>
    <t>Malibu PET</t>
  </si>
  <si>
    <t>L1869400</t>
  </si>
  <si>
    <t>L1387900</t>
  </si>
  <si>
    <t>Martell Cohiba + Coffret</t>
  </si>
  <si>
    <t>L0438100</t>
  </si>
  <si>
    <t>L0441300</t>
  </si>
  <si>
    <t>L2527500</t>
  </si>
  <si>
    <t>Moet &amp; Chandon Brut Piccolo</t>
  </si>
  <si>
    <t>L0443400</t>
  </si>
  <si>
    <t>L1816700</t>
  </si>
  <si>
    <t>L2467500</t>
  </si>
  <si>
    <t>Moet Ice Imperial Ice Bucket</t>
  </si>
  <si>
    <t>L5607500</t>
  </si>
  <si>
    <t>L2435500</t>
  </si>
  <si>
    <t>Monkey 47 Kiosk (3x5CL) + GB</t>
  </si>
  <si>
    <t>L2522000</t>
  </si>
  <si>
    <t>Mozart Trio Set (3X5CL Bottles)</t>
  </si>
  <si>
    <t>L5988000</t>
  </si>
  <si>
    <t>Nikka Coffey Series Range Box Gift Set</t>
  </si>
  <si>
    <t>L5999800</t>
  </si>
  <si>
    <t>Nikka Tailored + 2 Glasses</t>
  </si>
  <si>
    <t>L0965900</t>
  </si>
  <si>
    <t>Nolet's Silver Dry Gin</t>
  </si>
  <si>
    <t>L5978300</t>
  </si>
  <si>
    <t>Nomad 10 Years Outland Triple Cask + GB</t>
  </si>
  <si>
    <t>L2522900</t>
  </si>
  <si>
    <t>Nomad Outland</t>
  </si>
  <si>
    <t>L5043100</t>
  </si>
  <si>
    <t>Old Monk The Legend Rum + GB</t>
  </si>
  <si>
    <t>L1753800</t>
  </si>
  <si>
    <t>Opihr Giftset + Highball Glas</t>
  </si>
  <si>
    <t>L5888700</t>
  </si>
  <si>
    <t>Opkickertje PET</t>
  </si>
  <si>
    <t>L5853700</t>
  </si>
  <si>
    <t>Oranje knaller PET</t>
  </si>
  <si>
    <t>L5854300</t>
  </si>
  <si>
    <t>Peroni Nastro Azurro</t>
  </si>
  <si>
    <t>L1101900</t>
  </si>
  <si>
    <t>Peroni Red</t>
  </si>
  <si>
    <t>L5622200</t>
  </si>
  <si>
    <t>Petrus Boonekamp Bitter Miniature</t>
  </si>
  <si>
    <t>L2517800</t>
  </si>
  <si>
    <t>Pimento Spicy Ginger Beer</t>
  </si>
  <si>
    <t>L5879700</t>
  </si>
  <si>
    <t>L5138300</t>
  </si>
  <si>
    <t>L5138400</t>
  </si>
  <si>
    <t>L5139800</t>
  </si>
  <si>
    <t>L5945300</t>
  </si>
  <si>
    <t>L2129100</t>
  </si>
  <si>
    <t>L1254200</t>
  </si>
  <si>
    <t>Red Bull Bottle</t>
  </si>
  <si>
    <t>L0687100</t>
  </si>
  <si>
    <t>Redbreast 15 Years + GB</t>
  </si>
  <si>
    <t>L0687300</t>
  </si>
  <si>
    <t>Redbreast 21 Years + GB</t>
  </si>
  <si>
    <t>L2512200</t>
  </si>
  <si>
    <t>Redbreast Lustau Edition + GB</t>
  </si>
  <si>
    <t>Ron Miel Tobacco</t>
  </si>
  <si>
    <t>L5934900</t>
  </si>
  <si>
    <t>L2529800</t>
  </si>
  <si>
    <t>Salitos Tequila Flavoured</t>
  </si>
  <si>
    <t>L5891600</t>
  </si>
  <si>
    <t>L5891700</t>
  </si>
  <si>
    <t>L5956800</t>
  </si>
  <si>
    <t>San Felice Chianti Clas. Riser. 'Il Grigio' Magnum + GB 2020</t>
  </si>
  <si>
    <t>L1020800</t>
  </si>
  <si>
    <t>San Miguel Pilsener</t>
  </si>
  <si>
    <t>L2530300</t>
  </si>
  <si>
    <t>San Pellegrino Aqua Minerale</t>
  </si>
  <si>
    <t>L5624900</t>
  </si>
  <si>
    <t>San Pellegrino Naturali Aranciata</t>
  </si>
  <si>
    <t>L5625000</t>
  </si>
  <si>
    <t>San Pellegrino Naturali Aranciata Rossa</t>
  </si>
  <si>
    <t>L5624700</t>
  </si>
  <si>
    <t>San Pellegrino Naturali Ginger Beer</t>
  </si>
  <si>
    <t>L5624800</t>
  </si>
  <si>
    <t>San Pellegrino Naturali Limonata</t>
  </si>
  <si>
    <t>L5740000</t>
  </si>
  <si>
    <t>San Pellegrino Tonica Citrus</t>
  </si>
  <si>
    <t>L2530800</t>
  </si>
  <si>
    <t>San Pellegrino Tonica Di Rovere Oak</t>
  </si>
  <si>
    <t>L5180500</t>
  </si>
  <si>
    <t>L1294000</t>
  </si>
  <si>
    <t>Scavi &amp; Ray Prosecco Picollo</t>
  </si>
  <si>
    <t>L5220100</t>
  </si>
  <si>
    <t>L5225100</t>
  </si>
  <si>
    <t>L5210900</t>
  </si>
  <si>
    <t>L5228900</t>
  </si>
  <si>
    <t>L2527800</t>
  </si>
  <si>
    <t>L5943800</t>
  </si>
  <si>
    <t>L5829600</t>
  </si>
  <si>
    <t>L5363200</t>
  </si>
  <si>
    <t>Sol Mexican Beer</t>
  </si>
  <si>
    <t>L2418200</t>
  </si>
  <si>
    <t>Sonnema Berenburg Bag In Box</t>
  </si>
  <si>
    <t>L2478600</t>
  </si>
  <si>
    <t>Soplica Cherry in Chocolate</t>
  </si>
  <si>
    <t>L5141400</t>
  </si>
  <si>
    <t>Soplica Cytryna Malina 'Citroen-Framboos'</t>
  </si>
  <si>
    <t>L5144700</t>
  </si>
  <si>
    <t>Soplica Cytryna Mieta 'Citroen-Mint'</t>
  </si>
  <si>
    <t>L5600600</t>
  </si>
  <si>
    <t>Soplica Cytryna Miodu ‘Citroen-Honing’</t>
  </si>
  <si>
    <t>L2541400</t>
  </si>
  <si>
    <t>L5144800</t>
  </si>
  <si>
    <t>Soplica Cytryna Pigwa ‘Citroen-Kweepeer’</t>
  </si>
  <si>
    <t>L2478800</t>
  </si>
  <si>
    <t>Soplica Hazelnut in Chocola</t>
  </si>
  <si>
    <t>L5533400</t>
  </si>
  <si>
    <t>Soplica Kawowa 'Coffee'</t>
  </si>
  <si>
    <t>L6019900</t>
  </si>
  <si>
    <t>Soplica Lemon &amp; Orange</t>
  </si>
  <si>
    <t>L5600100</t>
  </si>
  <si>
    <t>Soplica Malinowa 'Framboos'</t>
  </si>
  <si>
    <t>L5145000</t>
  </si>
  <si>
    <t>L6019800</t>
  </si>
  <si>
    <t>Soplica Mango &amp; Passionfruit</t>
  </si>
  <si>
    <t>L5600500</t>
  </si>
  <si>
    <t>Soplica Mirabelkowa 'Mirabel'</t>
  </si>
  <si>
    <t>L5141700</t>
  </si>
  <si>
    <t>L5141800</t>
  </si>
  <si>
    <t>Soplica Orzech Laskowy ‘Hazelnoot’</t>
  </si>
  <si>
    <t>L5600400</t>
  </si>
  <si>
    <t>Soplica Orzech Laskowy 'Hazelnoot'</t>
  </si>
  <si>
    <t>L5600900</t>
  </si>
  <si>
    <t>Soplica Pigwowa  'Kweepeer'</t>
  </si>
  <si>
    <t>L2550400</t>
  </si>
  <si>
    <t>Soplica Pigwowa ‘Kweepeer’</t>
  </si>
  <si>
    <t>L5600300</t>
  </si>
  <si>
    <t>Soplica Sliwkowa ‘Pruim’</t>
  </si>
  <si>
    <t>L5145200</t>
  </si>
  <si>
    <t>L5600200</t>
  </si>
  <si>
    <t>Soplica Truskawkowa 'Aardbei'</t>
  </si>
  <si>
    <t>L5141900</t>
  </si>
  <si>
    <t>L6019700</t>
  </si>
  <si>
    <t>Soplica Watermelon &amp; Mint</t>
  </si>
  <si>
    <t>L5595500</t>
  </si>
  <si>
    <t>Soplica Wisniowa 'Cherry'</t>
  </si>
  <si>
    <t>L2541500</t>
  </si>
  <si>
    <t>Soplica Wisniowa 'Kersen'</t>
  </si>
  <si>
    <t>L5888800</t>
  </si>
  <si>
    <t>Speckie PET</t>
  </si>
  <si>
    <t>L5847400</t>
  </si>
  <si>
    <t>Spirited Union Queen Pineapple + Glass</t>
  </si>
  <si>
    <t>L1332200</t>
  </si>
  <si>
    <t>L1298400</t>
  </si>
  <si>
    <t>Taittinger Brut Magnum</t>
  </si>
  <si>
    <t>Tanqueray Gin PET</t>
  </si>
  <si>
    <t>L2524500</t>
  </si>
  <si>
    <t>L5806400</t>
  </si>
  <si>
    <t>Tasting Box - Gin Specials</t>
  </si>
  <si>
    <t>L0753200</t>
  </si>
  <si>
    <t>The Dalmore 21 Years + GB</t>
  </si>
  <si>
    <t>L1601400</t>
  </si>
  <si>
    <t>The Dalmore 25 Years + GB</t>
  </si>
  <si>
    <t>L5782000</t>
  </si>
  <si>
    <t>The Dalmore 30 Years 2022 Edition + GB</t>
  </si>
  <si>
    <t>L2490800</t>
  </si>
  <si>
    <t>L1867300</t>
  </si>
  <si>
    <t>The London No.1 Gin Sherry Cask</t>
  </si>
  <si>
    <t>L6102400</t>
  </si>
  <si>
    <t>The Macallan 25 Years Sherry Oak 2023 Release + Wooden GB</t>
  </si>
  <si>
    <t>L6062700</t>
  </si>
  <si>
    <t>The Macallan 30 Years Double Cask Annual release 2023 + GB</t>
  </si>
  <si>
    <t>L6063100</t>
  </si>
  <si>
    <t>The Macallan M black Annual release 2023 + GB</t>
  </si>
  <si>
    <t>L6017500</t>
  </si>
  <si>
    <t>The Macallan Rare Cask 2023  + GB</t>
  </si>
  <si>
    <t>L5637600</t>
  </si>
  <si>
    <t>The Singleton Of Dufftown 21 Years + GB</t>
  </si>
  <si>
    <t>L0418100</t>
  </si>
  <si>
    <t>Thomas Henry Tonic</t>
  </si>
  <si>
    <t>L5237300</t>
  </si>
  <si>
    <t>Tomintoul 25 Years + GB</t>
  </si>
  <si>
    <t>L0597100</t>
  </si>
  <si>
    <t>Torres 30 Years + GB</t>
  </si>
  <si>
    <t>L2489200</t>
  </si>
  <si>
    <t>L2229700</t>
  </si>
  <si>
    <t>Trooper IPA</t>
  </si>
  <si>
    <t>L0398400</t>
  </si>
  <si>
    <t>Trooper Iron Maiden</t>
  </si>
  <si>
    <t>L0398100</t>
  </si>
  <si>
    <t>L5981500</t>
  </si>
  <si>
    <t>Tropez Crazy Rose Magnum</t>
  </si>
  <si>
    <t>Underberg</t>
  </si>
  <si>
    <t>L5995300</t>
  </si>
  <si>
    <t>L2528400</t>
  </si>
  <si>
    <t>L5822100</t>
  </si>
  <si>
    <t>Vecchio Amaro Del Capo + Glasses</t>
  </si>
  <si>
    <t>L0508100</t>
  </si>
  <si>
    <t>Vecchio Amaro Del Capo NRF</t>
  </si>
  <si>
    <t>L5615300</t>
  </si>
  <si>
    <t>Vecchio Amaro del Capo Red Hot Edition NRF</t>
  </si>
  <si>
    <t>L5305800</t>
  </si>
  <si>
    <t>L1894100</t>
  </si>
  <si>
    <t>Warninks Knijpfles</t>
  </si>
  <si>
    <t>L0696800</t>
  </si>
  <si>
    <t>L0599100</t>
  </si>
  <si>
    <t>Wkd Blue</t>
  </si>
  <si>
    <t>L5253600</t>
  </si>
  <si>
    <t>L5941400</t>
  </si>
  <si>
    <t>Xoriguer Mahon Gin Miniature</t>
  </si>
  <si>
    <t>L2185100</t>
  </si>
  <si>
    <t>Yellow Spot 12 Years + GB</t>
  </si>
  <si>
    <t>L1109200</t>
  </si>
  <si>
    <t>Zacapa Royal Solera Gran Reserve Especial + GB</t>
  </si>
  <si>
    <t>L5937500</t>
  </si>
  <si>
    <t>L6001900</t>
  </si>
  <si>
    <t>L0409000</t>
  </si>
  <si>
    <t>L5440400</t>
  </si>
  <si>
    <t>Aguardiente Antioqueno NRF</t>
  </si>
  <si>
    <t>L5345500</t>
  </si>
  <si>
    <t>Aguardiente Antioqueno Sin Azucar NRF</t>
  </si>
  <si>
    <t>L5609400</t>
  </si>
  <si>
    <t>L0877500</t>
  </si>
  <si>
    <t>Angostura Bitter</t>
  </si>
  <si>
    <t>L1189000</t>
  </si>
  <si>
    <t>Angostura Bitter Orange</t>
  </si>
  <si>
    <t>L2460300</t>
  </si>
  <si>
    <t>Angostura Cocoa Bitter</t>
  </si>
  <si>
    <t>L5580100</t>
  </si>
  <si>
    <t>Ararat Apricot + GB</t>
  </si>
  <si>
    <t>L5865600</t>
  </si>
  <si>
    <t>L1675300</t>
  </si>
  <si>
    <t>Bacardi Breezer Lime</t>
  </si>
  <si>
    <t>L0421600</t>
  </si>
  <si>
    <t>Bacardi Breezer Orange</t>
  </si>
  <si>
    <t>L5673400</t>
  </si>
  <si>
    <t>Bacardi Caribbean Espresso Rumtini</t>
  </si>
  <si>
    <t>L0882300</t>
  </si>
  <si>
    <t>L0882800</t>
  </si>
  <si>
    <t>L5673500</t>
  </si>
  <si>
    <t>Bacardi Roasted Pineapple Rum Punch</t>
  </si>
  <si>
    <t>L5673300</t>
  </si>
  <si>
    <t>Bacardi Toasted Coconut Colada</t>
  </si>
  <si>
    <t>L5741500</t>
  </si>
  <si>
    <t>Baileys Chocolate Luxe</t>
  </si>
  <si>
    <t>L0320700</t>
  </si>
  <si>
    <t>L5084600</t>
  </si>
  <si>
    <t>Barcelo Anejo</t>
  </si>
  <si>
    <t>L1307700</t>
  </si>
  <si>
    <t>Berentzen Apfelkorn - Zakflacon</t>
  </si>
  <si>
    <t>L5593600</t>
  </si>
  <si>
    <t>L5593500</t>
  </si>
  <si>
    <t>L1972700</t>
  </si>
  <si>
    <t>Bitter Truth Apricot Likeur</t>
  </si>
  <si>
    <t>L0525200</t>
  </si>
  <si>
    <t>Bitter Truth Aromatic Old Time</t>
  </si>
  <si>
    <t>L0525300</t>
  </si>
  <si>
    <t>Bitter Truth Celery</t>
  </si>
  <si>
    <t>L0525500</t>
  </si>
  <si>
    <t>Bitter Truth Chocolate Bitters</t>
  </si>
  <si>
    <t>L0525600</t>
  </si>
  <si>
    <t>Bitter Truth Creolo</t>
  </si>
  <si>
    <t>L1973100</t>
  </si>
  <si>
    <t>Bitter Truth Golden Falernum</t>
  </si>
  <si>
    <t>L0525700</t>
  </si>
  <si>
    <t>Bitter Truth Grapefruit</t>
  </si>
  <si>
    <t>L0525900</t>
  </si>
  <si>
    <t>Bitter Truth Lemon</t>
  </si>
  <si>
    <t>L0526000</t>
  </si>
  <si>
    <t>Bitter Truth Orange</t>
  </si>
  <si>
    <t>L5596200</t>
  </si>
  <si>
    <t>Bitter Truth Peach Bitters</t>
  </si>
  <si>
    <t>L1973300</t>
  </si>
  <si>
    <t>Bitter Truth Pimento Dram</t>
  </si>
  <si>
    <t>L1972800</t>
  </si>
  <si>
    <t>Bitter Truth Violette Liquor</t>
  </si>
  <si>
    <t>L1975900</t>
  </si>
  <si>
    <t>L1689500</t>
  </si>
  <si>
    <t>L0010000</t>
  </si>
  <si>
    <t>Brothers Cider Cloudy Lemon</t>
  </si>
  <si>
    <t>L5217000</t>
  </si>
  <si>
    <t>Brothers Cider Honey Comb</t>
  </si>
  <si>
    <t>L2295900</t>
  </si>
  <si>
    <t>Brothers Cider Marshmallow</t>
  </si>
  <si>
    <t>L0009500</t>
  </si>
  <si>
    <t>Brothers Cider Rhubarb &amp; Custard</t>
  </si>
  <si>
    <t>L0009800</t>
  </si>
  <si>
    <t>Brothers Cider Strawberry &amp; Lime</t>
  </si>
  <si>
    <t>L2296000</t>
  </si>
  <si>
    <t>Brothers Cider Strawberry Cream</t>
  </si>
  <si>
    <t>L0009700</t>
  </si>
  <si>
    <t>Brothers Cider Toffee Apple</t>
  </si>
  <si>
    <t>L0009600</t>
  </si>
  <si>
    <t>Brothers Cider Wild Fruit</t>
  </si>
  <si>
    <t>L5325500</t>
  </si>
  <si>
    <t>Bundaberg Ginger Beer</t>
  </si>
  <si>
    <t>L6088700</t>
  </si>
  <si>
    <t>L6088800</t>
  </si>
  <si>
    <t>L5821700</t>
  </si>
  <si>
    <t>Coppa Cocktails Party Pack</t>
  </si>
  <si>
    <t>L5229800</t>
  </si>
  <si>
    <t>L2230500</t>
  </si>
  <si>
    <t>Cristal Aguardiente</t>
  </si>
  <si>
    <t>L1352100</t>
  </si>
  <si>
    <t>Cristal Aguardiente Sin Azucar</t>
  </si>
  <si>
    <t>L2012400</t>
  </si>
  <si>
    <t>L2012800</t>
  </si>
  <si>
    <t>L0479500</t>
  </si>
  <si>
    <t>De Kuyper Oranjebitter</t>
  </si>
  <si>
    <t>L5146500</t>
  </si>
  <si>
    <t>L0465400</t>
  </si>
  <si>
    <t>L5818000</t>
  </si>
  <si>
    <t>L0069000</t>
  </si>
  <si>
    <t>L1891700</t>
  </si>
  <si>
    <t>L1892000</t>
  </si>
  <si>
    <t>L1829800</t>
  </si>
  <si>
    <t>L1829700</t>
  </si>
  <si>
    <t>L2021500</t>
  </si>
  <si>
    <t>L5583200</t>
  </si>
  <si>
    <t>Fallen Angel Blood Orange Gin Miniatures</t>
  </si>
  <si>
    <t>L5583100</t>
  </si>
  <si>
    <t>Fallen Angel Spiced Rum Miniatures</t>
  </si>
  <si>
    <t>L1140100</t>
  </si>
  <si>
    <t>Fentimans Elderflower</t>
  </si>
  <si>
    <t>L0410900</t>
  </si>
  <si>
    <t>Fentimans Ginger Beer</t>
  </si>
  <si>
    <t>L0411100</t>
  </si>
  <si>
    <t>Fentimans Rose Lemonade</t>
  </si>
  <si>
    <t>L2025700</t>
  </si>
  <si>
    <t>L1914800</t>
  </si>
  <si>
    <t>L5770900</t>
  </si>
  <si>
    <t>Glenfiddich Perpetual Collection 15 Years Vat 3 + GB</t>
  </si>
  <si>
    <t>L1375300</t>
  </si>
  <si>
    <t>L0430200</t>
  </si>
  <si>
    <t>Harvey's Bristol Cream</t>
  </si>
  <si>
    <t>L1861800</t>
  </si>
  <si>
    <t>L0430700</t>
  </si>
  <si>
    <t>Henkell Trocken Picollo</t>
  </si>
  <si>
    <t>L5000600</t>
  </si>
  <si>
    <t>Hibiki Harmony Master's Select + GB</t>
  </si>
  <si>
    <t>L2063100</t>
  </si>
  <si>
    <t>L2064300</t>
  </si>
  <si>
    <t>Hooghoudt Vieux Zakflacon</t>
  </si>
  <si>
    <t>L2064800</t>
  </si>
  <si>
    <t>Hoppe Jonge Jenever Zakflacon</t>
  </si>
  <si>
    <t>L0559700</t>
  </si>
  <si>
    <t>Hoppe Vieux Zakflacon</t>
  </si>
  <si>
    <t>L6033600</t>
  </si>
  <si>
    <t>Hutchison's Ginger Wine</t>
  </si>
  <si>
    <t>L0126100</t>
  </si>
  <si>
    <t>L0126000</t>
  </si>
  <si>
    <t>L0125900</t>
  </si>
  <si>
    <t>L2313700</t>
  </si>
  <si>
    <t>Jack Daniel's Family Mini Pack</t>
  </si>
  <si>
    <t>L5457900</t>
  </si>
  <si>
    <t>Jack Daniel's Tennessee Travelers Bold &amp; Spicy</t>
  </si>
  <si>
    <t>L5458000</t>
  </si>
  <si>
    <t>Jack Daniel's Tennessee Travelers Sweet &amp; Oaky</t>
  </si>
  <si>
    <t>L0488100</t>
  </si>
  <si>
    <t>L2086000</t>
  </si>
  <si>
    <t>L5627200</t>
  </si>
  <si>
    <t>Kamet Single Malt + GB</t>
  </si>
  <si>
    <t>L5552700</t>
  </si>
  <si>
    <t>Krupnik Old Liqueur Honey</t>
  </si>
  <si>
    <t>L0047700</t>
  </si>
  <si>
    <t>L1920300</t>
  </si>
  <si>
    <t>L2540000</t>
  </si>
  <si>
    <t>L5372500</t>
  </si>
  <si>
    <t>Magners Original</t>
  </si>
  <si>
    <t>L5196300</t>
  </si>
  <si>
    <t>L2332400</t>
  </si>
  <si>
    <t>Mermaid Gin Mini</t>
  </si>
  <si>
    <t>L2332500</t>
  </si>
  <si>
    <t>Mermaid Pink Gin Mini</t>
  </si>
  <si>
    <t>Minttu Peppermint</t>
  </si>
  <si>
    <t>L0494500</t>
  </si>
  <si>
    <t>L0441400</t>
  </si>
  <si>
    <t>L2373800</t>
  </si>
  <si>
    <t>L1572800</t>
  </si>
  <si>
    <t>Nikka Super Rare Old + GB</t>
  </si>
  <si>
    <t>L1334600</t>
  </si>
  <si>
    <t>Nuvo Sparkling</t>
  </si>
  <si>
    <t>L1873500</t>
  </si>
  <si>
    <t>L5155100</t>
  </si>
  <si>
    <t>L5119500</t>
  </si>
  <si>
    <t>Ole Smoky Moonshine Apple Pie</t>
  </si>
  <si>
    <t>L2515500</t>
  </si>
  <si>
    <t>Ole Smoky Moonshine Charred</t>
  </si>
  <si>
    <t>L0869700</t>
  </si>
  <si>
    <t>Ole Smoky Moonshine Original</t>
  </si>
  <si>
    <t>L0527800</t>
  </si>
  <si>
    <t>Osborne Magno Solera Reserva</t>
  </si>
  <si>
    <t>L0581000</t>
  </si>
  <si>
    <t>L0089200</t>
  </si>
  <si>
    <t>Peychaud's Bitter</t>
  </si>
  <si>
    <t>L0257300</t>
  </si>
  <si>
    <t>Pisco Capel Sour Con Limon</t>
  </si>
  <si>
    <t>L6023200</t>
  </si>
  <si>
    <t>Pomada Xoriguer Gin &amp; Lemonade PET</t>
  </si>
  <si>
    <t>L1927600</t>
  </si>
  <si>
    <t>Ponche Caribe Cream</t>
  </si>
  <si>
    <t>L1927700</t>
  </si>
  <si>
    <t>Ponche Caribe Pistachio</t>
  </si>
  <si>
    <t>L5389800</t>
  </si>
  <si>
    <t>L0269200</t>
  </si>
  <si>
    <t>L2365700</t>
  </si>
  <si>
    <t>Riga Black Balsam Classic</t>
  </si>
  <si>
    <t>L2367600</t>
  </si>
  <si>
    <t>Riga Black Balsam Currant</t>
  </si>
  <si>
    <t>L5775100</t>
  </si>
  <si>
    <t>L2436700</t>
  </si>
  <si>
    <t>Sake Gekkeikan</t>
  </si>
  <si>
    <t>L2436800</t>
  </si>
  <si>
    <t>L5135300</t>
  </si>
  <si>
    <t>Sake Shirayuki + GB</t>
  </si>
  <si>
    <t>L5487900</t>
  </si>
  <si>
    <t>L1373300</t>
  </si>
  <si>
    <t>Sambuca Morena</t>
  </si>
  <si>
    <t>L0417600</t>
  </si>
  <si>
    <t>L2138500</t>
  </si>
  <si>
    <t>L2141300</t>
  </si>
  <si>
    <t>L6104600</t>
  </si>
  <si>
    <t>Sierra Blanco PET</t>
  </si>
  <si>
    <t>L2461200</t>
  </si>
  <si>
    <t>Sir James 101 Gin Tonic</t>
  </si>
  <si>
    <t>L2461300</t>
  </si>
  <si>
    <t>Sir James 101 Mojito</t>
  </si>
  <si>
    <t>L5456000</t>
  </si>
  <si>
    <t>Sir James 101 Pink Gin Tonic</t>
  </si>
  <si>
    <t>L2502100</t>
  </si>
  <si>
    <t>Sir James 101 Spritz</t>
  </si>
  <si>
    <t>L2143400</t>
  </si>
  <si>
    <t>L2143100</t>
  </si>
  <si>
    <t>L5316500</t>
  </si>
  <si>
    <t>Sonnema Berenburg &amp; Sinas</t>
  </si>
  <si>
    <t>L2144100</t>
  </si>
  <si>
    <t>Sonnema Berenburg Zakflacon</t>
  </si>
  <si>
    <t>L1121300</t>
  </si>
  <si>
    <t>L5710900</t>
  </si>
  <si>
    <t>Suntory World Whisky Ao</t>
  </si>
  <si>
    <t>L5212000</t>
  </si>
  <si>
    <t>L6005300</t>
  </si>
  <si>
    <t>Talisker Parley Wilder Seas</t>
  </si>
  <si>
    <t>L0999700</t>
  </si>
  <si>
    <t>L6095100</t>
  </si>
  <si>
    <t>Tullibardine Tasting Collection Set</t>
  </si>
  <si>
    <t>L2493400</t>
  </si>
  <si>
    <t>L1893600</t>
  </si>
  <si>
    <t>L0701200</t>
  </si>
  <si>
    <t>L0701600</t>
  </si>
  <si>
    <t>L5968300</t>
  </si>
  <si>
    <t>Zoladkowa Gorzka Lemon Mint</t>
  </si>
  <si>
    <t>L0138900</t>
  </si>
  <si>
    <t>Zoladkowa Gorzka Mint</t>
  </si>
  <si>
    <t>L2193100</t>
  </si>
  <si>
    <t>L5950800</t>
  </si>
  <si>
    <t>L5877800</t>
  </si>
  <si>
    <t>L5581400</t>
  </si>
  <si>
    <t>L5574800</t>
  </si>
  <si>
    <t>Absolut Vanilia</t>
  </si>
  <si>
    <t>L0718300</t>
  </si>
  <si>
    <t>Auchentoshan Dark Oak + GB</t>
  </si>
  <si>
    <t>L1903300</t>
  </si>
  <si>
    <t>L0468500</t>
  </si>
  <si>
    <t>L0321600</t>
  </si>
  <si>
    <t>L5571500</t>
  </si>
  <si>
    <t>L1424500</t>
  </si>
  <si>
    <t>L0608500</t>
  </si>
  <si>
    <t>L0534900</t>
  </si>
  <si>
    <t>L0908500</t>
  </si>
  <si>
    <t>L2512900</t>
  </si>
  <si>
    <t>L0543200</t>
  </si>
  <si>
    <t>L0465000</t>
  </si>
  <si>
    <t>L1029300</t>
  </si>
  <si>
    <t>L5653600</t>
  </si>
  <si>
    <t>Finest Call Mango Mix PET</t>
  </si>
  <si>
    <t>L5653800</t>
  </si>
  <si>
    <t>Finest Call Margarita Mix PET</t>
  </si>
  <si>
    <t>L5653700</t>
  </si>
  <si>
    <t>Finest Call Mojito Mixer PET</t>
  </si>
  <si>
    <t>L5653500</t>
  </si>
  <si>
    <t>Finest Call Passion Fruit Mix PET</t>
  </si>
  <si>
    <t>L5647000</t>
  </si>
  <si>
    <t>Finest Call Strawberry Puree-Mix PET</t>
  </si>
  <si>
    <t>L5653400</t>
  </si>
  <si>
    <t>Finest Call Sweet En Sour-Mix PET</t>
  </si>
  <si>
    <t>L1856900</t>
  </si>
  <si>
    <t>Finlandia Blackcurrant</t>
  </si>
  <si>
    <t>L6086700</t>
  </si>
  <si>
    <t>Finlandia Botanical Cucumber &amp; Mint</t>
  </si>
  <si>
    <t>L6087400</t>
  </si>
  <si>
    <t>Finlandia Botanical Wildberry &amp; Rose</t>
  </si>
  <si>
    <t>L1857300</t>
  </si>
  <si>
    <t>Finlandia Cranberry</t>
  </si>
  <si>
    <t>L1857500</t>
  </si>
  <si>
    <t>Finlandia Grapefruit</t>
  </si>
  <si>
    <t>L1857900</t>
  </si>
  <si>
    <t>Finlandia Lime</t>
  </si>
  <si>
    <t>L1858300</t>
  </si>
  <si>
    <t>Finlandia Nordic Berries</t>
  </si>
  <si>
    <t>L2198400</t>
  </si>
  <si>
    <t>L0483100</t>
  </si>
  <si>
    <t>L2199300</t>
  </si>
  <si>
    <t>Fundador Pedro Domecq NRF</t>
  </si>
  <si>
    <t>L0766600</t>
  </si>
  <si>
    <t>L0430400</t>
  </si>
  <si>
    <t>L2262700</t>
  </si>
  <si>
    <t>Hendrick's Amazonia</t>
  </si>
  <si>
    <t>L0941400</t>
  </si>
  <si>
    <t>L0798600</t>
  </si>
  <si>
    <t>Highland Park 14 Years Loyalty Of The Wolf + GB</t>
  </si>
  <si>
    <t>L5879600</t>
  </si>
  <si>
    <t>Ice Ball The Broody Hen (Whisky Ice Ball Maker)</t>
  </si>
  <si>
    <t>L5458300</t>
  </si>
  <si>
    <t>Jack Daniel's Bottled In Bond 100 Proof</t>
  </si>
  <si>
    <t>L0651400</t>
  </si>
  <si>
    <t>L5398500</t>
  </si>
  <si>
    <t>Jack Daniel's Legacy No. 3 + GB</t>
  </si>
  <si>
    <t>L5752500</t>
  </si>
  <si>
    <t>L5640100</t>
  </si>
  <si>
    <t>L0536700</t>
  </si>
  <si>
    <t>L5325600</t>
  </si>
  <si>
    <t>Jose Cuervo Especial Reposado Limited Edition</t>
  </si>
  <si>
    <t>L2293200</t>
  </si>
  <si>
    <t>L5958100</t>
  </si>
  <si>
    <t>Le Tribute Tumbler Glass</t>
  </si>
  <si>
    <t>L0493900</t>
  </si>
  <si>
    <t>L2450100</t>
  </si>
  <si>
    <t>Licor 43 NRF</t>
  </si>
  <si>
    <t>L0567900</t>
  </si>
  <si>
    <t>L0576900</t>
  </si>
  <si>
    <t>L0497300</t>
  </si>
  <si>
    <t>L5606500</t>
  </si>
  <si>
    <t>Nuvo Sparkling Vodka Liqueur Glasses</t>
  </si>
  <si>
    <t>L0583200</t>
  </si>
  <si>
    <t>L0064300</t>
  </si>
  <si>
    <t>Pastis Bastidon</t>
  </si>
  <si>
    <t>L0501000</t>
  </si>
  <si>
    <t>L0586300</t>
  </si>
  <si>
    <t>L0990900</t>
  </si>
  <si>
    <t>Smirnoff Blue</t>
  </si>
  <si>
    <t>L0689400</t>
  </si>
  <si>
    <t>L0999200</t>
  </si>
  <si>
    <t>L1000400</t>
  </si>
  <si>
    <t>L1000300</t>
  </si>
  <si>
    <t>L1780900</t>
  </si>
  <si>
    <t>Tanqueray Malacca</t>
  </si>
  <si>
    <t>L1000900</t>
  </si>
  <si>
    <t>L1001300</t>
  </si>
  <si>
    <t>L5177300</t>
  </si>
  <si>
    <t>Tanqueray Ten Grapefruit &amp; Rosemary</t>
  </si>
  <si>
    <t>L0930400</t>
  </si>
  <si>
    <t>L5004100</t>
  </si>
  <si>
    <t>L0456100</t>
  </si>
  <si>
    <t>L1235700</t>
  </si>
  <si>
    <t>L5528900</t>
  </si>
  <si>
    <t>L5808700</t>
  </si>
  <si>
    <t>Botran Ron De Guatemala No.8</t>
  </si>
  <si>
    <t>L6066400</t>
  </si>
  <si>
    <t>Dead Man's Finger Reposado</t>
  </si>
  <si>
    <t>L5445100</t>
  </si>
  <si>
    <t>Dead Man's Fingers Hemp</t>
  </si>
  <si>
    <t>L0072700</t>
  </si>
  <si>
    <t>Ilegal Mezcal Joven</t>
  </si>
  <si>
    <t>L0100600</t>
  </si>
  <si>
    <t>Samuel Gelston's Single Malt</t>
  </si>
  <si>
    <t>L0602800</t>
  </si>
  <si>
    <t>L1933700</t>
  </si>
  <si>
    <t>The Pogues Single Malt</t>
  </si>
  <si>
    <t>L1011300</t>
  </si>
  <si>
    <t>O'live Gin</t>
  </si>
  <si>
    <t>L5102200</t>
  </si>
  <si>
    <t>Kamiki + GB</t>
  </si>
  <si>
    <t>L5757300</t>
  </si>
  <si>
    <t>Rockstar Both Barrels Cask Strength Malt Whisky</t>
  </si>
  <si>
    <t>L5912000</t>
  </si>
  <si>
    <t>Tenuta Scuotto Fiano 'Oi Ni' IGP Campania 2019</t>
  </si>
  <si>
    <t>L0422600</t>
  </si>
  <si>
    <t>Bollinger Special Cuvee Brut</t>
  </si>
  <si>
    <t>L5926800</t>
  </si>
  <si>
    <t>Nicosia Vulka Etna Bianco 2019</t>
  </si>
  <si>
    <t>L5699200</t>
  </si>
  <si>
    <t>Dead Man's Fingers Mango Tequila Cream</t>
  </si>
  <si>
    <t>L5711900</t>
  </si>
  <si>
    <t>Dead Man's Fingers Rasberry Rum Cream</t>
  </si>
  <si>
    <t>L5699400</t>
  </si>
  <si>
    <t>Dead Man's Fingers Strawberry Tequila Cream</t>
  </si>
  <si>
    <t>L1217300</t>
  </si>
  <si>
    <t>Edradour Cream</t>
  </si>
  <si>
    <t>L5490800</t>
  </si>
  <si>
    <t>Generous Gin Purple Grapeberry</t>
  </si>
  <si>
    <t>L5456300</t>
  </si>
  <si>
    <t>L5808500</t>
  </si>
  <si>
    <t>Jack Daniel's Triple Mash</t>
  </si>
  <si>
    <t>L5546300</t>
  </si>
  <si>
    <t>The Pogues Cinnamon</t>
  </si>
  <si>
    <t>L2013300</t>
  </si>
  <si>
    <t>Dead Man's Fingers Coconut</t>
  </si>
  <si>
    <t>L2013400</t>
  </si>
  <si>
    <t>Dead Man's Fingers Coffee</t>
  </si>
  <si>
    <t>L2013600</t>
  </si>
  <si>
    <t>Dead Man's Fingers Pineapple Rum</t>
  </si>
  <si>
    <t>L2414400</t>
  </si>
  <si>
    <t>Dead Man's Fingers Spiced</t>
  </si>
  <si>
    <t>L5699300</t>
  </si>
  <si>
    <t>Dead Man's Fingers White Rum</t>
  </si>
  <si>
    <t>L5776900</t>
  </si>
  <si>
    <t>Drumshanbo Sausage Tree Pure Irish Vodka</t>
  </si>
  <si>
    <t>L5379300</t>
  </si>
  <si>
    <t>Glenkinchie Distillers Edition 2009-2021 + GB</t>
  </si>
  <si>
    <t>L5178900</t>
  </si>
  <si>
    <t>Opthimus 15 Years Porto + GB</t>
  </si>
  <si>
    <t>Smokehead Islay Single Malt + GB</t>
  </si>
  <si>
    <t>Absolut APeach</t>
  </si>
  <si>
    <t>L0570800</t>
  </si>
  <si>
    <t>L1402400</t>
  </si>
  <si>
    <t>Patron Gran Piedra + GB</t>
  </si>
  <si>
    <t>Moet &amp; Chandon Imperial Brut + Wooden GB</t>
  </si>
  <si>
    <t>L5866200</t>
  </si>
  <si>
    <t>Johnnie Walker King George V CNY. Year of the Rabbit  + GB</t>
  </si>
  <si>
    <t>L5571100</t>
  </si>
  <si>
    <t>Dead Man's Fingers Taster Pack (3x5CL Bottles)</t>
  </si>
  <si>
    <t>H.</t>
  </si>
  <si>
    <t>Alcool</t>
  </si>
  <si>
    <t>L0874000</t>
  </si>
  <si>
    <t>L1167400</t>
  </si>
  <si>
    <t>Abuelo XV FC Napoleon + GB</t>
  </si>
  <si>
    <t>L6118700</t>
  </si>
  <si>
    <t>Adiccion Mezcal + GB</t>
  </si>
  <si>
    <t>L6118600</t>
  </si>
  <si>
    <t>Adiccion Tequila Anejo + GB</t>
  </si>
  <si>
    <t>L6118500</t>
  </si>
  <si>
    <t>Adiccion Tequila Reposado + GB</t>
  </si>
  <si>
    <t>L1187800</t>
  </si>
  <si>
    <t>Angostura 1787 Super Premium + GB</t>
  </si>
  <si>
    <t>L1211100</t>
  </si>
  <si>
    <t>Auchentoshan American Oak</t>
  </si>
  <si>
    <t>L5894200</t>
  </si>
  <si>
    <t>Ballantine's 12 Years</t>
  </si>
  <si>
    <t>L0604200</t>
  </si>
  <si>
    <t>Ballantine's 21 Years + GB</t>
  </si>
  <si>
    <t>L6151100</t>
  </si>
  <si>
    <t>Ballantines Finest AC/DC Edition</t>
  </si>
  <si>
    <t>L6191400</t>
  </si>
  <si>
    <t>Balvenie 12 Years Doublewood + 2 Glasses</t>
  </si>
  <si>
    <t>L6191200</t>
  </si>
  <si>
    <t>Balvenie 14 Years Caribbean Cask + 2 Glasses</t>
  </si>
  <si>
    <t>L6205100</t>
  </si>
  <si>
    <t>L6123000</t>
  </si>
  <si>
    <t>L6205400</t>
  </si>
  <si>
    <t>Beluga Transatlantic Racing + Sunglasses</t>
  </si>
  <si>
    <t>L6038900</t>
  </si>
  <si>
    <t>Blood Monkey Gin Original</t>
  </si>
  <si>
    <t>L6120300</t>
  </si>
  <si>
    <t>Born Irish 80 Proof</t>
  </si>
  <si>
    <t>L6135400</t>
  </si>
  <si>
    <t>Botran No. 15 Reserva Especial + GB</t>
  </si>
  <si>
    <t>L0292400</t>
  </si>
  <si>
    <t>L6144600</t>
  </si>
  <si>
    <t>Brunswick Aces Diamonds</t>
  </si>
  <si>
    <t>L6075600</t>
  </si>
  <si>
    <t>L5935000</t>
  </si>
  <si>
    <t>Bumbu Original In Tube</t>
  </si>
  <si>
    <t>L5725100</t>
  </si>
  <si>
    <t>Bushmills 16 Years + GB</t>
  </si>
  <si>
    <t>L5360900</t>
  </si>
  <si>
    <t>Camus VS + GB</t>
  </si>
  <si>
    <t>L6152000</t>
  </si>
  <si>
    <t>Cardhu Amber Rock + 2 Glasses</t>
  </si>
  <si>
    <t>L6158300</t>
  </si>
  <si>
    <t>Cenote Green Orange</t>
  </si>
  <si>
    <t>L5124100</t>
  </si>
  <si>
    <t>L5190100</t>
  </si>
  <si>
    <t>Chivas Regal 13 Years Extra American Rye Cask + GB</t>
  </si>
  <si>
    <t>L6155800</t>
  </si>
  <si>
    <t>Chivas Regal 13 Years Extra Bourbon Cask + GB</t>
  </si>
  <si>
    <t>L5391300</t>
  </si>
  <si>
    <t>Chivas Regal 13 Years Extra Tequila Cask + GB</t>
  </si>
  <si>
    <t>L6175400</t>
  </si>
  <si>
    <t>Chivas Regal 15 Years XV + GB</t>
  </si>
  <si>
    <t>L6096200</t>
  </si>
  <si>
    <t>Chivas Regal 21 Years Richard Quinn Orange Roses + GB</t>
  </si>
  <si>
    <t>L6096300</t>
  </si>
  <si>
    <t>Chivas Regal 21 Years Royal Salute Richard Quinn Daisy + GB</t>
  </si>
  <si>
    <t>L6085200</t>
  </si>
  <si>
    <t>Chopin Potato Vodka + GB</t>
  </si>
  <si>
    <t>L6135300</t>
  </si>
  <si>
    <t>Chopin Rye Vodka + GB</t>
  </si>
  <si>
    <t>L6135500</t>
  </si>
  <si>
    <t>Chopin Wheat Vodka + GB</t>
  </si>
  <si>
    <t>L6186800</t>
  </si>
  <si>
    <t>Clan Campbell</t>
  </si>
  <si>
    <t>L6205700</t>
  </si>
  <si>
    <t>Cointreau Noir</t>
  </si>
  <si>
    <t>L6141600</t>
  </si>
  <si>
    <t>Davidoff XO Prestige Extra Old Cognac + GB</t>
  </si>
  <si>
    <t>L5711800</t>
  </si>
  <si>
    <t>Dead Man's Fingers Reposado</t>
  </si>
  <si>
    <t>L2402800</t>
  </si>
  <si>
    <t>L6179700</t>
  </si>
  <si>
    <t>Don Papa 7 Years  Single Island + GB</t>
  </si>
  <si>
    <t>L6142800</t>
  </si>
  <si>
    <t>Don Papa 7 Years Eternal Spring In Sugarlandia + GB</t>
  </si>
  <si>
    <t>L5754000</t>
  </si>
  <si>
    <t>Dos Maderas Px 5+5 + GB</t>
  </si>
  <si>
    <t>L5748400</t>
  </si>
  <si>
    <t>Duppy Share Aged Rum</t>
  </si>
  <si>
    <t>L5357900</t>
  </si>
  <si>
    <t>El Dorado 8 Years Dark Rum</t>
  </si>
  <si>
    <t>L5835800</t>
  </si>
  <si>
    <t>Glenfiddich 18 Years Small Batch + Flask</t>
  </si>
  <si>
    <t>L0547000</t>
  </si>
  <si>
    <t>L6081200</t>
  </si>
  <si>
    <t>Hardy VS + GB</t>
  </si>
  <si>
    <t>L6081100</t>
  </si>
  <si>
    <t>Hardy VSOP + GB</t>
  </si>
  <si>
    <t>L6163500</t>
  </si>
  <si>
    <t>Havn Gin</t>
  </si>
  <si>
    <t>L6195700</t>
  </si>
  <si>
    <t>Hennessy VS Golden Bottle</t>
  </si>
  <si>
    <t>L6138900</t>
  </si>
  <si>
    <t>Hennessy VSOP</t>
  </si>
  <si>
    <t>L6145800</t>
  </si>
  <si>
    <t>Highland Park 10 Years Viking Scars + 2 Glasses</t>
  </si>
  <si>
    <t>L6142900</t>
  </si>
  <si>
    <t>Jack Daniel's + 2 Glasses 2023 Edition</t>
  </si>
  <si>
    <t>L5703900</t>
  </si>
  <si>
    <t>Jameson Caskmates IPA + GB</t>
  </si>
  <si>
    <t>L0642800</t>
  </si>
  <si>
    <t>Jameson Crested Ten</t>
  </si>
  <si>
    <t>L6163100</t>
  </si>
  <si>
    <t>Johnnie Walker Black Label Limited Edition + 2 Glasses</t>
  </si>
  <si>
    <t>L6140000</t>
  </si>
  <si>
    <t>L2066200</t>
  </si>
  <si>
    <t>Jura 12 Years + 2 glasses</t>
  </si>
  <si>
    <t>L0562500</t>
  </si>
  <si>
    <t>Kavalan Concertmaster Sherry Cask Finish + GB</t>
  </si>
  <si>
    <t>L0563300</t>
  </si>
  <si>
    <t>Kavalan Single Malt + GB</t>
  </si>
  <si>
    <t>L5991900</t>
  </si>
  <si>
    <t>L5889900</t>
  </si>
  <si>
    <t>Komos Reposado Rosa</t>
  </si>
  <si>
    <t>L1741000</t>
  </si>
  <si>
    <t>Kraken Black Spiced Rum Giftset + GB</t>
  </si>
  <si>
    <t>L5460200</t>
  </si>
  <si>
    <t>Kraken Black Spiced Unknown Deep #02 Blue Edition 2021</t>
  </si>
  <si>
    <t>L0818500</t>
  </si>
  <si>
    <t>Loch Lomond Single Malt + GB</t>
  </si>
  <si>
    <t>L5770700</t>
  </si>
  <si>
    <t>Martin Miller's Winterful Limited Edition</t>
  </si>
  <si>
    <t>L0962600</t>
  </si>
  <si>
    <t>Matusalem 15 Years Gran Reserva</t>
  </si>
  <si>
    <t>L6116900</t>
  </si>
  <si>
    <t>Matusalem 15 Years Gran Reserva Special Edition Fuenmayor</t>
  </si>
  <si>
    <t>L5802900</t>
  </si>
  <si>
    <t>Menard Sel. Des Domaines + GB</t>
  </si>
  <si>
    <t>L5609600</t>
  </si>
  <si>
    <t>L6148900</t>
  </si>
  <si>
    <t>Metaxa 12*</t>
  </si>
  <si>
    <t>L6150400</t>
  </si>
  <si>
    <t>Molinari Sambuca Extra NRF + Glass</t>
  </si>
  <si>
    <t>L2497200</t>
  </si>
  <si>
    <t>L6189900</t>
  </si>
  <si>
    <t>L1002900</t>
  </si>
  <si>
    <t>Puerto De Indias Classic</t>
  </si>
  <si>
    <t>L0977500</t>
  </si>
  <si>
    <t>Quorhum 12 Years + GB</t>
  </si>
  <si>
    <t>L0977600</t>
  </si>
  <si>
    <t>Quorhum 15 Years + GB</t>
  </si>
  <si>
    <t>L0977700</t>
  </si>
  <si>
    <t>Quorhum 23 Years + GB</t>
  </si>
  <si>
    <t>L6144800</t>
  </si>
  <si>
    <t>Rammstein Schwartz Gin</t>
  </si>
  <si>
    <t>L5550900</t>
  </si>
  <si>
    <t>Ron Malteco 25 Years + 2 Glasses</t>
  </si>
  <si>
    <t>L6157800</t>
  </si>
  <si>
    <t>Ron Millonario 15 Years Reserva</t>
  </si>
  <si>
    <t>L6002500</t>
  </si>
  <si>
    <t>Sir Edmond Bourbon Infused Gin + GB</t>
  </si>
  <si>
    <t>L6041900</t>
  </si>
  <si>
    <t>L5793000</t>
  </si>
  <si>
    <t>Spytail Barrel Finish</t>
  </si>
  <si>
    <t>L5155400</t>
  </si>
  <si>
    <t>Spytail Black Ginger</t>
  </si>
  <si>
    <t>L5273100</t>
  </si>
  <si>
    <t>Strega Liquore + Jigger</t>
  </si>
  <si>
    <t>L5818800</t>
  </si>
  <si>
    <t>Tamnavulin Red Wine Finish No 2 Spanish Grenache + GB</t>
  </si>
  <si>
    <t>L5498400</t>
  </si>
  <si>
    <t>Tanduay Double + GB</t>
  </si>
  <si>
    <t>L6122600</t>
  </si>
  <si>
    <t>Tecan Blanco Tequila</t>
  </si>
  <si>
    <t>L5315800</t>
  </si>
  <si>
    <t>The Busker Triple Cask</t>
  </si>
  <si>
    <t>L5072000</t>
  </si>
  <si>
    <t>L5582300</t>
  </si>
  <si>
    <t>The Demon's Share 3 Years</t>
  </si>
  <si>
    <t>L6205800</t>
  </si>
  <si>
    <t>The Demon's Share 6 Years + GB</t>
  </si>
  <si>
    <t>L6096500</t>
  </si>
  <si>
    <t>L6150900</t>
  </si>
  <si>
    <t>The Pogues Streams of Whiskey</t>
  </si>
  <si>
    <t>L5833300</t>
  </si>
  <si>
    <t>The Singleton 12 Years + 2 Glasses</t>
  </si>
  <si>
    <t>L5687800</t>
  </si>
  <si>
    <t>Togouchi Pure Malt + GB</t>
  </si>
  <si>
    <t>L5084500</t>
  </si>
  <si>
    <t>U'luvka Vodka</t>
  </si>
  <si>
    <t>L6000500</t>
  </si>
  <si>
    <t>L5610700</t>
  </si>
  <si>
    <t>Volcan De Mi Tierra Reposado</t>
  </si>
  <si>
    <t>L6201300</t>
  </si>
  <si>
    <t>Worthy Park Select</t>
  </si>
  <si>
    <t>L0704000</t>
  </si>
  <si>
    <t>L5853000</t>
  </si>
  <si>
    <t>Zacapa 23 Years Centenario Grand Reserva + Coasters</t>
  </si>
  <si>
    <t>L0397600</t>
  </si>
  <si>
    <t>Zaya Gran Reserva + GB</t>
  </si>
  <si>
    <t>L0890300</t>
  </si>
  <si>
    <t>Bacardi Gran Reserva Limitada + GB</t>
  </si>
  <si>
    <t>L6205200</t>
  </si>
  <si>
    <t>L6123100</t>
  </si>
  <si>
    <t>L6205300</t>
  </si>
  <si>
    <t>Beluga Noble + Tumbler Glass</t>
  </si>
  <si>
    <t>L6152900</t>
  </si>
  <si>
    <t>Bloom Passionfruit &amp; Vanilla Blossom Gin</t>
  </si>
  <si>
    <t>L0610600</t>
  </si>
  <si>
    <t>Bushmills Black Bush + GB</t>
  </si>
  <si>
    <t>L0612000</t>
  </si>
  <si>
    <t>L6135000</t>
  </si>
  <si>
    <t>L6164000</t>
  </si>
  <si>
    <t>Chivas Regal 13 Years Rum Cask + GB</t>
  </si>
  <si>
    <t>L6150800</t>
  </si>
  <si>
    <t>Chopin Blended Limited Edition</t>
  </si>
  <si>
    <t>L0621400</t>
  </si>
  <si>
    <t>L1718600</t>
  </si>
  <si>
    <t>Flor de Cana 18 Years + GB</t>
  </si>
  <si>
    <t>L0643900</t>
  </si>
  <si>
    <t>Jameson Triple Triple</t>
  </si>
  <si>
    <t>L6086300</t>
  </si>
  <si>
    <t>L5499700</t>
  </si>
  <si>
    <t>Jim Beam NRF</t>
  </si>
  <si>
    <t>L1664600</t>
  </si>
  <si>
    <t>L6196800</t>
  </si>
  <si>
    <t>Kraken Black Spiced Rum + Candle</t>
  </si>
  <si>
    <t>L6161600</t>
  </si>
  <si>
    <t>Remy Martin 1738 Accord Royal</t>
  </si>
  <si>
    <t>L5062200</t>
  </si>
  <si>
    <t>The Dalmore The Trio + GB</t>
  </si>
  <si>
    <t>L1017100</t>
  </si>
  <si>
    <t>Zacapa 12 Years Ambar</t>
  </si>
  <si>
    <t>L6119500</t>
  </si>
  <si>
    <t>Adiccion Tequila Anejo Magnum</t>
  </si>
  <si>
    <t>L6119600</t>
  </si>
  <si>
    <t>Adiccion Tequila Reposado Magnum</t>
  </si>
  <si>
    <t>L6208600</t>
  </si>
  <si>
    <t>Akashi Meisei Deluxe Sherry Cask + GB</t>
  </si>
  <si>
    <t>L1994500</t>
  </si>
  <si>
    <t>Akashi White Oak Blended</t>
  </si>
  <si>
    <t>L1861600</t>
  </si>
  <si>
    <t>Himbrimi London Dry Gin Winterbird Edition</t>
  </si>
  <si>
    <t>L1736200</t>
  </si>
  <si>
    <t>Himbrimi Old Tom Gin</t>
  </si>
  <si>
    <t>L5171400</t>
  </si>
  <si>
    <t>Jack Daniel's Twin Pack (2x1L)</t>
  </si>
  <si>
    <t>L6170100</t>
  </si>
  <si>
    <t>Jameson Tripack  (3x20cl)</t>
  </si>
  <si>
    <t>L1764500</t>
  </si>
  <si>
    <t>Poppies Gin + GB</t>
  </si>
  <si>
    <t>L6152800</t>
  </si>
  <si>
    <t>L6184800</t>
  </si>
  <si>
    <t>Boutique-y Retro Gin Fridge</t>
  </si>
  <si>
    <t>L5503600</t>
  </si>
  <si>
    <t>L6145400</t>
  </si>
  <si>
    <t>L6153700</t>
  </si>
  <si>
    <t>L1759400</t>
  </si>
  <si>
    <t>Plantation Experience Box 6x0,10L + GB</t>
  </si>
  <si>
    <t>L2125100</t>
  </si>
  <si>
    <t>L6107200</t>
  </si>
  <si>
    <t>Rum Calendar 24 Days Of Rum Red Edition + Glasses</t>
  </si>
  <si>
    <t>L5444800</t>
  </si>
  <si>
    <t>The Busker Triopack (3x20CL)</t>
  </si>
  <si>
    <t>L1973000</t>
  </si>
  <si>
    <t>Bitter Truth Elixer</t>
  </si>
  <si>
    <t>L2563600</t>
  </si>
  <si>
    <t>Bottega Liqueur Espresso</t>
  </si>
  <si>
    <t>L6017300</t>
  </si>
  <si>
    <t>Dik &amp; Schil Limoncello</t>
  </si>
  <si>
    <t>L6100100</t>
  </si>
  <si>
    <t>L0931600</t>
  </si>
  <si>
    <t>Gin Sul</t>
  </si>
  <si>
    <t>L6207300</t>
  </si>
  <si>
    <t>Gouden Carolus Black Canvas Series + GB</t>
  </si>
  <si>
    <t>L6207100</t>
  </si>
  <si>
    <t>Gouden Carolus Black Canvas Series Pride + GB</t>
  </si>
  <si>
    <t>L6207200</t>
  </si>
  <si>
    <t>Gouden Carolus Black Canvas Series Trust + GB</t>
  </si>
  <si>
    <t>L6138600</t>
  </si>
  <si>
    <t>L6142500</t>
  </si>
  <si>
    <t>Koreman's Limoncello</t>
  </si>
  <si>
    <t>L6142600</t>
  </si>
  <si>
    <t>Koreman's Orangecello</t>
  </si>
  <si>
    <t>L2501200</t>
  </si>
  <si>
    <t>Monkey 47 Distiller's Cut 2020 + GB</t>
  </si>
  <si>
    <t>L6198900</t>
  </si>
  <si>
    <t>Mozart Chocolate Coffee</t>
  </si>
  <si>
    <t>L6121900</t>
  </si>
  <si>
    <t>Mozart Coconut Chocolate</t>
  </si>
  <si>
    <t>L6151600</t>
  </si>
  <si>
    <t>Pallini Limoncello + Glass</t>
  </si>
  <si>
    <t>L6186300</t>
  </si>
  <si>
    <t>Santa Maria La Palma Passito Soffio di Sole + GB</t>
  </si>
  <si>
    <t>L5166500</t>
  </si>
  <si>
    <t>The Artisan London Dry</t>
  </si>
  <si>
    <t>L6004600</t>
  </si>
  <si>
    <t>The Illusionist Dry Gin New</t>
  </si>
  <si>
    <t>L6201200</t>
  </si>
  <si>
    <t>The Rum Box Blue By World Class Rum</t>
  </si>
  <si>
    <t>L0462100</t>
  </si>
  <si>
    <t>L0717700</t>
  </si>
  <si>
    <t>Auchentoshan Blood Oak + Tin GB</t>
  </si>
  <si>
    <t>L5970300</t>
  </si>
  <si>
    <t>Berentzen Doppelkorn DF Label</t>
  </si>
  <si>
    <t>L0118700</t>
  </si>
  <si>
    <t>Bombay Sapphire Star Of Bombay</t>
  </si>
  <si>
    <t>L6208900</t>
  </si>
  <si>
    <t>Bruichladdich 10 Years Port Charlotte Heavily Peated</t>
  </si>
  <si>
    <t>L5665700</t>
  </si>
  <si>
    <t>Bushmills 10 Years Sherry Cask + GB</t>
  </si>
  <si>
    <t>L6142000</t>
  </si>
  <si>
    <t>L1500300</t>
  </si>
  <si>
    <t>Glen Scotia Campbeltown 1832 + GB</t>
  </si>
  <si>
    <t>L6183100</t>
  </si>
  <si>
    <t>L5723300</t>
  </si>
  <si>
    <t>Jagermeister + Banderol</t>
  </si>
  <si>
    <t>L5301300</t>
  </si>
  <si>
    <t>Marie Brizard Anisette</t>
  </si>
  <si>
    <t>L6109700</t>
  </si>
  <si>
    <t>L2009500</t>
  </si>
  <si>
    <t>The Dalmore The Quartet + GB</t>
  </si>
  <si>
    <t>L6176000</t>
  </si>
  <si>
    <t>L6158900</t>
  </si>
  <si>
    <t>Woodford Reserve Holiday Edition</t>
  </si>
  <si>
    <t>L6201500</t>
  </si>
  <si>
    <t>Worthy Park 109</t>
  </si>
  <si>
    <t>L6203000</t>
  </si>
  <si>
    <t>Astoria Velere Prosecco DOC Rose Millesimato 2022</t>
  </si>
  <si>
    <t>L2564100</t>
  </si>
  <si>
    <t>Bottega Prosecco Spumante Accademia Blu</t>
  </si>
  <si>
    <t>L5920700</t>
  </si>
  <si>
    <t>L6101600</t>
  </si>
  <si>
    <t>L5993500</t>
  </si>
  <si>
    <t>Coppi Guiscardo Falanghina 2022</t>
  </si>
  <si>
    <t>L6150700</t>
  </si>
  <si>
    <t>Corte Dei Rovi</t>
  </si>
  <si>
    <t>L6088100</t>
  </si>
  <si>
    <t>Cuatro Rayas Cuarenta Vendimias Verdejo 2022</t>
  </si>
  <si>
    <t>L6096700</t>
  </si>
  <si>
    <t>Dolin Chamberyzette</t>
  </si>
  <si>
    <t>L5078900</t>
  </si>
  <si>
    <t>Eagle Rare 10 Years Single Barrel</t>
  </si>
  <si>
    <t>L6138700</t>
  </si>
  <si>
    <t>Esporao  Reserva Branco Bio 2022</t>
  </si>
  <si>
    <t>L5901500</t>
  </si>
  <si>
    <t>Esporao Monte Velho Red 2021</t>
  </si>
  <si>
    <t>L5901400</t>
  </si>
  <si>
    <t>Esporao Monte Velho White 2022</t>
  </si>
  <si>
    <t>L5885800</t>
  </si>
  <si>
    <t>Freixenet Carta Nevada Rosado</t>
  </si>
  <si>
    <t>L2499800</t>
  </si>
  <si>
    <t>Graham's 20 Years Tawny + GB</t>
  </si>
  <si>
    <t>L2500300</t>
  </si>
  <si>
    <t>Graham's Six Grapes Reserve</t>
  </si>
  <si>
    <t>L6187900</t>
  </si>
  <si>
    <t>Lamborghini Luxe Rosso Umbria IGT 2016</t>
  </si>
  <si>
    <t>L6167400</t>
  </si>
  <si>
    <t>Lunae Colli di Luni Rosso DOC 2021 "Auxo"</t>
  </si>
  <si>
    <t>L6167700</t>
  </si>
  <si>
    <t>Lunae Colli di Luni Vermentino DOC 2022 "Etichetta Nera"</t>
  </si>
  <si>
    <t>L5966100</t>
  </si>
  <si>
    <t>Marrone Langhe Arneis "Tre Fies" Doc Langhe 2020</t>
  </si>
  <si>
    <t>L6185500</t>
  </si>
  <si>
    <t>Marrone San Carlo 2015</t>
  </si>
  <si>
    <t>L6158000</t>
  </si>
  <si>
    <t>Nicosia Vulka Etna Bianco 2017</t>
  </si>
  <si>
    <t>L6136900</t>
  </si>
  <si>
    <t>San Felice Chianti Classico Riserva DOCG Il Grigio 2020</t>
  </si>
  <si>
    <t>L0454000</t>
  </si>
  <si>
    <t>Sandeman Fine Ruby Porto</t>
  </si>
  <si>
    <t>L6186500</t>
  </si>
  <si>
    <t>Santa Maria La Palma Aragosta Rosato DOC Alghero 2023</t>
  </si>
  <si>
    <t>L6187000</t>
  </si>
  <si>
    <t>Santa Maria La Palma Cagnulari IGT Bombarde 2022</t>
  </si>
  <si>
    <t>L6186600</t>
  </si>
  <si>
    <t>Santa Maria La Palma Cagnulari Selezione Alghero DOC 2022</t>
  </si>
  <si>
    <t>L6186400</t>
  </si>
  <si>
    <t>Santa Maria La Palma Cannonau di Sardegna DOC Timbenia 2021</t>
  </si>
  <si>
    <t>L6309700</t>
  </si>
  <si>
    <t>Sao Pedro Das Aguias Ruby Porto LBV 2017</t>
  </si>
  <si>
    <t>L0260900</t>
  </si>
  <si>
    <t>Taylor's 10 Years Port Tawny</t>
  </si>
  <si>
    <t>L6090200</t>
  </si>
  <si>
    <t>Tenuta Scuotto Fiano 'Oi Ni' IGP Campania 2020</t>
  </si>
  <si>
    <t>L6090100</t>
  </si>
  <si>
    <t>Tenuta Scuotto Taurasi 2019</t>
  </si>
  <si>
    <t>L5914500</t>
  </si>
  <si>
    <t>Cielo WT  Pinot Grigio Rose 'Blush' 2021</t>
  </si>
  <si>
    <t>L6157900</t>
  </si>
  <si>
    <t>Gosset Grande Reserve Brut + GB</t>
  </si>
  <si>
    <t>L6171200</t>
  </si>
  <si>
    <t>Lamborghini Brut Pinot-Chardonnay Ice</t>
  </si>
  <si>
    <t>L1272100</t>
  </si>
  <si>
    <t>Laurent Perrier Demi Sec Harmony + GB</t>
  </si>
  <si>
    <t>L0433800</t>
  </si>
  <si>
    <t>Laurent Perrier Rose + GB</t>
  </si>
  <si>
    <t>L6155500</t>
  </si>
  <si>
    <t>Moet &amp; Chandon Brut EOY 2023 + GB</t>
  </si>
  <si>
    <t>L0443900</t>
  </si>
  <si>
    <t>Moet &amp; Chandon Nectar Imperial + GB</t>
  </si>
  <si>
    <t>L5572200</t>
  </si>
  <si>
    <t>Nicolas Feuillatte Reserve Exclusive Brut + GB</t>
  </si>
  <si>
    <t>L5530000</t>
  </si>
  <si>
    <t>Piper Heidsieck Brut Parfum Edition + GB</t>
  </si>
  <si>
    <t>L5988400</t>
  </si>
  <si>
    <t>Santa Maria La Palma Aragosta Spumante Rose brut</t>
  </si>
  <si>
    <t>L5059000</t>
  </si>
  <si>
    <t>L6087100</t>
  </si>
  <si>
    <t>Castelnuovo Merlot-Corvina 'Natura' 2022</t>
  </si>
  <si>
    <t>L6096900</t>
  </si>
  <si>
    <t>Choza DO Rioja Rosado 2022</t>
  </si>
  <si>
    <t>L6088200</t>
  </si>
  <si>
    <t>Cuatro Rayas Cuarenta Vendimias Cuvee 2021</t>
  </si>
  <si>
    <t>L6140200</t>
  </si>
  <si>
    <t>L6138500</t>
  </si>
  <si>
    <t>Dom Perignon Rose Vintage 2009</t>
  </si>
  <si>
    <t>L6140500</t>
  </si>
  <si>
    <t>Dom Ruinart Blanc De Blancs Extra Brut 2010 + Second Skin</t>
  </si>
  <si>
    <t>L6117900</t>
  </si>
  <si>
    <t>Louis Roederer Brut Collection 244</t>
  </si>
  <si>
    <t>L6124400</t>
  </si>
  <si>
    <t>Louis Roederer Brut Collection 244 + GB</t>
  </si>
  <si>
    <t>L6206400</t>
  </si>
  <si>
    <t>Louis Roederer Collection 244 + GB</t>
  </si>
  <si>
    <t>L6141100</t>
  </si>
  <si>
    <t>Louis Roederer Cristal Brut 2015 + GB</t>
  </si>
  <si>
    <t>L6141400</t>
  </si>
  <si>
    <t>Louis Roederer Rose 2016 + GB</t>
  </si>
  <si>
    <t>L6166000</t>
  </si>
  <si>
    <t>Lunae Colli Di Luni Vermentino DOC 2022 Etichetta Grigia</t>
  </si>
  <si>
    <t>L6167500</t>
  </si>
  <si>
    <t>Lunae Liguria di Levante Bianco IGT  2022 "LaBianca"</t>
  </si>
  <si>
    <t>L6167600</t>
  </si>
  <si>
    <t>Lunae Liguria di Levante Rosso IGT  2022 "Circvs''</t>
  </si>
  <si>
    <t>L6134600</t>
  </si>
  <si>
    <t>L6153600</t>
  </si>
  <si>
    <t>Ruinart Blanc de Blancs Second Skin</t>
  </si>
  <si>
    <t>L6000800</t>
  </si>
  <si>
    <t>Santa Maria La Palma Aragosta Rose DOC Alghero 2022</t>
  </si>
  <si>
    <t>L1298200</t>
  </si>
  <si>
    <t>Taittinger Brut Reserve + GB</t>
  </si>
  <si>
    <t>L0455100</t>
  </si>
  <si>
    <t>L6207000</t>
  </si>
  <si>
    <t>L6191800</t>
  </si>
  <si>
    <t>L6184300</t>
  </si>
  <si>
    <t>Veuve Clicquot Rose + GB</t>
  </si>
  <si>
    <t>L6140700</t>
  </si>
  <si>
    <t>Amrut Peated Cask Strength + Tin GB</t>
  </si>
  <si>
    <t>L0198700</t>
  </si>
  <si>
    <t>Andalö Original</t>
  </si>
  <si>
    <t>L0715200</t>
  </si>
  <si>
    <t>L6162700</t>
  </si>
  <si>
    <t>Arran 13 Years Private Cask Special Release No.1 + GB</t>
  </si>
  <si>
    <t>L6183400</t>
  </si>
  <si>
    <t>Au Vodka Cosmic Berries</t>
  </si>
  <si>
    <t>L2340400</t>
  </si>
  <si>
    <t>Au Vodka Fruit Punch</t>
  </si>
  <si>
    <t>L2561200</t>
  </si>
  <si>
    <t>Autentico Nativo Overproof</t>
  </si>
  <si>
    <t>L6140800</t>
  </si>
  <si>
    <t>Bacardi Reserva Ocho Rye Cask</t>
  </si>
  <si>
    <t>L1311100</t>
  </si>
  <si>
    <t>Bailoni Marillenlikör</t>
  </si>
  <si>
    <t>L6183900</t>
  </si>
  <si>
    <t>Balcones Texas Rum Pot Distilled</t>
  </si>
  <si>
    <t>L6151500</t>
  </si>
  <si>
    <t>Ballantines Finest Queen Edition</t>
  </si>
  <si>
    <t>L5342100</t>
  </si>
  <si>
    <t>Bladnoch Vinaya + GB</t>
  </si>
  <si>
    <t>L5439500</t>
  </si>
  <si>
    <t>Blanton's Gold Edition + GB</t>
  </si>
  <si>
    <t>L6184700</t>
  </si>
  <si>
    <t>Blanton's Straight From The Barrel + GB</t>
  </si>
  <si>
    <t>L6184400</t>
  </si>
  <si>
    <t>L6003900</t>
  </si>
  <si>
    <t>L5662400</t>
  </si>
  <si>
    <t>Bols Blueberry</t>
  </si>
  <si>
    <t>L5497500</t>
  </si>
  <si>
    <t>Bols The Very Old Fashioned</t>
  </si>
  <si>
    <t>L5788500</t>
  </si>
  <si>
    <t>Breiz'Ile Caramel Au Beurre Sale</t>
  </si>
  <si>
    <t>L5788400</t>
  </si>
  <si>
    <t>Breiz'Ile Gingembre &amp; Menthe Glaciale</t>
  </si>
  <si>
    <t>L6165900</t>
  </si>
  <si>
    <t>Brugal Visionaria Edition 1 + GB</t>
  </si>
  <si>
    <t>L6158200</t>
  </si>
  <si>
    <t>Bruichladdich Classic Laddie</t>
  </si>
  <si>
    <t>L6075500</t>
  </si>
  <si>
    <t>Brunswick Aces Diamonds Sapiir</t>
  </si>
  <si>
    <t>L5787400</t>
  </si>
  <si>
    <t>L6144500</t>
  </si>
  <si>
    <t>L5435300</t>
  </si>
  <si>
    <t>Bulleit 10 Years Lunch Box</t>
  </si>
  <si>
    <t>L5043800</t>
  </si>
  <si>
    <t>L6169900</t>
  </si>
  <si>
    <t>Bushmills Cognac Cask + GB</t>
  </si>
  <si>
    <t>L6169800</t>
  </si>
  <si>
    <t>Bushmills Jupille Cask + GB</t>
  </si>
  <si>
    <t>L6145300</t>
  </si>
  <si>
    <t>Captain Morgan Spiced Gold 0.0%</t>
  </si>
  <si>
    <t>L6170500</t>
  </si>
  <si>
    <t>Citadelle Rouge</t>
  </si>
  <si>
    <t>L6106400</t>
  </si>
  <si>
    <t>De Kuyper Coconut Sirup</t>
  </si>
  <si>
    <t>L6137900</t>
  </si>
  <si>
    <t>L6170900</t>
  </si>
  <si>
    <t>El Libertad 5 Years Freedom</t>
  </si>
  <si>
    <t>L6170800</t>
  </si>
  <si>
    <t>El Libertad Peppermint</t>
  </si>
  <si>
    <t>L5146200</t>
  </si>
  <si>
    <t>Four Pillars Modern Australian Gin</t>
  </si>
  <si>
    <t>L1719700</t>
  </si>
  <si>
    <t>Four Pillars Spiced Negroni</t>
  </si>
  <si>
    <t>L6190400</t>
  </si>
  <si>
    <t>Four Roses Small Batch + 2 Glasses</t>
  </si>
  <si>
    <t>L6204500</t>
  </si>
  <si>
    <t>Four Roses Small Batch Limited Edition 2023</t>
  </si>
  <si>
    <t>L6143500</t>
  </si>
  <si>
    <t>Ginarte Frida Kahlo</t>
  </si>
  <si>
    <t>L6088000</t>
  </si>
  <si>
    <t>Glenglassaugh Portsoy + GB</t>
  </si>
  <si>
    <t>L6107300</t>
  </si>
  <si>
    <t>Glenkinchie 27 Years Special Release 2023 + GB</t>
  </si>
  <si>
    <t>L6178200</t>
  </si>
  <si>
    <t>Gozio Amaretto + Glass</t>
  </si>
  <si>
    <t>L0940700</t>
  </si>
  <si>
    <t>L6163400</t>
  </si>
  <si>
    <t>Isfjord Premium Arctic Rum</t>
  </si>
  <si>
    <t>L6139800</t>
  </si>
  <si>
    <t>Jack Daniel's Apple + Highball Glass</t>
  </si>
  <si>
    <t>L6170200</t>
  </si>
  <si>
    <t>Jack Daniel's Honey + Alarm Clock</t>
  </si>
  <si>
    <t>L5024600</t>
  </si>
  <si>
    <t>L6136000</t>
  </si>
  <si>
    <t>Jagermeister Limited Edition Giftpack</t>
  </si>
  <si>
    <t>L6177100</t>
  </si>
  <si>
    <t>Jagermeister Spice Cinnamon &amp; Vanilla Blend</t>
  </si>
  <si>
    <t>L5358900</t>
  </si>
  <si>
    <t>Jura 18 Years + GB</t>
  </si>
  <si>
    <t>L6191600</t>
  </si>
  <si>
    <t>Kavalan Oloroso Sherry Cask + GB</t>
  </si>
  <si>
    <t>L5542100</t>
  </si>
  <si>
    <t>Kavalan Solist Ex Bourbon Cask + GB</t>
  </si>
  <si>
    <t>L5431800</t>
  </si>
  <si>
    <t>Labourdonnais Original Rum + GB</t>
  </si>
  <si>
    <t>L6162400</t>
  </si>
  <si>
    <t>Lagg Corriecravie + GB</t>
  </si>
  <si>
    <t>L6154100</t>
  </si>
  <si>
    <t>Laphroaig 34 Years The Ian Hunter Story Book 5 + GB</t>
  </si>
  <si>
    <t>L6152400</t>
  </si>
  <si>
    <t>Laphroaig Elements 1.0 + GB</t>
  </si>
  <si>
    <t>L6136100</t>
  </si>
  <si>
    <t>Licor 43 + 1 Glass</t>
  </si>
  <si>
    <t>L5937000</t>
  </si>
  <si>
    <t>Licor 43 + 2 Glasses</t>
  </si>
  <si>
    <t>L0492900</t>
  </si>
  <si>
    <t>Licor 43 Baristo</t>
  </si>
  <si>
    <t>L5249500</t>
  </si>
  <si>
    <t>L5165600</t>
  </si>
  <si>
    <t>Licor Beirao D'Honra + Glass</t>
  </si>
  <si>
    <t>L6188300</t>
  </si>
  <si>
    <t>Love Bermuda Paget Gin + GB</t>
  </si>
  <si>
    <t>L6188400</t>
  </si>
  <si>
    <t>Love Bermuda Warwick Gin + GB</t>
  </si>
  <si>
    <t>L2575400</t>
  </si>
  <si>
    <t>Luftbremzer Gin</t>
  </si>
  <si>
    <t>L6176900</t>
  </si>
  <si>
    <t>Mackmyra DNA + GB</t>
  </si>
  <si>
    <t>L6122100</t>
  </si>
  <si>
    <t>Mackmyra Identitet + GB</t>
  </si>
  <si>
    <t>L6159700</t>
  </si>
  <si>
    <t>L2403400</t>
  </si>
  <si>
    <t>L1745700</t>
  </si>
  <si>
    <t>Martin Miller's Westbourne Strength</t>
  </si>
  <si>
    <t>L5240500</t>
  </si>
  <si>
    <t>L5745400</t>
  </si>
  <si>
    <t>L5231600</t>
  </si>
  <si>
    <t>L5231800</t>
  </si>
  <si>
    <t>L5240700</t>
  </si>
  <si>
    <t>L5882200</t>
  </si>
  <si>
    <t>L2504700</t>
  </si>
  <si>
    <t>L5672500</t>
  </si>
  <si>
    <t>L5881600</t>
  </si>
  <si>
    <t>Monin Mangue</t>
  </si>
  <si>
    <t>L5882100</t>
  </si>
  <si>
    <t>Monin Peach</t>
  </si>
  <si>
    <t>L6185000</t>
  </si>
  <si>
    <t>L5745800</t>
  </si>
  <si>
    <t>Monin Rohrzucker</t>
  </si>
  <si>
    <t>L6185100</t>
  </si>
  <si>
    <t>L5231700</t>
  </si>
  <si>
    <t>L6136700</t>
  </si>
  <si>
    <t>Nona Ginger</t>
  </si>
  <si>
    <t>L5838300</t>
  </si>
  <si>
    <t>Nona Spritz</t>
  </si>
  <si>
    <t>L1398000</t>
  </si>
  <si>
    <t>Nonino Grappa Lo Chardonnay + GB</t>
  </si>
  <si>
    <t>L5438400</t>
  </si>
  <si>
    <t>Nonino Prosecco Barrique + GB</t>
  </si>
  <si>
    <t>L6120800</t>
  </si>
  <si>
    <t>Opkickertje Orange</t>
  </si>
  <si>
    <t>L6162900</t>
  </si>
  <si>
    <t>L6198300</t>
  </si>
  <si>
    <t>Port Askaig Cask Strength Small Batch 1 2023 Release</t>
  </si>
  <si>
    <t>L6175600</t>
  </si>
  <si>
    <t>Proclamation Irish Whiskey + 2 Glasses</t>
  </si>
  <si>
    <t>L6108900</t>
  </si>
  <si>
    <t>Proper No. Twelve Irish Apple Whiskey</t>
  </si>
  <si>
    <t>L1409100</t>
  </si>
  <si>
    <t>Raki Yeni + 2 Glasses</t>
  </si>
  <si>
    <t>L5296600</t>
  </si>
  <si>
    <t>Ron Miel Guanche Arehucas NRF</t>
  </si>
  <si>
    <t>L1585500</t>
  </si>
  <si>
    <t>Sazerac Rye</t>
  </si>
  <si>
    <t>L6184100</t>
  </si>
  <si>
    <t>Scarabus Batch Strength + GB</t>
  </si>
  <si>
    <t>L5355200</t>
  </si>
  <si>
    <t>Shankys Whip Black Irish Whisky Liqueur</t>
  </si>
  <si>
    <t>L6043900</t>
  </si>
  <si>
    <t>Skellig Six18 Gin</t>
  </si>
  <si>
    <t>L6197500</t>
  </si>
  <si>
    <t>Smokehead Islay Single Malt + Tin GB</t>
  </si>
  <si>
    <t>L6205600</t>
  </si>
  <si>
    <t>Sourz Watermelon</t>
  </si>
  <si>
    <t>L6151900</t>
  </si>
  <si>
    <t>Talisker 10 Years + 2 Glasses</t>
  </si>
  <si>
    <t>L6189200</t>
  </si>
  <si>
    <t>The Demon's Share 12 Years + GB</t>
  </si>
  <si>
    <t>L6172900</t>
  </si>
  <si>
    <t>The Gardener Gin by Brad Pitt</t>
  </si>
  <si>
    <t>L2159000</t>
  </si>
  <si>
    <t>The Glendronach Cask Strength - Batch 8 + GB</t>
  </si>
  <si>
    <t>L5986100</t>
  </si>
  <si>
    <t>The Glendronach Cask Strength Batch 12 + GB</t>
  </si>
  <si>
    <t>L5112500</t>
  </si>
  <si>
    <t>The Glendronach Cask Strength Batch 9 + GB</t>
  </si>
  <si>
    <t>L6141300</t>
  </si>
  <si>
    <t>The Macallan Harmony Amber Meadow + GB</t>
  </si>
  <si>
    <t>L6141500</t>
  </si>
  <si>
    <t>The Macallan James Bond 60th Anniversary Decade I + GB</t>
  </si>
  <si>
    <t>L6141700</t>
  </si>
  <si>
    <t>The Macallan James Bond 60th Anniversary Decade II + GB</t>
  </si>
  <si>
    <t>L6141800</t>
  </si>
  <si>
    <t>The Macallan James Bond 60th Anniversary Decade III + GB</t>
  </si>
  <si>
    <t>L6195500</t>
  </si>
  <si>
    <t>The Six Isles Batch Strength + GB</t>
  </si>
  <si>
    <t>L1331400</t>
  </si>
  <si>
    <t>Tunel Hierbas Mezcladas</t>
  </si>
  <si>
    <t>L6039100</t>
  </si>
  <si>
    <t>Two Shores Rum Amarone Finish</t>
  </si>
  <si>
    <t>L2229400</t>
  </si>
  <si>
    <t>Uncle Nearest 1856</t>
  </si>
  <si>
    <t>L5502000</t>
  </si>
  <si>
    <t>Uncle Nearest 1884 Small Batch</t>
  </si>
  <si>
    <t>L0508400</t>
  </si>
  <si>
    <t>Villa Massa Limoncello + 2 Glasses</t>
  </si>
  <si>
    <t>L1116700</t>
  </si>
  <si>
    <t>Vording's Gin</t>
  </si>
  <si>
    <t>L5178700</t>
  </si>
  <si>
    <t>Waterford Hook Head 1.1 + GB</t>
  </si>
  <si>
    <t>L6170300</t>
  </si>
  <si>
    <t>L6201600</t>
  </si>
  <si>
    <t>L0701500</t>
  </si>
  <si>
    <t>L1189400</t>
  </si>
  <si>
    <t>Angostura White Reserva 3 Years</t>
  </si>
  <si>
    <t>L1845600</t>
  </si>
  <si>
    <t>Ciroc Summer Watermelon</t>
  </si>
  <si>
    <t>L6116500</t>
  </si>
  <si>
    <t>Dead Man's Fingers Lime</t>
  </si>
  <si>
    <t>L6206000</t>
  </si>
  <si>
    <t>Dead Man's Fingers Passion Fruit</t>
  </si>
  <si>
    <t>L5924200</t>
  </si>
  <si>
    <t>Greenalls Original Paper Bottle London Dry Gin</t>
  </si>
  <si>
    <t>L6190200</t>
  </si>
  <si>
    <t>Puerto De Indias Gin Strawberry &amp; Love Valentine's Day</t>
  </si>
  <si>
    <t>L2583400</t>
  </si>
  <si>
    <t>Reynolds Brother London Dry Gin</t>
  </si>
  <si>
    <t>L2584800</t>
  </si>
  <si>
    <t>Sharuska Vodka Orange</t>
  </si>
  <si>
    <t>L2584700</t>
  </si>
  <si>
    <t>Sharuska Vodka Strawberry</t>
  </si>
  <si>
    <t>L6166800</t>
  </si>
  <si>
    <t>Absolut Pears</t>
  </si>
  <si>
    <t>L6140600</t>
  </si>
  <si>
    <t>Barcelo Imperial Onyx + 2 Glasses</t>
  </si>
  <si>
    <t>L6159000</t>
  </si>
  <si>
    <t>L6182200</t>
  </si>
  <si>
    <t>Metaxa 5* Greek Orange</t>
  </si>
  <si>
    <t>L5487100</t>
  </si>
  <si>
    <t>Rooster Rojo Blanco</t>
  </si>
  <si>
    <t>L6144100</t>
  </si>
  <si>
    <t>AnCnoc Peatheart + GB</t>
  </si>
  <si>
    <t>L6151700</t>
  </si>
  <si>
    <t>Ardbeg 13 Years Anthology The Harpy’s Tale</t>
  </si>
  <si>
    <t>L6101100</t>
  </si>
  <si>
    <t>Ardbeg 13 Years Anthology The Harpy’s Tale + GB</t>
  </si>
  <si>
    <t>L6173500</t>
  </si>
  <si>
    <t>Arran 17 Years  + GB</t>
  </si>
  <si>
    <t>L6184000</t>
  </si>
  <si>
    <t>Arran Machrie Moor 10 Years + GB</t>
  </si>
  <si>
    <t>L6162600</t>
  </si>
  <si>
    <t>Arran Signature Series Edition 1 + Bag</t>
  </si>
  <si>
    <t>L1469200</t>
  </si>
  <si>
    <t>Balblair 18 Years + GB</t>
  </si>
  <si>
    <t>L6138100</t>
  </si>
  <si>
    <t>Benromach Air Dried + GB</t>
  </si>
  <si>
    <t>L6138200</t>
  </si>
  <si>
    <t>Benromach Kiln Dried + GB</t>
  </si>
  <si>
    <t>L6196700</t>
  </si>
  <si>
    <t>Benromach Peat Smoke 2012/2022 + GB</t>
  </si>
  <si>
    <t>L6169700</t>
  </si>
  <si>
    <t>Caisteal Chamuis 12 Years Sherry Malt Whisky + GB</t>
  </si>
  <si>
    <t>L6169600</t>
  </si>
  <si>
    <t>Caisteal Chamuis Bourbon Blended Malt Whisky + GB</t>
  </si>
  <si>
    <t>L5002700</t>
  </si>
  <si>
    <t>Finlaggan Red Wine Cask Matured + GB</t>
  </si>
  <si>
    <t>L5887000</t>
  </si>
  <si>
    <t>Fortaleza Blanco Still Strength</t>
  </si>
  <si>
    <t>L6152300</t>
  </si>
  <si>
    <t>Glenmorangie A Tale Of Tokyo</t>
  </si>
  <si>
    <t>L1518400</t>
  </si>
  <si>
    <t>Highland Park 18 Years Dark Viking Pride + GB</t>
  </si>
  <si>
    <t>L0563000</t>
  </si>
  <si>
    <t>Kavalan King Car Conductor + GB</t>
  </si>
  <si>
    <t>L6162300</t>
  </si>
  <si>
    <t>Lagg Kilmory + GB</t>
  </si>
  <si>
    <t>L6884600</t>
  </si>
  <si>
    <t>Old Pulteney Coastal Series Pineau Des Charentes + GB</t>
  </si>
  <si>
    <t>L6144000</t>
  </si>
  <si>
    <t>L0835600</t>
  </si>
  <si>
    <t>Old Pulteney Huddart + GB</t>
  </si>
  <si>
    <t>L6135100</t>
  </si>
  <si>
    <t>Rammstein Rum Cognac Cask Edition</t>
  </si>
  <si>
    <t>L5797800</t>
  </si>
  <si>
    <t>Scarabus 10 Years Islay Single Malt + GB</t>
  </si>
  <si>
    <t>L5069100</t>
  </si>
  <si>
    <t>Scarabus Islay Single Malt + GB</t>
  </si>
  <si>
    <t>L6077100</t>
  </si>
  <si>
    <t>Abasolo Mexican Corn</t>
  </si>
  <si>
    <t>L5771600</t>
  </si>
  <si>
    <t>Aberfeldy 18 Years Bolgheri Tuscan Cask Finish + GB</t>
  </si>
  <si>
    <t>L6120200</t>
  </si>
  <si>
    <t>Abuelo XII Three Angels + GB</t>
  </si>
  <si>
    <t>L6121800</t>
  </si>
  <si>
    <t>L6159600</t>
  </si>
  <si>
    <t>Ancnoc Sherry Peated + GB</t>
  </si>
  <si>
    <t>L5560500</t>
  </si>
  <si>
    <t>Antiquary 15 Years + GB</t>
  </si>
  <si>
    <t>L0878500</t>
  </si>
  <si>
    <t>Appleton Estate 21 Years + GB</t>
  </si>
  <si>
    <t>L6172500</t>
  </si>
  <si>
    <t>Caol Ila Distillers Edition 2023 + GB</t>
  </si>
  <si>
    <t>L5981100</t>
  </si>
  <si>
    <t>Compass Box The Story Of The Spaniard</t>
  </si>
  <si>
    <t>L0352100</t>
  </si>
  <si>
    <t>Glen Breton 10 Years Single Malt + GB</t>
  </si>
  <si>
    <t>L5002200</t>
  </si>
  <si>
    <t>Glenfiddich 14 Years Bourbon Barrel Reserve + GB</t>
  </si>
  <si>
    <t>L1645300</t>
  </si>
  <si>
    <t>Jack Daniel's Master Distiller No.6 + GB</t>
  </si>
  <si>
    <t>L5678700</t>
  </si>
  <si>
    <t>L6143100</t>
  </si>
  <si>
    <t>Knockando 18 Years + 2 Glasses</t>
  </si>
  <si>
    <t>L2634900</t>
  </si>
  <si>
    <t>Lagavulin 16 Years</t>
  </si>
  <si>
    <t>L6188200</t>
  </si>
  <si>
    <t>Love Bermuda Sea Venture Rum</t>
  </si>
  <si>
    <t>L2578600</t>
  </si>
  <si>
    <t>Moletto Tomato Gin</t>
  </si>
  <si>
    <t>L1576000</t>
  </si>
  <si>
    <t>L6159500</t>
  </si>
  <si>
    <t>Onikishi Blended Whisky + GB</t>
  </si>
  <si>
    <t>L6183200</t>
  </si>
  <si>
    <t>L6199800</t>
  </si>
  <si>
    <t>The Macallan A Night On Earth III The Journey 2023 + GB</t>
  </si>
  <si>
    <t>L6139300</t>
  </si>
  <si>
    <t>The Wild Geese Rare Irish Whiskey</t>
  </si>
  <si>
    <t>L2168300</t>
  </si>
  <si>
    <t>The Wild Geese Single Malt + GB</t>
  </si>
  <si>
    <t>L6039000</t>
  </si>
  <si>
    <t>Two Shores Rum Single Malt Finish</t>
  </si>
  <si>
    <t>L6152200</t>
  </si>
  <si>
    <t>Zacapa Edicion Negra + 2 Glasses</t>
  </si>
  <si>
    <t>L6153100</t>
  </si>
  <si>
    <t>L0616300</t>
  </si>
  <si>
    <t>L5308900</t>
  </si>
  <si>
    <t>Hankey Bannister NRF</t>
  </si>
  <si>
    <t>L5987800</t>
  </si>
  <si>
    <t>Hennessy VSOP + GB</t>
  </si>
  <si>
    <t>L6145000</t>
  </si>
  <si>
    <t>Jack Daniel's McLaren X JD Limited Edition 2023 + GB</t>
  </si>
  <si>
    <t>L6207400</t>
  </si>
  <si>
    <t>L6164300</t>
  </si>
  <si>
    <t>L2412400</t>
  </si>
  <si>
    <t>L0659300</t>
  </si>
  <si>
    <t>L1388900</t>
  </si>
  <si>
    <t>L1392700</t>
  </si>
  <si>
    <t>L5135100</t>
  </si>
  <si>
    <t>L6201400</t>
  </si>
  <si>
    <t>Myers Rum Original Dark</t>
  </si>
  <si>
    <t>L1774300</t>
  </si>
  <si>
    <t>L6164900</t>
  </si>
  <si>
    <t>Adiccion Tequila Anejo</t>
  </si>
  <si>
    <t>L6164800</t>
  </si>
  <si>
    <t>Adiccion Tequila Reposado</t>
  </si>
  <si>
    <t>L2496000</t>
  </si>
  <si>
    <t>L6153300</t>
  </si>
  <si>
    <t>Dewar's 8 Years Caribbean Smooth + GB</t>
  </si>
  <si>
    <t>L5186100</t>
  </si>
  <si>
    <t>Dr. Squid Gin</t>
  </si>
  <si>
    <t>L0631500</t>
  </si>
  <si>
    <t>L2048800</t>
  </si>
  <si>
    <t>Grant's NRF</t>
  </si>
  <si>
    <t>L0553900</t>
  </si>
  <si>
    <t>L2660900</t>
  </si>
  <si>
    <t>L1562300</t>
  </si>
  <si>
    <t>Loch Lomond Reserve</t>
  </si>
  <si>
    <t>L5774300</t>
  </si>
  <si>
    <t>Martell Cordon Bleu</t>
  </si>
  <si>
    <t>L6189700</t>
  </si>
  <si>
    <t>Mermaid All Spirits Trio Set Miniature</t>
  </si>
  <si>
    <t>L6203100</t>
  </si>
  <si>
    <t>L0698400</t>
  </si>
  <si>
    <t>L5220000</t>
  </si>
  <si>
    <t>L1709900</t>
  </si>
  <si>
    <t>L5495300</t>
  </si>
  <si>
    <t>L5480500</t>
  </si>
  <si>
    <t>L1730000</t>
  </si>
  <si>
    <t>Grey Goose Mini</t>
  </si>
  <si>
    <t>L6042500</t>
  </si>
  <si>
    <t>L5096000</t>
  </si>
  <si>
    <t>L6201700</t>
  </si>
  <si>
    <t>L6170600</t>
  </si>
  <si>
    <t>Plantation XO 20Th Anniversary</t>
  </si>
  <si>
    <t>L5974000</t>
  </si>
  <si>
    <t>L5970500</t>
  </si>
  <si>
    <t>L1881600</t>
  </si>
  <si>
    <t>L6160300</t>
  </si>
  <si>
    <t>Unicum Zwack PET</t>
  </si>
  <si>
    <t>L5597700</t>
  </si>
  <si>
    <t>Vita Dulcis Advent Calendar Rum Classic</t>
  </si>
  <si>
    <t>L1149300</t>
  </si>
  <si>
    <t>Aberlour 12 Years Double Cask</t>
  </si>
  <si>
    <t>L0740300</t>
  </si>
  <si>
    <t>Balvenie 21 Years PortWood + GB</t>
  </si>
  <si>
    <t>L0909300</t>
  </si>
  <si>
    <t>Crystal Head + 4 Shotglasses</t>
  </si>
  <si>
    <t>L6158500</t>
  </si>
  <si>
    <t>Don Papa Baroko + Glass</t>
  </si>
  <si>
    <t>L5855200</t>
  </si>
  <si>
    <t>Frapin Extra + GB</t>
  </si>
  <si>
    <t>L5854500</t>
  </si>
  <si>
    <t>Glenfiddich 15 Years Solera + 2 Glasses</t>
  </si>
  <si>
    <t>L5472400</t>
  </si>
  <si>
    <t>Johnnie Walker Blue CN NY ED. 2022 Year Of The Tiger + GB</t>
  </si>
  <si>
    <t>L6108200</t>
  </si>
  <si>
    <t>Johnnie Walker Blue Label CNY Year Of The Wood Dragon + GB</t>
  </si>
  <si>
    <t>L6143400</t>
  </si>
  <si>
    <t>Mamont Vodka + 2 Shotglasses</t>
  </si>
  <si>
    <t>L0589400</t>
  </si>
  <si>
    <t>L6194800</t>
  </si>
  <si>
    <t>Ron Millonario 15 Years</t>
  </si>
  <si>
    <t>L5108500</t>
  </si>
  <si>
    <t>L6195100</t>
  </si>
  <si>
    <t>Zacapa XO + 2 Glasses</t>
  </si>
  <si>
    <t>L6155700</t>
  </si>
  <si>
    <t>Advent Whisky Calendar Tour of Scotland 2nd Edition</t>
  </si>
  <si>
    <t>L6001400</t>
  </si>
  <si>
    <t>L6163200</t>
  </si>
  <si>
    <t>Appleton Estate 12 Years + 2 Glasses</t>
  </si>
  <si>
    <t>L6168900</t>
  </si>
  <si>
    <t>Au Vodka Miniatures Set</t>
  </si>
  <si>
    <t>L5434100</t>
  </si>
  <si>
    <t>Balvenie 25 Years Rare Marriages +GB</t>
  </si>
  <si>
    <t>L5107400</t>
  </si>
  <si>
    <t>Bobby's Schiedam Dry Gin Mini</t>
  </si>
  <si>
    <t>L5283600</t>
  </si>
  <si>
    <t>L5873400</t>
  </si>
  <si>
    <t>L6136300</t>
  </si>
  <si>
    <t>Bowmore 29 Years Timeless Series + GB</t>
  </si>
  <si>
    <t>L6194900</t>
  </si>
  <si>
    <t>Bushmills 25 Years + GB</t>
  </si>
  <si>
    <t>L6191700</t>
  </si>
  <si>
    <t>L1846900</t>
  </si>
  <si>
    <t>Captain Morgan Spiced + Pump</t>
  </si>
  <si>
    <t>L6065600</t>
  </si>
  <si>
    <t>Crodino Biondo</t>
  </si>
  <si>
    <t>L5876800</t>
  </si>
  <si>
    <t>Dom Perignon Brut Vintage 2012</t>
  </si>
  <si>
    <t>L5383400</t>
  </si>
  <si>
    <t>Emporia Dry Gin</t>
  </si>
  <si>
    <t>L5740800</t>
  </si>
  <si>
    <t>Engine Pure Organic Gin Giftset</t>
  </si>
  <si>
    <t>L5958000</t>
  </si>
  <si>
    <t>Fever-Tree Sparkling Grapefruit</t>
  </si>
  <si>
    <t>L5855000</t>
  </si>
  <si>
    <t>Frapin Multimilesime 1989-1991-1993 + GB</t>
  </si>
  <si>
    <t>L5738000</t>
  </si>
  <si>
    <t>L5611700</t>
  </si>
  <si>
    <t>Ice Ball Mold (Whisky Ice Ball Maker)</t>
  </si>
  <si>
    <t>L5977300</t>
  </si>
  <si>
    <t>L2529000</t>
  </si>
  <si>
    <t>L5892300</t>
  </si>
  <si>
    <t>Jagermeister Disco Lamp</t>
  </si>
  <si>
    <t>L1341900</t>
  </si>
  <si>
    <t>Jagermeister Mini</t>
  </si>
  <si>
    <t>L6090900</t>
  </si>
  <si>
    <t>L6103100</t>
  </si>
  <si>
    <t>Jinro Soju Peach</t>
  </si>
  <si>
    <t>L6103000</t>
  </si>
  <si>
    <t>L6102800</t>
  </si>
  <si>
    <t>L6202100</t>
  </si>
  <si>
    <t>L6108300</t>
  </si>
  <si>
    <t>Johnnie Walker Blue Label Elusive Umami + GB</t>
  </si>
  <si>
    <t>L6209200</t>
  </si>
  <si>
    <t>Le Tribute Mezcal</t>
  </si>
  <si>
    <t>L6176800</t>
  </si>
  <si>
    <t>Louis Roederer Cristal Rose 2014 + GB</t>
  </si>
  <si>
    <t>L6201900</t>
  </si>
  <si>
    <t>Love Bermuda The Story Of Our Gift Book Gin Miniatures</t>
  </si>
  <si>
    <t>L6207800</t>
  </si>
  <si>
    <t>Love Bermuda The Story Of Our Giftbook</t>
  </si>
  <si>
    <t>L6182700</t>
  </si>
  <si>
    <t>L6182800</t>
  </si>
  <si>
    <t>L6183300</t>
  </si>
  <si>
    <t>L0674700</t>
  </si>
  <si>
    <t>Midleton Barry Crockett Legacy + GB</t>
  </si>
  <si>
    <t>L5847600</t>
  </si>
  <si>
    <t>Moet &amp; Chandon Brut Imperial + Wooden GB</t>
  </si>
  <si>
    <t>L2417100</t>
  </si>
  <si>
    <t>Moet &amp; Chandon Brut Imperial Golden Light up</t>
  </si>
  <si>
    <t>L1278800</t>
  </si>
  <si>
    <t>Moet &amp; Chandon Brut Imperial Magnum + GB</t>
  </si>
  <si>
    <t>L5632800</t>
  </si>
  <si>
    <t>L5982900</t>
  </si>
  <si>
    <t>Mom Royal Smoothness + Balloon Glass</t>
  </si>
  <si>
    <t>L6209100</t>
  </si>
  <si>
    <t>Nomad Outland Whisky Single Malt Triple Distilled</t>
  </si>
  <si>
    <t>L5766400</t>
  </si>
  <si>
    <t>L6198500</t>
  </si>
  <si>
    <t>L5462800</t>
  </si>
  <si>
    <t>Piper Heidsieck Cuvee Brut + 2 Glasses</t>
  </si>
  <si>
    <t>L6177300</t>
  </si>
  <si>
    <t>Piper Heidsieck Cuvee Rose + 2 Glasses</t>
  </si>
  <si>
    <t>L6016700</t>
  </si>
  <si>
    <t>Rammstein Stout BA</t>
  </si>
  <si>
    <t>L6137800</t>
  </si>
  <si>
    <t>San Felice Chianti Classico Riserva DOCG Il Grigio 2019</t>
  </si>
  <si>
    <t>L5363100</t>
  </si>
  <si>
    <t>L5898000</t>
  </si>
  <si>
    <t>The Botanist Dry Gin + Glass</t>
  </si>
  <si>
    <t>L6022500</t>
  </si>
  <si>
    <t>L6166700</t>
  </si>
  <si>
    <t>L2528500</t>
  </si>
  <si>
    <t>L5827900</t>
  </si>
  <si>
    <t>L2590100</t>
  </si>
  <si>
    <t>Vita Dulcis Advent Calendar Gin Classic</t>
  </si>
  <si>
    <t>L6154700</t>
  </si>
  <si>
    <t>Vita Dulcis Advent Calendar Gin Premium</t>
  </si>
  <si>
    <t>L5597600</t>
  </si>
  <si>
    <t>Vita Dulcis Advent Calendar Premium Rum</t>
  </si>
  <si>
    <t>L6154400</t>
  </si>
  <si>
    <t>Vita Dulcis Advent Calendar Rum Premium</t>
  </si>
  <si>
    <t>L2590500</t>
  </si>
  <si>
    <t>Vita Dulcis Advent Calendar Whisky Classic</t>
  </si>
  <si>
    <t>L5999100</t>
  </si>
  <si>
    <t>Vita Dulcis Advent Calendar Whisky International</t>
  </si>
  <si>
    <t>L5604700</t>
  </si>
  <si>
    <t>Vita Dulcis Advent Calendar Whisky Irish</t>
  </si>
  <si>
    <t>L6154300</t>
  </si>
  <si>
    <t>Vita Dulcis Advent Calendar Whisky Japan</t>
  </si>
  <si>
    <t>L6177800</t>
  </si>
  <si>
    <t>L5388800</t>
  </si>
  <si>
    <t>L5965000</t>
  </si>
  <si>
    <t>Bombay Sapphire Gin &amp; Tonic Deposit</t>
  </si>
  <si>
    <t>L6042300</t>
  </si>
  <si>
    <t>Brothers Cider Raspberry</t>
  </si>
  <si>
    <t>L6167900</t>
  </si>
  <si>
    <t>L6036400</t>
  </si>
  <si>
    <t>L6069900</t>
  </si>
  <si>
    <t>L5223900</t>
  </si>
  <si>
    <t>Luxardo The Original Maraschino Cherries</t>
  </si>
  <si>
    <t>L1817200</t>
  </si>
  <si>
    <t>L6122700</t>
  </si>
  <si>
    <t>Malfy Gin Mini</t>
  </si>
  <si>
    <t>L6188600</t>
  </si>
  <si>
    <t>Mermaid Spiced Rum Mini</t>
  </si>
  <si>
    <t>L6139200</t>
  </si>
  <si>
    <t>Motorhead Road Crew Cans</t>
  </si>
  <si>
    <t>L5428400</t>
  </si>
  <si>
    <t>Pink 47 Gin Baubles (3x5Cl)</t>
  </si>
  <si>
    <t>L6152700</t>
  </si>
  <si>
    <t>L0586000</t>
  </si>
  <si>
    <t>L2141100</t>
  </si>
  <si>
    <t>Shinobu Blended + GB</t>
  </si>
  <si>
    <t>L6092700</t>
  </si>
  <si>
    <t>Sierra Reposado PET</t>
  </si>
  <si>
    <t>L5834300</t>
  </si>
  <si>
    <t>Tenjaku Pure Malt Whiskey + GB</t>
  </si>
  <si>
    <t>L5873300</t>
  </si>
  <si>
    <t>Vita Dulcis Tasting Box Rum Special Taste</t>
  </si>
  <si>
    <t>L5873200</t>
  </si>
  <si>
    <t>Vita Dulcis Tasting Box Whisky Fruity &amp; Delicious</t>
  </si>
  <si>
    <t>L5873100</t>
  </si>
  <si>
    <t>Vita Dulcis Tasting Box Whisky Japan Edition 1</t>
  </si>
  <si>
    <t>L5872700</t>
  </si>
  <si>
    <t>Vita Dulcis Tasting Box World Class Gin Edition 1</t>
  </si>
  <si>
    <t>L5898500</t>
  </si>
  <si>
    <t>L6196300</t>
  </si>
  <si>
    <t>L5396100</t>
  </si>
  <si>
    <t>Brugal Anejo Superior NRF</t>
  </si>
  <si>
    <t>L6137600</t>
  </si>
  <si>
    <t>Dimple 15 Years</t>
  </si>
  <si>
    <t>L5094000</t>
  </si>
  <si>
    <t>Fundador Pedro Domecq</t>
  </si>
  <si>
    <t>L5771000</t>
  </si>
  <si>
    <t>Glenfiddich Perpetual Collection Vat 2  + GB</t>
  </si>
  <si>
    <t>L5507700</t>
  </si>
  <si>
    <t>L0507600</t>
  </si>
  <si>
    <t>CM13P6 - COMPLOT 1/3 SR PACK CESTA 2X3</t>
  </si>
  <si>
    <t>EC13LTNN - DAURA DAMM 1/3 LATA</t>
  </si>
  <si>
    <t>DM13P6 - DAURA MARZEN 1/3SR CESTA ABIERTA 2X3</t>
  </si>
  <si>
    <t>XI11SRB6 - XIBECA 1/1 SR BANDEJA 6U.</t>
  </si>
  <si>
    <t>Casse</t>
  </si>
  <si>
    <t>Q.tà</t>
  </si>
  <si>
    <t>Nomencl.</t>
  </si>
  <si>
    <t>ID134N - INEDIT DAMM 1/3 SR CESTA AB. 4U. INTL.</t>
  </si>
  <si>
    <t>DL13SIN - DAMM LEMON 1/3 SR CAJA 24U. INTL.</t>
  </si>
  <si>
    <t>CM20I - COMPLOT BARRIL 20L. INTL.</t>
  </si>
  <si>
    <t>ID20I - INEDIT DAMM BARRIL 20L INTL.</t>
  </si>
  <si>
    <t>EX134WN - ESTRELLA DAMM BCN 4,6 1/3SR CJ6P4 EANPHT</t>
  </si>
  <si>
    <t>EX13L24B - ESTRELLA DAMM BCN 4,6 1/3 LATA BANDEJA24</t>
  </si>
  <si>
    <t>ED30I - ESTRELLA DAMM BARRIL 30 EU.</t>
  </si>
  <si>
    <t>ED14P6 - ESTRELLA DAMM 1/4 PACK 6U.</t>
  </si>
  <si>
    <t>DESTINAZIONE</t>
  </si>
  <si>
    <t>RIGA 1</t>
  </si>
  <si>
    <t xml:space="preserve">RIGA2 </t>
  </si>
  <si>
    <t>ALBENGA</t>
  </si>
  <si>
    <t>EREDI PEIRANO SAS C/O CAGNOLO TRASPORTI</t>
  </si>
  <si>
    <t>VIA BENESSA, 14 - 17035 CISANO SUL NEVA (SV)</t>
  </si>
  <si>
    <t>ARPAISE</t>
  </si>
  <si>
    <t>EURODRINKS DISTRIBUZIONE SRL</t>
  </si>
  <si>
    <t>VIA PROV. ARPAISE- 82010 ARPAISE   (BN)</t>
  </si>
  <si>
    <t>ARQUA' POLESINE</t>
  </si>
  <si>
    <t>MAG. GENERI VARI ROVIGO (MGR)</t>
  </si>
  <si>
    <t>VIA MAESTRI DEL LAVORO 990 - 45031 ARQUA' POLESINE (RO)</t>
  </si>
  <si>
    <t>BASIANO</t>
  </si>
  <si>
    <t>RIALTO SRL</t>
  </si>
  <si>
    <t>VIA ALFIERI N. 1 - 20060 BASIANO (MI)</t>
  </si>
  <si>
    <t xml:space="preserve">BIANCONESE </t>
  </si>
  <si>
    <t>REALCO CEDI DISCOUNT</t>
  </si>
  <si>
    <t>VIA STOCCOLMA, 6 - 43010 BIANCONESE DI FONTEVIVO (PR)</t>
  </si>
  <si>
    <t xml:space="preserve">BIANDRATE </t>
  </si>
  <si>
    <t>ESSELUNGA DI BIANDRATE</t>
  </si>
  <si>
    <t>STRADA PROV.BIANDRATE RECETTO 15/B-28061 BIANDRATE (NO)</t>
  </si>
  <si>
    <t>BUSSOLENGO</t>
  </si>
  <si>
    <t>MIGROSS SPA</t>
  </si>
  <si>
    <t>VIA P.VASSANELLI ,21/23-37012 BUSSOLENGO (VR)</t>
  </si>
  <si>
    <t>CALCIO</t>
  </si>
  <si>
    <t>AGORA' NETWOKR SCARL C/O ITALTRANS SPA</t>
  </si>
  <si>
    <t>VIA MAESTRI DEL LAVORO ,2-24054 CALCIO (BG)</t>
  </si>
  <si>
    <t>CAMERANO</t>
  </si>
  <si>
    <t>ADRIATICO DISTRIBUZIONE SRL DEPOSITO DI CAMERANO (AN)</t>
  </si>
  <si>
    <t>VIA ABBADIA DIRETTISSIMA DEL CONERO - 30021 CAMERANO (AN)</t>
  </si>
  <si>
    <t>CAPURSO</t>
  </si>
  <si>
    <t>BEVEREASY SRL</t>
  </si>
  <si>
    <t>VIA LA LENZA 18/B Z.I.-70010 CAPURSO (BA)</t>
  </si>
  <si>
    <t xml:space="preserve">CARMIGNANO </t>
  </si>
  <si>
    <t>MAVOLO ANTONIO SRL</t>
  </si>
  <si>
    <t>VIALE EUROPA 42/C,35010 CARMIGNANO DI BRENTA (PD)</t>
  </si>
  <si>
    <t>CASIRATE D'ADDA</t>
  </si>
  <si>
    <t>IPER MONTEBELLO SPA CE. DI CASIRATE</t>
  </si>
  <si>
    <t>VIA GIOACCHINO ROSSINI snc - 24040 CASIRATE D'ADDA (BG)</t>
  </si>
  <si>
    <t xml:space="preserve">CEREA </t>
  </si>
  <si>
    <t>MMG MAG.GV PALESELLA</t>
  </si>
  <si>
    <t>VIA PALESELLA UCITA CEREA VIA MOTTA 37053 CEREA (VR)</t>
  </si>
  <si>
    <t>CESENATICO</t>
  </si>
  <si>
    <t>FA.PI. DISTRIBUZIONE SRL</t>
  </si>
  <si>
    <t>VIA CAPANNAGUZZO, 16</t>
  </si>
  <si>
    <t>CHIETI</t>
  </si>
  <si>
    <t>ADRIATICO DISTRIBUZIONE SRL</t>
  </si>
  <si>
    <t>VIA PENNE, 153 - 68100 CHIETI (CH)</t>
  </si>
  <si>
    <t xml:space="preserve">CISANO </t>
  </si>
  <si>
    <t>CITTA' DI CASTELLO</t>
  </si>
  <si>
    <t xml:space="preserve">CODOGNO </t>
  </si>
  <si>
    <t>C/O DEP. AF.ZUST AMBROSETTI CODOGNO</t>
  </si>
  <si>
    <t>VIA TOGLIATTI N.6-8 ZONA MIRANDOLINA-26845 CODOGNO (LO)</t>
  </si>
  <si>
    <t xml:space="preserve">CUSAGO </t>
  </si>
  <si>
    <t>C/O DEP. AF.ZUST AMBROSETTI CUSAGO</t>
  </si>
  <si>
    <t>VIALE EUROPA, 50 - 20047 CUSAGO (MI)</t>
  </si>
  <si>
    <t xml:space="preserve">DUEVILLE </t>
  </si>
  <si>
    <t>UNICOM SRL "DUEVILLE"</t>
  </si>
  <si>
    <t>VIA E.MATTEI, 46 - 36031 DUEVILLE(VI)</t>
  </si>
  <si>
    <t xml:space="preserve">FRANCAVILLA </t>
  </si>
  <si>
    <t>ARGENTIERI DISTRIBUZIONI SRL</t>
  </si>
  <si>
    <t>CASH&amp;CARRY CONTRADA POLILLO SN-72021 FRANCAVILLA FONTANA (BR)</t>
  </si>
  <si>
    <t xml:space="preserve">LANDRIANO </t>
  </si>
  <si>
    <t>ALDI SRL</t>
  </si>
  <si>
    <t>VIA STANISLAO INTINI 7 - 27015 LANDRIANO (PV)</t>
  </si>
  <si>
    <t>LAVELLO</t>
  </si>
  <si>
    <t>LACEDRA MICHELE</t>
  </si>
  <si>
    <t>VIA MILANO, 90 - 85024 LAVELLO (PZ)</t>
  </si>
  <si>
    <t>LEINI</t>
  </si>
  <si>
    <t>C/O DEP. COSENZA SRL</t>
  </si>
  <si>
    <t>VIA DE GASPERI,1 - 10010 -LEINI' (TO)</t>
  </si>
  <si>
    <t>MASSALENGO 1</t>
  </si>
  <si>
    <t>MASSALENGO 2</t>
  </si>
  <si>
    <t>MASSALENGO 3</t>
  </si>
  <si>
    <t>MASSALENGO 4</t>
  </si>
  <si>
    <t xml:space="preserve">MILANO </t>
  </si>
  <si>
    <t>F.LLI GREGORINI SRL</t>
  </si>
  <si>
    <t>VIA EMPEDOCLE ,5-20128 MILANO (MI)</t>
  </si>
  <si>
    <t>MONASTIR 1</t>
  </si>
  <si>
    <t>CONAD NORD OVEST MONASTIR GV</t>
  </si>
  <si>
    <t>VIA GEMILIANO S.S. 131 LOC. SUFRANGU - 09023 MONASTIR (CA)</t>
  </si>
  <si>
    <t>MONASTIR 2</t>
  </si>
  <si>
    <t xml:space="preserve">MOTTA DI LIVENZA </t>
  </si>
  <si>
    <t>SUPERMERCARTI VISOTTO SRL</t>
  </si>
  <si>
    <t>VIA GHERSO 16A-31045 MOTTA DI LIVENZA(TV)</t>
  </si>
  <si>
    <t xml:space="preserve">MOZZECANE </t>
  </si>
  <si>
    <t>LOGIST BEVANDE ROSSETTO</t>
  </si>
  <si>
    <t>VIA I° MAGGIO -37060 MOZZECANE (VR)</t>
  </si>
  <si>
    <t xml:space="preserve">OPPEANO </t>
  </si>
  <si>
    <t>VIA DOLOMITI, 10 CA' DEGLI OPPI - 37050 OPPEANO (VR)</t>
  </si>
  <si>
    <t xml:space="preserve">ORIGGIO </t>
  </si>
  <si>
    <t>BENNET SPA DEPOSITO FOOD</t>
  </si>
  <si>
    <t>VIA PER LAINATE -21040 ORIGGIO (VA)</t>
  </si>
  <si>
    <t xml:space="preserve">PADOVA </t>
  </si>
  <si>
    <t>CABASSI &amp; GIURIATI</t>
  </si>
  <si>
    <t>VIA URUGAY 20/22 - 35127 PADOVA (PD)</t>
  </si>
  <si>
    <t xml:space="preserve">PARMA </t>
  </si>
  <si>
    <t>C/O DEP. AF.ZUST AMBROSETTI  PARMA</t>
  </si>
  <si>
    <t>VIA DON ANGELO CALZOLARI -43126 -PARMA (PR)</t>
  </si>
  <si>
    <t xml:space="preserve">PAVIA </t>
  </si>
  <si>
    <t>DEPOSITO KUHENE NAGEL</t>
  </si>
  <si>
    <t>STRADA PROV.LE 234 CREMONA-PAVIA KM 27</t>
  </si>
  <si>
    <t xml:space="preserve">PIANIGA </t>
  </si>
  <si>
    <t>F.LLI LANDO SPA</t>
  </si>
  <si>
    <t>VIA PIONCA,13-30030 PIANIGA (VE)</t>
  </si>
  <si>
    <t xml:space="preserve">PIEVE EMANUELE </t>
  </si>
  <si>
    <t>COOP. CONSORZIO NORD OVEST Soc.Consortile arl</t>
  </si>
  <si>
    <t>VIA ALDO MORO,1-20090 PIEVE EMANUELE (MI)</t>
  </si>
  <si>
    <t xml:space="preserve">PIOLTELLO </t>
  </si>
  <si>
    <t>ESSELUNGA SPA MILANO</t>
  </si>
  <si>
    <t>VIA GIAMBOLOGNA,1-20096 LIMITO DI PIOLTELLO(MI)</t>
  </si>
  <si>
    <t xml:space="preserve">POGGIARDO </t>
  </si>
  <si>
    <t>CURSANO SRL</t>
  </si>
  <si>
    <t>ZONA IND. P.I.P. (Dep.) - VIA ARCHIMEDE - 73037 POGGIARDO (LE)</t>
  </si>
  <si>
    <t xml:space="preserve">PONTEDERA </t>
  </si>
  <si>
    <t>CIA SAS DI BUTI LEO &amp; C.</t>
  </si>
  <si>
    <t>VIA TOSCANA Z.I. GELLO 56025 PONTEDERA (PI)</t>
  </si>
  <si>
    <t xml:space="preserve">POPOLI </t>
  </si>
  <si>
    <t>MAGAZZINO ADDIS SRL POPOLI</t>
  </si>
  <si>
    <t>VIA CAPO PESCARA snc-65026 POPOLI (PE)</t>
  </si>
  <si>
    <t xml:space="preserve">QUILIANO </t>
  </si>
  <si>
    <t>CONAD NORD OVEST SOC.COOP.</t>
  </si>
  <si>
    <t>VIA SOLCASSO 3R -17047 QUILIANO (SV)</t>
  </si>
  <si>
    <t xml:space="preserve">QUINTO TREVISO </t>
  </si>
  <si>
    <t>SPAK MARKET SRL MAGAZZINO QUINTO</t>
  </si>
  <si>
    <t>VIA SCATTOLINI N. 27-31055 QUINTO TREVISO (TV)</t>
  </si>
  <si>
    <t xml:space="preserve">RIANO </t>
  </si>
  <si>
    <t>IGES SRL</t>
  </si>
  <si>
    <t>VIA PIANA PERINA snc-00060 RIANO (RM)</t>
  </si>
  <si>
    <t xml:space="preserve">SAN BELLINO </t>
  </si>
  <si>
    <t>IPER TOSANO C/O MAG. GENERI VARI 3(MG3)</t>
  </si>
  <si>
    <t>VIA IPAZIA DI ALESSANDRIA 107/B-45020 SAN BELLINO (RO)</t>
  </si>
  <si>
    <t xml:space="preserve">SANTA CRISTINA </t>
  </si>
  <si>
    <t>DEPOSITO KUEHNE +NAGEL</t>
  </si>
  <si>
    <t>STRADA PROV.LE 234 CREMONAPAVIA KM27-27010SANTA CRISTINA E BISSONE(PV)</t>
  </si>
  <si>
    <t>SCANDICCI</t>
  </si>
  <si>
    <t>UNICOOP FIRENZE SCANDICCI</t>
  </si>
  <si>
    <t>VIALE EUROPA 53 - 50018 SCANDICCI (FI)</t>
  </si>
  <si>
    <t xml:space="preserve">S. GIORGIO </t>
  </si>
  <si>
    <t>VIA VILLANOVA DE BELLIS 43A-46051 SAN GIORGIO BIGARELLO (MN)</t>
  </si>
  <si>
    <t xml:space="preserve">S. MARTINO B.A. </t>
  </si>
  <si>
    <t>CENTRO BIRRA VERONA EST SRL</t>
  </si>
  <si>
    <t>VICOLO CADUTI SUL LAVORON.18-37036 S.MARTINO B.A. (VR)</t>
  </si>
  <si>
    <t xml:space="preserve">S. PIETRO MOSEZZO </t>
  </si>
  <si>
    <t>C/O NS. DEPOSITO:LOGISTICA NOVARA</t>
  </si>
  <si>
    <t>VIA DELL'INDUSTRIA -28060 S.PIETRO MOSEZZO (NO)</t>
  </si>
  <si>
    <t>S. STINO DI LIVENZA</t>
  </si>
  <si>
    <t>SUP. VISOTTO C/O CODOGNOTTO ITALIA SPA</t>
  </si>
  <si>
    <t>VIA INTERPORTO 1 - 30029 SAN STINO DI LIVENZA (VE)</t>
  </si>
  <si>
    <t xml:space="preserve">TERRACINA </t>
  </si>
  <si>
    <t>BIANCONI BEVANDE SRL</t>
  </si>
  <si>
    <t>VIA PANTANI DA BASSO KM 0,300 - 04019 BORGO HERMADA - TERRACINA</t>
  </si>
  <si>
    <t>TORRILE</t>
  </si>
  <si>
    <t>ISC DI SEGNATELLI CLAUDIO</t>
  </si>
  <si>
    <t>VIA BEZZE 11 - 43056 TORRILE (PR)</t>
  </si>
  <si>
    <t xml:space="preserve">TORTONA </t>
  </si>
  <si>
    <t>NUME  SRL</t>
  </si>
  <si>
    <t>S.S.211,KM11-A7 USC.TORTONA -15057 LOC.S.GUGLIELMO-TORTONA(AL)</t>
  </si>
  <si>
    <t>VIMODRONE 1</t>
  </si>
  <si>
    <t xml:space="preserve">UNES MAXI SPA </t>
  </si>
  <si>
    <t>VIALE DELL'INDUSTRIA -20090 VIMODRONE (MI)</t>
  </si>
  <si>
    <t>VIMODRONE 2</t>
  </si>
  <si>
    <t>UNES MAXI SPA DEPOSITO SCATOLAME</t>
  </si>
  <si>
    <t>VIA ALDO MORO SNC - 20055 VIMODRONE (MI)</t>
  </si>
  <si>
    <t xml:space="preserve">VILLAFRANCA </t>
  </si>
  <si>
    <t>SUPERMERCATI MARTINELLI SRL 101 MAG.</t>
  </si>
  <si>
    <t>VILLAFRANCA SEDE-VIALE DEL LAVORO 11A-37069 VILLAFRANCA DI VERONA (VR)</t>
  </si>
  <si>
    <t>AIT INTERNATIONAL TRANSPORT LTD.</t>
  </si>
  <si>
    <t>STR. 24 N. 10</t>
  </si>
  <si>
    <t>BG 4131 MILEVO</t>
  </si>
  <si>
    <t>ANEXIA S.R.O.</t>
  </si>
  <si>
    <t xml:space="preserve">LUBENSKA 1588 </t>
  </si>
  <si>
    <t>269 01 RAKOVNIK</t>
  </si>
  <si>
    <t>APPORT LOGISTYKA SP</t>
  </si>
  <si>
    <t>OSTROW KANIA 25D</t>
  </si>
  <si>
    <t>05-311 DEBE WIELKIE</t>
  </si>
  <si>
    <t>BGR - KEYSI EOOD</t>
  </si>
  <si>
    <t>UL 31 POLK N. 54 ET 4 AP 8</t>
  </si>
  <si>
    <t>BG-7500 SILISTRA</t>
  </si>
  <si>
    <t>BGR PETKO ANGELOV BG LTD</t>
  </si>
  <si>
    <t>HOTEL CHIIRITE</t>
  </si>
  <si>
    <t>OKOLOVRASTEN PAT</t>
  </si>
  <si>
    <t>BG-4000 PLOVDIV</t>
  </si>
  <si>
    <t>BST JAROSLAW HARAZIN</t>
  </si>
  <si>
    <t>WIOSLARSKA 5</t>
  </si>
  <si>
    <t>62-060 STESZEW - POLAND</t>
  </si>
  <si>
    <t>BUTARU SPEDITION</t>
  </si>
  <si>
    <t>CIUMEBIHOR 156</t>
  </si>
  <si>
    <t>ORAPEA - ROMANIA</t>
  </si>
  <si>
    <t>DISCORDIA AD</t>
  </si>
  <si>
    <t>7, ISKARSKO SHOUSSE BLVD</t>
  </si>
  <si>
    <t>BG 1528 SOFIA</t>
  </si>
  <si>
    <t>DZ TRANS</t>
  </si>
  <si>
    <t>ZELJKO DUMONJIC SP</t>
  </si>
  <si>
    <t>JURCKOVA CESTA 234</t>
  </si>
  <si>
    <t>1000 LJUBLJANA</t>
  </si>
  <si>
    <t>EUROTRANSPORT 24 UAB</t>
  </si>
  <si>
    <t>VILNIAUS STR 4 - GRIGISKES</t>
  </si>
  <si>
    <t>LT-27101 VILNIUS - LITHUANIA</t>
  </si>
  <si>
    <t>FINEJAS POLAND SP</t>
  </si>
  <si>
    <t>KAZIMIERZA MICHALCZYKA 5</t>
  </si>
  <si>
    <t>53-633 WROCLAW - POLAND</t>
  </si>
  <si>
    <t>FIRMA TRANSPORTOWA AWOS</t>
  </si>
  <si>
    <t>ROMAN SOWA</t>
  </si>
  <si>
    <t>41-408 MYSLOWICE, UL.3 MAJA 8</t>
  </si>
  <si>
    <t>GOLINE D.O.O.</t>
  </si>
  <si>
    <t>PEROVO 26 - 1241 KAMNIK - SLOVENIA</t>
  </si>
  <si>
    <t>GRUBER LOGISTICS SPA</t>
  </si>
  <si>
    <t>VIA NAZIONALE, 75 - 39040 ORA (BZ)</t>
  </si>
  <si>
    <t>GRUBER LOGISTICS UAB</t>
  </si>
  <si>
    <t>VILKPEDES G. 4 - LT-03151 VILNIUS - LITHUANIA</t>
  </si>
  <si>
    <t>HAJDU KFT.</t>
  </si>
  <si>
    <t>GABOR A U 26</t>
  </si>
  <si>
    <t>2942 NAGYIGMAND</t>
  </si>
  <si>
    <t>HT LOGISTICS UAB</t>
  </si>
  <si>
    <t>LIEPKALNIO G 200F</t>
  </si>
  <si>
    <t>LT-13242 VILNIUS</t>
  </si>
  <si>
    <t>KSC TRANSPORT SRL</t>
  </si>
  <si>
    <t>STR. TRANSILVANIEI NR 33 ORADEA</t>
  </si>
  <si>
    <t>BIHOR - ROMANIA</t>
  </si>
  <si>
    <t>IDEAL ECO TRADING SRL</t>
  </si>
  <si>
    <t>UNIRII - 28 C - BUZAU</t>
  </si>
  <si>
    <t>JAROTRANS - CZ</t>
  </si>
  <si>
    <t>ZDIMENCKA 1440/6</t>
  </si>
  <si>
    <t>149 00 PRAHA 4</t>
  </si>
  <si>
    <t>LKW EXPRESS24 UAB</t>
  </si>
  <si>
    <t>VILNIAUS STR. 4, GRIGISKES</t>
  </si>
  <si>
    <t>LOTRANS</t>
  </si>
  <si>
    <t>PARTIZANSKA CESTA 109</t>
  </si>
  <si>
    <t>6210 SEZANA - SLOVENIA</t>
  </si>
  <si>
    <t>MANVESTA UAB</t>
  </si>
  <si>
    <t>P. PAULAICIO STR. 13B</t>
  </si>
  <si>
    <t>LY 74111 JURBARKAS - LITHUANIA</t>
  </si>
  <si>
    <t>MESTRANS S.L.</t>
  </si>
  <si>
    <t>C/THOMAS ALVA EDISON, 35-36</t>
  </si>
  <si>
    <t>POL. IND. ELS PLANS D'ARAU</t>
  </si>
  <si>
    <t>08787 LA POBLA DE CLARAMUNT</t>
  </si>
  <si>
    <t>MIKUS</t>
  </si>
  <si>
    <t>CESTA LJUBLJANSKA BROGADA 9A</t>
  </si>
  <si>
    <t>MINWIJA SP Z.O.O.</t>
  </si>
  <si>
    <t>UL. ADAMA MICKIEWICZA 33</t>
  </si>
  <si>
    <t>16-515 PUNSK</t>
  </si>
  <si>
    <t>MOTUSBONA</t>
  </si>
  <si>
    <t xml:space="preserve">KAUNO STR. 55 </t>
  </si>
  <si>
    <t>LT 21371 VIEVIS LITHUANIA</t>
  </si>
  <si>
    <t>MS PROJEKT SP Z.O.O.</t>
  </si>
  <si>
    <t>UL. KS. DROZDOWSKIEGO 15</t>
  </si>
  <si>
    <t>08-500 LEOPOLDOW</t>
  </si>
  <si>
    <t>PROCEM SP Z.O.O.</t>
  </si>
  <si>
    <t>UL. MARSZALKOWSKA 80</t>
  </si>
  <si>
    <t>00-517 WARSZAWA</t>
  </si>
  <si>
    <t>P.T.U. CARGO PLUS</t>
  </si>
  <si>
    <t>UL GRUNWALDZKA 515A2</t>
  </si>
  <si>
    <t>62-064 PLEWISKA</t>
  </si>
  <si>
    <t>R M C TRANSPORTS</t>
  </si>
  <si>
    <t>LIELCIRSI, VETRAS, MARUPES PAG.</t>
  </si>
  <si>
    <t>MARUPES NOV. LV-2167</t>
  </si>
  <si>
    <t>S.C. EDIL TRANSPORT</t>
  </si>
  <si>
    <t>ALEEA INDUSTRIILOR , NR 2-4 BUZAU</t>
  </si>
  <si>
    <t>S.C. MONDO FRUCT SRL</t>
  </si>
  <si>
    <t>CART. MICRO V, BL 30, SC. A, AP 18</t>
  </si>
  <si>
    <t>BUZAU - 120056 ROMANIA</t>
  </si>
  <si>
    <t>S.C. PRECO PREST S.R.L.</t>
  </si>
  <si>
    <t>CUI RO 5071509</t>
  </si>
  <si>
    <t>BUCARESTI ROMANIA</t>
  </si>
  <si>
    <t>TRANSEU POLAND SP Z.O.O.</t>
  </si>
  <si>
    <t>UL.POZNANSKA 4</t>
  </si>
  <si>
    <t>62-080 SADY, POLSKA</t>
  </si>
  <si>
    <t>TRANSGESTA</t>
  </si>
  <si>
    <t>V KREVES PR 128 F - KAUNAS</t>
  </si>
  <si>
    <t>LIETUVOS RESPUBLIKA</t>
  </si>
  <si>
    <t xml:space="preserve">TRANSPORT SERVICE </t>
  </si>
  <si>
    <t>SPETKA Z.O.O.</t>
  </si>
  <si>
    <t>81-061 GOYNIA UL. HUTNICZA 16</t>
  </si>
  <si>
    <t>TRANSPORT SPEDICIA EDO TRANS</t>
  </si>
  <si>
    <t>K. RUSIN, Z. CIESLAK , SPOIKA JAWNA</t>
  </si>
  <si>
    <t>39-204 ZYRAKOW 137 A</t>
  </si>
  <si>
    <t>TRANSPORT STANISLAW POLAK</t>
  </si>
  <si>
    <t>UL. TKACKA 4</t>
  </si>
  <si>
    <t>66-400 GORZOW WLKP - POLAND</t>
  </si>
  <si>
    <t>TS - TRANSPORT SERVICE</t>
  </si>
  <si>
    <t>SPOLKA ZOO</t>
  </si>
  <si>
    <t xml:space="preserve">UL. HUTNICZA 16 - 81-061 GDYNIA </t>
  </si>
  <si>
    <t>UAB BALTIC TRANSLINE TRANSPORT</t>
  </si>
  <si>
    <t>R. KALANTOS G 49</t>
  </si>
  <si>
    <t>LT-52303 KAUNAS</t>
  </si>
  <si>
    <t>UAB FAUTRA</t>
  </si>
  <si>
    <t xml:space="preserve">NAUJOJI G 4 </t>
  </si>
  <si>
    <t>LT 89101 MAZEIKIAI - LIETUVA</t>
  </si>
  <si>
    <t>UAB HOPTRANSA</t>
  </si>
  <si>
    <t>S. ZUKAUSKO G 13 , RAMUCIAI</t>
  </si>
  <si>
    <t>LT-54464 KAUNO RAJ - LIETUVA</t>
  </si>
  <si>
    <t>UAB PUKENO</t>
  </si>
  <si>
    <t>PRAMONES G 1, NEMENCINE, VILNIAUS R</t>
  </si>
  <si>
    <t>LT-15168 LIETUVA</t>
  </si>
  <si>
    <t>UAB "VELSEKA"</t>
  </si>
  <si>
    <t>PANEVEZIO G. 5 LT 40134 KUPISKIS</t>
  </si>
  <si>
    <t>Descrizione Articolo</t>
  </si>
  <si>
    <t>VS. RIF.  DM</t>
  </si>
  <si>
    <t>CM13LT - COMPLOT 1/3 LATA</t>
  </si>
  <si>
    <t>002-29</t>
  </si>
  <si>
    <t>L0647400</t>
  </si>
  <si>
    <t>L0984500</t>
  </si>
  <si>
    <t>L1225200</t>
  </si>
  <si>
    <t>L1225300</t>
  </si>
  <si>
    <t>L1462300</t>
  </si>
  <si>
    <t>L5051300</t>
  </si>
  <si>
    <t>L5089500</t>
  </si>
  <si>
    <t>L5118700</t>
  </si>
  <si>
    <t>L5157900</t>
  </si>
  <si>
    <t>L5652700</t>
  </si>
  <si>
    <t>L5736400</t>
  </si>
  <si>
    <t>L5757400</t>
  </si>
  <si>
    <t>L5835700</t>
  </si>
  <si>
    <t>L5932300</t>
  </si>
  <si>
    <t>1800 Cristalino + GB</t>
  </si>
  <si>
    <t>A.H. Riise Royal Danish Navy + GB</t>
  </si>
  <si>
    <t>Aberlour 10 Years Forest Reserve + GB</t>
  </si>
  <si>
    <t>Aberlour A'Bunadh - Batch 74 + GB</t>
  </si>
  <si>
    <t>Aberlour A'Bunadh - Batch 75 + GB</t>
  </si>
  <si>
    <t>Aberlour A'Bunadh - Batch 76 + GB</t>
  </si>
  <si>
    <t>Aberlour White Oak 2022</t>
  </si>
  <si>
    <t>Absinthe Abysse</t>
  </si>
  <si>
    <t>Absolut Colors Rainbow</t>
  </si>
  <si>
    <t>Absolut Extrakt No.1</t>
  </si>
  <si>
    <t>Absolut Vodka Spirit Of Togetherness Limited Edition</t>
  </si>
  <si>
    <t>Abuelo Tawny Port + GB</t>
  </si>
  <si>
    <t>Adamus Coppa Glass</t>
  </si>
  <si>
    <t>Aerstone 10 Years Land Cask + 2 Glasses</t>
  </si>
  <si>
    <t>Airem PX Sherry Casks + GB</t>
  </si>
  <si>
    <t>Akashi Toji Malt &amp; Grain + GB</t>
  </si>
  <si>
    <t>Aman Tequila Anejo Cristalino</t>
  </si>
  <si>
    <t>Amaro Black Note</t>
  </si>
  <si>
    <t>Amaro Lucano + Glass</t>
  </si>
  <si>
    <t>Amaro Lucano X-Mas Edition</t>
  </si>
  <si>
    <t>Amarula Cream + Glass</t>
  </si>
  <si>
    <t>Amarula Vanilla Spice Cream</t>
  </si>
  <si>
    <t>Amrut Cask Strength + GB</t>
  </si>
  <si>
    <t>Amrut Indian Single Malt + GB</t>
  </si>
  <si>
    <t>Amrut Peated + GB</t>
  </si>
  <si>
    <t>Amuerte Coca Leaf Gin - Black Edition</t>
  </si>
  <si>
    <t>Amuerte Coca Leaf Gin - White Edition</t>
  </si>
  <si>
    <t>Amuerte Coca Leaf Gin Black Edition + 2 Glasses</t>
  </si>
  <si>
    <t>AnCnoc 18 Years + GB</t>
  </si>
  <si>
    <t>AnCnoc 24 Years + GB</t>
  </si>
  <si>
    <t>Antica Sambuca Black</t>
  </si>
  <si>
    <t>Antiquary 12 Years + GB</t>
  </si>
  <si>
    <t>Appleton Estate 8 Years Reserve</t>
  </si>
  <si>
    <t>Appleton Estate Signature Blend</t>
  </si>
  <si>
    <t>Appleton Estate Trial Pack</t>
  </si>
  <si>
    <t>Ararat 3 Years + GB</t>
  </si>
  <si>
    <t>Ararat 7 Years Ani-Urt + GB</t>
  </si>
  <si>
    <t>Ardbeg 19 Years Traigh Bhan Batch 4 + GB</t>
  </si>
  <si>
    <t>Ardbeg 26 Years Private Single Cask 20 ex-bourbon Cask + GB</t>
  </si>
  <si>
    <t>Ardbeg Heavy Vapours + GB</t>
  </si>
  <si>
    <t>Ardbeg The Ultimate For Discussion 8 Years</t>
  </si>
  <si>
    <t>Armand De Brignac Blancs + Wooden GB</t>
  </si>
  <si>
    <t>Armand de Brignac Brut Gold + Velvet Bag</t>
  </si>
  <si>
    <t>Armand De Brignac Demi Sec + Velvet Bag</t>
  </si>
  <si>
    <t>Armand De Brignac Rose + Wooden GB</t>
  </si>
  <si>
    <t>Armorik 6 Years Single Cask Vinho Str Fut 8047 + GB</t>
  </si>
  <si>
    <t>Armorik Double Maturation + GB</t>
  </si>
  <si>
    <t>Armorik Sherry Cask  + GB</t>
  </si>
  <si>
    <t>Armorik Yeun Elez Peated Breton + GB</t>
  </si>
  <si>
    <t>Arran 18 Years + GB</t>
  </si>
  <si>
    <t>Arran Port Cask Finish + GB</t>
  </si>
  <si>
    <t>Arran Port Finish</t>
  </si>
  <si>
    <t>Asbach 21 Years + GB</t>
  </si>
  <si>
    <t>Asbach Coffee Cream</t>
  </si>
  <si>
    <t>Ayala Brut Majeur + GB</t>
  </si>
  <si>
    <t>Bacardi Gran Reserva Especial 16 Years Limited Edition + GB</t>
  </si>
  <si>
    <t>Bacardi Oakheart</t>
  </si>
  <si>
    <t>Balcones Texas Rye 100 Proof</t>
  </si>
  <si>
    <t>Ballantine's 10 Years American Barrel NRF</t>
  </si>
  <si>
    <t>Ballantine's 12 Years + GB</t>
  </si>
  <si>
    <t>Ballantine's 12 Years NRF + GB</t>
  </si>
  <si>
    <t>Ballantine's 30 Years + GB</t>
  </si>
  <si>
    <t>Balvenie 12 Years DoubleWood + 2 Glasses</t>
  </si>
  <si>
    <t>Balvenie 15 Years Madeira + GB</t>
  </si>
  <si>
    <t>Balvenie 21 Years Single Barrel + GB</t>
  </si>
  <si>
    <t>Balvenie 40 Years + GB</t>
  </si>
  <si>
    <t>Barbazul Bianco Chardonnay 2021</t>
  </si>
  <si>
    <t>Barcelo Grand Anejo + 2 Glasses</t>
  </si>
  <si>
    <t>Baron Otard Extra 1795 + GB</t>
  </si>
  <si>
    <t>Baron Otard XO + GB</t>
  </si>
  <si>
    <t>Baron Spiced Rum</t>
  </si>
  <si>
    <t>Battlehill Drumblade 10 Years + GB</t>
  </si>
  <si>
    <t>Beau Joie Brut Special Cuvee</t>
  </si>
  <si>
    <t>Beefeater Blackberry Gin</t>
  </si>
  <si>
    <t>Behemoth Profanum</t>
  </si>
  <si>
    <t>Bellevoye Tricolore + GB</t>
  </si>
  <si>
    <t>Belsazar Vermouth Red</t>
  </si>
  <si>
    <t>Beluga Allure + GB</t>
  </si>
  <si>
    <t>Beluga Celebration</t>
  </si>
  <si>
    <t>Beluga Gold Line + Shaker + GB</t>
  </si>
  <si>
    <t>Beluga Hunting Herbal</t>
  </si>
  <si>
    <t>Beluga Transatlantic</t>
  </si>
  <si>
    <t>Beluga Transatlantic Racing Navy Blue</t>
  </si>
  <si>
    <t>Belvedere Heritage 176</t>
  </si>
  <si>
    <t>Benriach 10 Years Triple Distilled + GB</t>
  </si>
  <si>
    <t>Benriach 12 Years Three Cask Matured + GB</t>
  </si>
  <si>
    <t>Benriach 1994 Oloroso Puncheon Cask Edition + GB</t>
  </si>
  <si>
    <t>Benriach 1997 Virgin Oak Cask Edition + GB</t>
  </si>
  <si>
    <t>Benriach 22 Years Triple Distilled + GB</t>
  </si>
  <si>
    <t>Benriach 27 Years 1994 PX Puncheon Cask Edition 1857 + GB</t>
  </si>
  <si>
    <t>Benriach 30 Years Authenticus Peated + GB</t>
  </si>
  <si>
    <t>Benriach Peated Quarter Cask + GB</t>
  </si>
  <si>
    <t>Benriach Quarter Cask Peated + GB</t>
  </si>
  <si>
    <t>Benriach Smoke Season + GB</t>
  </si>
  <si>
    <t>Benriach Smoky Quarter Cask + GB</t>
  </si>
  <si>
    <t>Benromach 21 Years + GB</t>
  </si>
  <si>
    <t>Benromach Peat Smoke 2009 + GB</t>
  </si>
  <si>
    <t>Berentzen Coco Pineapple Cream</t>
  </si>
  <si>
    <t>Berentzen Mint Chocolate Cream</t>
  </si>
  <si>
    <t>Berliner Luft Eisbonbon</t>
  </si>
  <si>
    <t>Bertola 12 Years Sherry Oloroso</t>
  </si>
  <si>
    <t>Besserat De Bellefon Coffret Bleu + 2 Glasses</t>
  </si>
  <si>
    <t>Billecart Salmon Brut Reserve</t>
  </si>
  <si>
    <t>Bitter Truth Elderflower</t>
  </si>
  <si>
    <t>Black Bottle Smoke &amp; Dagger The Alchemy Series</t>
  </si>
  <si>
    <t>Black Bull 12 Years + GB</t>
  </si>
  <si>
    <t>Black Bull 21 Years + GB</t>
  </si>
  <si>
    <t>Black Bull Peated</t>
  </si>
  <si>
    <t>Blackwoods Vintage 2017 Dry Gin</t>
  </si>
  <si>
    <t>Blackwoods Vintage 2021 Dry Gin</t>
  </si>
  <si>
    <t>Bladnoch 14 Years + GB</t>
  </si>
  <si>
    <t>Bladnoch Pure Scot Virgin Oak + GB</t>
  </si>
  <si>
    <t>Bladnoch Samsara + GB</t>
  </si>
  <si>
    <t>Blair Athol 1993 23 Years Special Release 2017 + GB</t>
  </si>
  <si>
    <t>Blossom Grand Reserva + Glasses</t>
  </si>
  <si>
    <t>Bobby's Gin + Glass</t>
  </si>
  <si>
    <t>Bollinger La Grande Annee 2014</t>
  </si>
  <si>
    <t>Bollinger R.D 2007 + Wooden GB</t>
  </si>
  <si>
    <t>Bols Corenwijn 6 Jaar Gelagerd</t>
  </si>
  <si>
    <t>Bols Margarita Azul</t>
  </si>
  <si>
    <t>Bols Red Orange</t>
  </si>
  <si>
    <t>Bonpland 11 Years Darsa Distillery + GB</t>
  </si>
  <si>
    <t>Bonpland 12 Years South Pacific Distillery + GB</t>
  </si>
  <si>
    <t>Bonpland 14 Years Panama + GB</t>
  </si>
  <si>
    <t>Bonpland 16 Years Trinidad Distillers + GB</t>
  </si>
  <si>
    <t>Bonpland 18 Years Jamaica Hampden Estate Distillery + GB</t>
  </si>
  <si>
    <t>Bonpland Circle of Rum Single Cask Collection + GB</t>
  </si>
  <si>
    <t>Borgoe 8 Years + GB</t>
  </si>
  <si>
    <t>Boswandeling Special Events</t>
  </si>
  <si>
    <t>Botran 15 Years Reserva Especial</t>
  </si>
  <si>
    <t>Botran 15 Years Solera Reserva</t>
  </si>
  <si>
    <t>Bottega Limoncino</t>
  </si>
  <si>
    <t>Bottega Prosecco II Vino Dei Poeti Spumante</t>
  </si>
  <si>
    <t>Bouvet Cremant De Loire Cuvee Excellence</t>
  </si>
  <si>
    <t>Bowmore 12 Years + 2 Glasses</t>
  </si>
  <si>
    <t>Bowmore 15 Years Golden &amp; Elegant + GB</t>
  </si>
  <si>
    <t>Bowmore 18 Years Aston Martin Edition + GB</t>
  </si>
  <si>
    <t>Bowmore 18 Years Deep &amp; Complex + GB</t>
  </si>
  <si>
    <t>Bowmore 22 Years Aston Martin Masters Selection + GB</t>
  </si>
  <si>
    <t>Bowmore 27 Years Timeless Series + GB</t>
  </si>
  <si>
    <t>Bowmore 30 Years 2020 Release + Wooden GB</t>
  </si>
  <si>
    <t>Bowmore 50 Years 1969 + GB</t>
  </si>
  <si>
    <t>Bowmore No. 1 + 2 Glasses</t>
  </si>
  <si>
    <t>Braulio Amaro</t>
  </si>
  <si>
    <t>Brewdog LoneWolf</t>
  </si>
  <si>
    <t>Brockmans Gin + Glasses</t>
  </si>
  <si>
    <t>Brugal Anejo Reserva</t>
  </si>
  <si>
    <t>Brugal Anejo Superior</t>
  </si>
  <si>
    <t>Bruichladdich Octomore 12.2 Limited Edition Release 2021 +GB</t>
  </si>
  <si>
    <t>Bruichladdich Octomore 13.1 + GB</t>
  </si>
  <si>
    <t>Bruichladdich Port Charlotte 10 Years + GB</t>
  </si>
  <si>
    <t>Bunnahabhain 25 Years + GB</t>
  </si>
  <si>
    <t>Bunnahabhain 40 Years + GB</t>
  </si>
  <si>
    <t>Bunnahabhain An Cladach + GB</t>
  </si>
  <si>
    <t>Bushmills Causeway Collection 2002 Vermouth + GB</t>
  </si>
  <si>
    <t>Bushmills Causeway Collection Marsala Cask 1995 + GB</t>
  </si>
  <si>
    <t>Bushmills Causeway Collection Sauternes Cask 2011 + GB</t>
  </si>
  <si>
    <t>Bushmills Steamship Sherry Cask + GB</t>
  </si>
  <si>
    <t>Butterfly Cannon Rosa</t>
  </si>
  <si>
    <t>Caffo Brandy Heritage 1980 + GB</t>
  </si>
  <si>
    <t>Caffo Liquorice Vetro</t>
  </si>
  <si>
    <t>Campbeltown Loch</t>
  </si>
  <si>
    <t>Camus VSOP Intensely Aromatic + GB</t>
  </si>
  <si>
    <t>Canei Rosato</t>
  </si>
  <si>
    <t>Caol Ila 25 Years + GB</t>
  </si>
  <si>
    <t>Caperdonich 18 Years Peated + GB</t>
  </si>
  <si>
    <t>Captain Morgan Private Stock Premium Barrel</t>
  </si>
  <si>
    <t>Cardenal Mendoza Angelus + GB</t>
  </si>
  <si>
    <t>Cardenal Mendoza Carta Real + Tin GB</t>
  </si>
  <si>
    <t>Carlos I Solera Gran Reserva + Glass</t>
  </si>
  <si>
    <t>Carlos III Solera Reserva</t>
  </si>
  <si>
    <t>Carlshamns Flagg Punch</t>
  </si>
  <si>
    <t>Cask Speyside 10 Years + GB</t>
  </si>
  <si>
    <t>Castelnuovo Merlot-Corvina 2021</t>
  </si>
  <si>
    <t>Cavino Imiglykos White</t>
  </si>
  <si>
    <t>Cenote Anejo</t>
  </si>
  <si>
    <t>Cenote Blanco</t>
  </si>
  <si>
    <t>Cenote Reposado</t>
  </si>
  <si>
    <t>Chairman's Reserve Legacy</t>
  </si>
  <si>
    <t>Chateau Du Breuil 12 Ans + GB</t>
  </si>
  <si>
    <t>Chateau Paradis Casseuil 2019 Bordeaux</t>
  </si>
  <si>
    <t>Chichibu Ichiro's Malt &amp; Grain</t>
  </si>
  <si>
    <t>Chispas Tempranillo 2020</t>
  </si>
  <si>
    <t>Chivas Regal 13 Years Extra + GB</t>
  </si>
  <si>
    <t>Chivas Regal 18 Years Gold Signature + GB</t>
  </si>
  <si>
    <t>Chivas Regal Extra 13 Years Sherry Cask Selection</t>
  </si>
  <si>
    <t>Chivas Regal Royal Salute 62 Gun + GB</t>
  </si>
  <si>
    <t>Chopin Potato Vodka In Tube + GB</t>
  </si>
  <si>
    <t>Chopin RYE Vodka + GB</t>
  </si>
  <si>
    <t>Chopin Vera Wang Limited Edition</t>
  </si>
  <si>
    <t>Ciroc Passion</t>
  </si>
  <si>
    <t>Ciroc Summer Citrus</t>
  </si>
  <si>
    <t>Clase Azul Mezcal Guerrero + GB</t>
  </si>
  <si>
    <t>Clase Azul Plata + GB</t>
  </si>
  <si>
    <t>Clase Azul Reposado + GB</t>
  </si>
  <si>
    <t>Clase Azul Ultra + GB</t>
  </si>
  <si>
    <t>Claude Chatelier Cognac VS</t>
  </si>
  <si>
    <t>Clement 10 Years + GB</t>
  </si>
  <si>
    <t>Clement Rhum Canne Bleu</t>
  </si>
  <si>
    <t>Clontarf Black Irish Whiskey</t>
  </si>
  <si>
    <t>Clynelish 12 Years Special Release 2022 + GB</t>
  </si>
  <si>
    <t>Cointreau Noir + GB</t>
  </si>
  <si>
    <t>Colinas do Douro Seixo Amarelo Bianco 2020</t>
  </si>
  <si>
    <t>Colinas do Douro Superiore Tinto 2020</t>
  </si>
  <si>
    <t>Colinas Pedra Cavada Reserva Red 2019</t>
  </si>
  <si>
    <t>Colinas Pedra Cavada Reserva White 2020</t>
  </si>
  <si>
    <t>Compass Box The Story Of The Spaniard + GB</t>
  </si>
  <si>
    <t>Coopers Choice Vintage 2011 Miltonduff + GB</t>
  </si>
  <si>
    <t>Coppi Aleatico Vinaccero 2013</t>
  </si>
  <si>
    <t>Coppi Core Negroamaro Rosato 2020</t>
  </si>
  <si>
    <t>Coppi Peucetico Primitivo 2015</t>
  </si>
  <si>
    <t>Coppi Siniscalco Primitivo 2018</t>
  </si>
  <si>
    <t>Coquerel Calvados VS</t>
  </si>
  <si>
    <t>Coquerel Calvados XO + GB</t>
  </si>
  <si>
    <t>Coquerel XO</t>
  </si>
  <si>
    <t>Coruba Dark</t>
  </si>
  <si>
    <t>Courvoisier VS + GB</t>
  </si>
  <si>
    <t>Courvoisier XO Ultime - Special Edition + GB</t>
  </si>
  <si>
    <t>Crafter's Aromatic Flower Gin</t>
  </si>
  <si>
    <t>Cragganmore Distillers Edition 2000-2013 + GB</t>
  </si>
  <si>
    <t>Cragganmore Distillers Edition 2001-2014 + GB</t>
  </si>
  <si>
    <t>Crystal Head DJ Paul Elstak Feyenoord Kampioen + 2 Glasses</t>
  </si>
  <si>
    <t>Dalwhinnie Distillers Edition 2006 - 2021 + GB</t>
  </si>
  <si>
    <t>Dalwhinnie Winter's Frost - Game Of Thrones + GB</t>
  </si>
  <si>
    <t>Damrak 0.0</t>
  </si>
  <si>
    <t>Darkness 5 Years Ten Rye + GB</t>
  </si>
  <si>
    <t>Darkness 8 Years + GB</t>
  </si>
  <si>
    <t>Darnley's View London Dry Gin</t>
  </si>
  <si>
    <t>Davidoff XO + GB</t>
  </si>
  <si>
    <t>DBR Lafite  A D’Aussières Syrah Pays D’ Oc 2020</t>
  </si>
  <si>
    <t>DBR lafite chateau paradise casseuil 2018</t>
  </si>
  <si>
    <t>D-Day Gin Gold Edition 75th Anniversary + GB</t>
  </si>
  <si>
    <t>De Kuyper Peachtree + Glass</t>
  </si>
  <si>
    <t>Deadhead 10 Years</t>
  </si>
  <si>
    <t>Death's Door Gin</t>
  </si>
  <si>
    <t>Del Mediterraneo Limoncello</t>
  </si>
  <si>
    <t>Del Professore Authentic Crocodile Gin</t>
  </si>
  <si>
    <t>Del Professore Fighting Bear</t>
  </si>
  <si>
    <t>Del Professore Gin Madame</t>
  </si>
  <si>
    <t>Del Professore Gin Monsieur</t>
  </si>
  <si>
    <t>Dewar's 12 Years The Ancestor + Tin GB</t>
  </si>
  <si>
    <t>Dewar's 16 Years Double Age Special Edition + GB</t>
  </si>
  <si>
    <t>Dewar's 18 Years + GB</t>
  </si>
  <si>
    <t>Dictador Platinum + GB</t>
  </si>
  <si>
    <t>Dimple 15 Years + GB</t>
  </si>
  <si>
    <t>Dimple Golden Selection + GB</t>
  </si>
  <si>
    <t>Dingle Gin</t>
  </si>
  <si>
    <t>Dingle Single Malt Irish Whisky + GB</t>
  </si>
  <si>
    <t>Diplomatico Mantuano + 5cl Exclusiva + GB</t>
  </si>
  <si>
    <t>Diplomatico Reserva Exclusiva + Coasters</t>
  </si>
  <si>
    <t>Diplomatico Reserva Exclusiva + Ice Ball Mold + Glass</t>
  </si>
  <si>
    <t>Disaronno + Fizz Glass</t>
  </si>
  <si>
    <t>Disaronno Originale DF-Label</t>
  </si>
  <si>
    <t>Dom Perignon Brut Vintage 2010</t>
  </si>
  <si>
    <t>Dom Perignon Luminous Brut Vintage 2010</t>
  </si>
  <si>
    <t>Dom Perignon Rose Vintage 2008 + GB</t>
  </si>
  <si>
    <t>Domaine De Canton</t>
  </si>
  <si>
    <t>Don Angel Blanco</t>
  </si>
  <si>
    <t>Don Angel Gold</t>
  </si>
  <si>
    <t>Don Papa 7 Years Port Cask + GB</t>
  </si>
  <si>
    <t>Don Papa Port Cask</t>
  </si>
  <si>
    <t>Don Q Cristal</t>
  </si>
  <si>
    <t>Don Q Double Cask Finish</t>
  </si>
  <si>
    <t>Dooley's White Chocolate Cream Liqueur</t>
  </si>
  <si>
    <t>Douglas Laing's The Epicurean + GB</t>
  </si>
  <si>
    <t>DQ Vodka Gold</t>
  </si>
  <si>
    <t>Duncan Taylor Smokin Gentleman's Dram</t>
  </si>
  <si>
    <t>Dunes</t>
  </si>
  <si>
    <t>Dunville's 12 Years PX Finish + GB</t>
  </si>
  <si>
    <t>Dunville's Three Crowns Peated + GB</t>
  </si>
  <si>
    <t>Dutch Head The Danny Vera Edition</t>
  </si>
  <si>
    <t>Eagle Rare</t>
  </si>
  <si>
    <t>Eden Mill Golf Gin</t>
  </si>
  <si>
    <t>Eden Mill Passion Gin</t>
  </si>
  <si>
    <t>Edradour 2007 Bourbon Cask Matured 13 Years + GB</t>
  </si>
  <si>
    <t>Edradour 22 Years 1999 Oloroso Cask Finish + GB</t>
  </si>
  <si>
    <t>El Dorado 21 Years + GB</t>
  </si>
  <si>
    <t>El Dorado 3 Years White</t>
  </si>
  <si>
    <t>El Dorado 8 Years Dark Rum + GB</t>
  </si>
  <si>
    <t>El Libertad 8 Years Sherry</t>
  </si>
  <si>
    <t>El Ron Prohibido Silver</t>
  </si>
  <si>
    <t>Elsbitter La Vera</t>
  </si>
  <si>
    <t>Elvis Straight Rye Whiskey</t>
  </si>
  <si>
    <t>Elvis Straight Tennessee Whiskey</t>
  </si>
  <si>
    <t>Enso Blended Whisky</t>
  </si>
  <si>
    <t>Espolon Tequila Blanco</t>
  </si>
  <si>
    <t>Espolon Tequila Reposado</t>
  </si>
  <si>
    <t>Evan Williams Honey</t>
  </si>
  <si>
    <t>F De Formentera Gin</t>
  </si>
  <si>
    <t>Fabula De Paniza Garnacha Blanca 2021</t>
  </si>
  <si>
    <t>Famous Grouse Bourbon Cask + GB</t>
  </si>
  <si>
    <t>Fercullen 14 Years + GB</t>
  </si>
  <si>
    <t>Fercullen 8 Years Old Premium</t>
  </si>
  <si>
    <t>Fercullen Estate Series No.2 The Italian Garden + GB</t>
  </si>
  <si>
    <t>Ferdinand's Saar Dry Gin Cask Strength + GB</t>
  </si>
  <si>
    <t>Ferrari Brut F1 + GB</t>
  </si>
  <si>
    <t>Fettercairn 16 Years 2e Release 2021 + GB</t>
  </si>
  <si>
    <t>Fettercairn 16 Years 3e Release 2022 + GB</t>
  </si>
  <si>
    <t>Fettercairn 28 Years + GB</t>
  </si>
  <si>
    <t>Ficken Jostabeerenlikör</t>
  </si>
  <si>
    <t>Filliers 5 Jaar</t>
  </si>
  <si>
    <t>Filliers Jonge Jenever</t>
  </si>
  <si>
    <t>Finlaggan Eilean Mor + GB</t>
  </si>
  <si>
    <t>Finlaggan Sherry Finish + GB</t>
  </si>
  <si>
    <t>Finsbury Platinum</t>
  </si>
  <si>
    <t>Fisk Pure Raw Salty Caramel</t>
  </si>
  <si>
    <t>Flacon De Cuisine Kirschwasser</t>
  </si>
  <si>
    <t>Flaming Pig Black Cask</t>
  </si>
  <si>
    <t>Flavors Island Agruma Beach</t>
  </si>
  <si>
    <t>Flavors Island Anana Beach</t>
  </si>
  <si>
    <t>Four Pillars Navy Strength Gin</t>
  </si>
  <si>
    <t>Four Pillars Sherry Cask Gin</t>
  </si>
  <si>
    <t>Four Roses Small Batch Limited Edition 2022</t>
  </si>
  <si>
    <t>Fratello - Hazelnut Liqueur</t>
  </si>
  <si>
    <t>Freixenet Carta Rosado Rose 2021</t>
  </si>
  <si>
    <t>Fresita</t>
  </si>
  <si>
    <t>Frisky Panky Blended Malt Scotch</t>
  </si>
  <si>
    <t>Gin Mare + 2 Glasses</t>
  </si>
  <si>
    <t>Gin Mare + Lighthouse</t>
  </si>
  <si>
    <t>Ginraw Gin</t>
  </si>
  <si>
    <t>Glen Deveron 20 Years + GB</t>
  </si>
  <si>
    <t>Glen Grant 15 Years + GB</t>
  </si>
  <si>
    <t>Glen Moray 10 Years Fired Oak + GB</t>
  </si>
  <si>
    <t>Glen Moray Peated + 2 Glasses</t>
  </si>
  <si>
    <t>Glenallachie 10 Years Cask Strength Batch 7 + GB</t>
  </si>
  <si>
    <t>Glenallachie 10 Years Chinquapin Virgin Oak Finish + GB</t>
  </si>
  <si>
    <t>Glenallachie 15 Years</t>
  </si>
  <si>
    <t>Glenallachie 16 Years 2006 Single Cask + GB</t>
  </si>
  <si>
    <t>Glenallachie 9 Years Cuvee Cask Finish 2012 + GB</t>
  </si>
  <si>
    <t>Glenallachie 9 Years Rye Finish + GB</t>
  </si>
  <si>
    <t>Glenallachie Heather 15 Years + GB</t>
  </si>
  <si>
    <t>Glencadam 19 Years Oloroso Sherry Cask Finish + GB</t>
  </si>
  <si>
    <t>Glencadam Origin 1825 + GB</t>
  </si>
  <si>
    <t>Glenfarclas 15 Years Tasting Pack</t>
  </si>
  <si>
    <t>Glenfarclas 40 Year Old 1976 Family Collector Series VI + GB</t>
  </si>
  <si>
    <t>Glenfiddich 12 Years + 2 Glasses</t>
  </si>
  <si>
    <t>Glenfiddich 18 Years Small Batch + 2 Glasses</t>
  </si>
  <si>
    <t>Glenfiddich 25 Years + GB</t>
  </si>
  <si>
    <t>Glenfiddich 26 Years Grand Couronne Artist Edition + GB</t>
  </si>
  <si>
    <t>Glenfiddich 26 Years Grande Couronne + GB</t>
  </si>
  <si>
    <t>Glenfiddich 29 years Grand Yozakura + GB</t>
  </si>
  <si>
    <t>Glenfiddich 30 Years + GB</t>
  </si>
  <si>
    <t>Glenfiddich 40 Year Old Cumulative Time - Time Reimagined</t>
  </si>
  <si>
    <t>Glenfiddich IPA + GB</t>
  </si>
  <si>
    <t>Glenfiddich Malt Master's Edition + 2 Glasses</t>
  </si>
  <si>
    <t>Glenfiddich Perpetual Collection 15 Years Vat 3  + GB</t>
  </si>
  <si>
    <t>Glenfiddich Reserve Cask + GB</t>
  </si>
  <si>
    <t>Glenfiddich Select Cask + GB</t>
  </si>
  <si>
    <t>Glenglassaugh 12 Years</t>
  </si>
  <si>
    <t>Glenglassaugh Sandend</t>
  </si>
  <si>
    <t>Glengoyne 25 Years + GB</t>
  </si>
  <si>
    <t>Glengoyne 25 Years + Wooden GB</t>
  </si>
  <si>
    <t>Glengoyne Balbaina + GB</t>
  </si>
  <si>
    <t>Glenmorangie 10 Years</t>
  </si>
  <si>
    <t>Glenmorangie 10 Years The Original</t>
  </si>
  <si>
    <t>Glenmorangie 15 Years The Cadboll Batch 2 + GB</t>
  </si>
  <si>
    <t>Glenmorangie 19 Years + GB</t>
  </si>
  <si>
    <t>Glenmorangie A Tale Of Forest + GB</t>
  </si>
  <si>
    <t>Glenmorangie Grand Vintage 1997 + Wooden GB</t>
  </si>
  <si>
    <t>Glenmorangie Grand Vintage Malt 1995 + Wooden GB</t>
  </si>
  <si>
    <t>Glenmorangie X</t>
  </si>
  <si>
    <t>Glenturret 33 Years The Trinity Provenance By Lalique + GB</t>
  </si>
  <si>
    <t>Gold 999.9 + Glass</t>
  </si>
  <si>
    <t>Gold Fusion Fortune</t>
  </si>
  <si>
    <t>Gold Fusion Vulcano</t>
  </si>
  <si>
    <t>Golden Rhino Gin + GB</t>
  </si>
  <si>
    <t>Gordon's Gin PET</t>
  </si>
  <si>
    <t>Gordon's Mediterranean Orange</t>
  </si>
  <si>
    <t>Gran Chaco Organic Ron + 2 Glasses</t>
  </si>
  <si>
    <t>Grappa Nonino Riserva Vendemmia</t>
  </si>
  <si>
    <t>Greenalls Original London Dry Gin</t>
  </si>
  <si>
    <t>Greenall's Original London Dry Gin</t>
  </si>
  <si>
    <t>G'vine Floraison Df-Label</t>
  </si>
  <si>
    <t>Hakushu 12 Years + GB</t>
  </si>
  <si>
    <t>Half Hitch Gin</t>
  </si>
  <si>
    <t>Hapusa Himalayan Dry Gin</t>
  </si>
  <si>
    <t>Harahorn Norwegian Pink Gin</t>
  </si>
  <si>
    <t>Haran 12 Years Cider Finish</t>
  </si>
  <si>
    <t>Haran 12 Years Iberian Oak</t>
  </si>
  <si>
    <t>Haran 12 Years Porto Finish</t>
  </si>
  <si>
    <t>Haran 12 Years Sherry Finish</t>
  </si>
  <si>
    <t>Haran 18 Years Small Batch Reserve</t>
  </si>
  <si>
    <t>Haran 21 Years Single Malt</t>
  </si>
  <si>
    <t>Hatozaki Blended Malt + GB</t>
  </si>
  <si>
    <t>Hatozaki Pure Malt + GB</t>
  </si>
  <si>
    <t>Havana Club 15 Anos + GB</t>
  </si>
  <si>
    <t>Havana Club Tributo 2021 Limited Edition + GB</t>
  </si>
  <si>
    <t>Heeren van Oranje Nassau Merlot</t>
  </si>
  <si>
    <t>Heeren van Oranje Nassau Sauvignon Blanc</t>
  </si>
  <si>
    <t>Hendrick's Gin Maestro + Jigger</t>
  </si>
  <si>
    <t>Hendrick's Maestro Gin &amp; Tonic Set (35CL + 75CL)</t>
  </si>
  <si>
    <t>Hendrick's Midsummer Solstice</t>
  </si>
  <si>
    <t>Henkes Bessen</t>
  </si>
  <si>
    <t>Hennessy Paradis Extra + GB</t>
  </si>
  <si>
    <t>Hennessy VSOP Privilege</t>
  </si>
  <si>
    <t>Hennessy VSOP Privilege + GB</t>
  </si>
  <si>
    <t>Hennessy XXO + GB</t>
  </si>
  <si>
    <t>Henri Bardouin Pastis Grand Cru + GB</t>
  </si>
  <si>
    <t>Herradura Reposado</t>
  </si>
  <si>
    <t>Hibiki Blossom Harmony Limited Edition 2022 + GB</t>
  </si>
  <si>
    <t>Hibiki Harmony</t>
  </si>
  <si>
    <t>Hierbas Mari Mayans Ibicencas</t>
  </si>
  <si>
    <t>Hierbas Mari Mayans Special Edition</t>
  </si>
  <si>
    <t>High West American Prairie + GB</t>
  </si>
  <si>
    <t>High West Campfire</t>
  </si>
  <si>
    <t>Highland Park 12 Years + 2 Glasses</t>
  </si>
  <si>
    <t>Highland Park 16 Years Wings Of The Eagle + GB</t>
  </si>
  <si>
    <t>Highland Park 18 Years Viking Pride Travel Edition + GB</t>
  </si>
  <si>
    <t>Highland Park Explorers Selection Pack</t>
  </si>
  <si>
    <t>Highland Park Spirit Of The Bear + GB</t>
  </si>
  <si>
    <t>Highland Park Valknut + GB</t>
  </si>
  <si>
    <t>Hijos De Villa Tequila Blanco Pist.+2 Glasses + GB</t>
  </si>
  <si>
    <t>Hijos De Villa Tequila Rep. Pist.+ 2 Glasses + GB</t>
  </si>
  <si>
    <t>Hunter Laing Campbeltown Journey + GB</t>
  </si>
  <si>
    <t>Inchgower 14 Years - Flora &amp; Fauna</t>
  </si>
  <si>
    <t>Izarra Jaune</t>
  </si>
  <si>
    <t>Jack Daniel’s Single Barrel - Barrel Strength + GB</t>
  </si>
  <si>
    <t>Jack Daniels &amp; Woodford Experience Whiskey Set</t>
  </si>
  <si>
    <t>Jack Daniel's + 2 Glasses 2021 Edition</t>
  </si>
  <si>
    <t>Jack Daniel's + 2 Glasses 2022 Edition</t>
  </si>
  <si>
    <t>Jack Daniel's + Alarm Clock</t>
  </si>
  <si>
    <t>Jack Daniel's + Tin GB</t>
  </si>
  <si>
    <t>Jack Daniel's American Single Malt</t>
  </si>
  <si>
    <t>Jack Daniel's Gold No.27 + GB</t>
  </si>
  <si>
    <t>Jack Daniel's Honey + 2 Glasses</t>
  </si>
  <si>
    <t>Jack Daniel's NRF</t>
  </si>
  <si>
    <t>Jack Daniel's Rye Tennessee Straight</t>
  </si>
  <si>
    <t>Jack Daniel's Single Barrel</t>
  </si>
  <si>
    <t>Jack Daniel's Single Barrel + Metal GB</t>
  </si>
  <si>
    <t>Jagermeister + Ice Shotglasses</t>
  </si>
  <si>
    <t>Jagermeister Party Box</t>
  </si>
  <si>
    <t>Jagermeister Scharf Hot Ginger</t>
  </si>
  <si>
    <t>Jameson 18 Years Bow Street + GB</t>
  </si>
  <si>
    <t>Jameson Black Barrel + 2 Glasses</t>
  </si>
  <si>
    <t>Jameson Crested Ten + GB</t>
  </si>
  <si>
    <t>Jameson NRF + Cradle</t>
  </si>
  <si>
    <t>Janneau VSOP Armagnac + GB</t>
  </si>
  <si>
    <t>Jawbox Small Batch Gin + Mug</t>
  </si>
  <si>
    <t>Jim Beam 15 Years Lineage Limited Batch Release + GB</t>
  </si>
  <si>
    <t>Jim Beam Red Stag</t>
  </si>
  <si>
    <t>Jin Jiji India Dry Gin</t>
  </si>
  <si>
    <t>Jinro Soju Chamisul Class</t>
  </si>
  <si>
    <t>Jinro Soju Grapefruit</t>
  </si>
  <si>
    <t>Joe Got A Gun</t>
  </si>
  <si>
    <t>John Powers Irish</t>
  </si>
  <si>
    <t>Johnnie Walker 18 Years The Ultimate + GB</t>
  </si>
  <si>
    <t>Johnnie Walker 48 Years Master Of Flavour + GB</t>
  </si>
  <si>
    <t>Johnnie Walker Black label</t>
  </si>
  <si>
    <t>Johnnie Walker Black Label + 2 Highballs</t>
  </si>
  <si>
    <t>Johnnie Walker Black Label Highlands Origin + GB</t>
  </si>
  <si>
    <t>Johnnie Walker Black Label Islay Origin + GB</t>
  </si>
  <si>
    <t>Johnnie Walker Black label Sherry Finish + GB</t>
  </si>
  <si>
    <t>Johnnie Walker Black Triple Cask + GB</t>
  </si>
  <si>
    <t>Johnnie Walker Blender’s Batch Bourbon Cask + GB</t>
  </si>
  <si>
    <t>Johnnie Walker Blue Label + Tumblers</t>
  </si>
  <si>
    <t>Johnnie Walker Gold Fire Cracker</t>
  </si>
  <si>
    <t>Johnnie Walker Gold Label Limited Edition</t>
  </si>
  <si>
    <t>Johnnie Walker Gold Reserve Icons</t>
  </si>
  <si>
    <t>Johnnie Walker Multi Advent Calendar (12x5CL)</t>
  </si>
  <si>
    <t>Julischka Likör</t>
  </si>
  <si>
    <t>Jura 14 Years  American Rye Cask + GB</t>
  </si>
  <si>
    <t>Jura French Oak + GB</t>
  </si>
  <si>
    <t>Kah Tequila Anejo</t>
  </si>
  <si>
    <t>Kaiyo Mizunara Oak Cask Strength</t>
  </si>
  <si>
    <t>Kavalan Classic Single Malt + GB</t>
  </si>
  <si>
    <t>Kavalan Concertmaster Port Cask Finish + GB</t>
  </si>
  <si>
    <t>Kavalan Ex Bourbon Oak + GB</t>
  </si>
  <si>
    <t>Kavalan Oloroso Sherry Oak + GB</t>
  </si>
  <si>
    <t>Kavalan Solist + GB</t>
  </si>
  <si>
    <t>Kavalan Solist Madeira + GB</t>
  </si>
  <si>
    <t>KI NO BI Kyoto Dry Gin Tri-Pack</t>
  </si>
  <si>
    <t>Kilchoman Loch Gorm Limited Edition 2023 + GB</t>
  </si>
  <si>
    <t>Kilchoman Machir Bay + 2 Tasting Glasses</t>
  </si>
  <si>
    <t>Kilkerran 12 Years</t>
  </si>
  <si>
    <t>Kilkerran Heavily Peated Batch #7</t>
  </si>
  <si>
    <t>Kilkerran Heavily Peated Batch #8</t>
  </si>
  <si>
    <t>Kingsbarns Dream to Dram + GB</t>
  </si>
  <si>
    <t>Kirk And Sweeney Gran Reserva Superior</t>
  </si>
  <si>
    <t>Kirker &amp; Greeg 16 Years Single Malt</t>
  </si>
  <si>
    <t>Kirker &amp; Greer Shamrock 10 Years Cask Strength + GB</t>
  </si>
  <si>
    <t>Kirker &amp; Greer Shamrock 10 Years Single Grain</t>
  </si>
  <si>
    <t>Kirker &amp; Greer Single Grain 10 Years + GB</t>
  </si>
  <si>
    <t>Kiss Detroit Rock Rum</t>
  </si>
  <si>
    <t>Knob Creek 9 Years</t>
  </si>
  <si>
    <t>Knut Hansen Gin &amp; Knut Hansen 0.0 + GB</t>
  </si>
  <si>
    <t>Kokoro Gin</t>
  </si>
  <si>
    <t>Kraken Black Spiced Ceramic White 2017</t>
  </si>
  <si>
    <t>Kraken Black Spiced Unknown Deep #01 Black Edition 2020</t>
  </si>
  <si>
    <t>Krug Grande Cuvee 170 eme Edition Brut + GB</t>
  </si>
  <si>
    <t>Krug Grande Cuvee 171th Edition + GB</t>
  </si>
  <si>
    <t>Krug Grande Cuvee Brut + GB</t>
  </si>
  <si>
    <t>Krug Grande Cuvee Brut 170th Edition</t>
  </si>
  <si>
    <t>Krug Grande Cuvee Rose</t>
  </si>
  <si>
    <t>Kujira Ryukyu 24 Years + GB</t>
  </si>
  <si>
    <t>Kura Pure Malt + GB</t>
  </si>
  <si>
    <t>Kyrö Gin</t>
  </si>
  <si>
    <t>La Maison du Rhum Colombia Hacienda Coloma 2010 Batch 5 + GB</t>
  </si>
  <si>
    <t>La Maison du Rhum Paraguay Fortin 2008 Batch 5 + GB</t>
  </si>
  <si>
    <t>La Maison du Rhum Peru 2012 Batch 5 + GB</t>
  </si>
  <si>
    <t>La Maison du Rhum Trinidad Batch 5 + GB</t>
  </si>
  <si>
    <t>La Petite Merveille</t>
  </si>
  <si>
    <t>Lagavulin 11 Years Old Offerman Edition Oak Cask + GB</t>
  </si>
  <si>
    <t>Lagavulin 12 Years Special Release 2021 + GB</t>
  </si>
  <si>
    <t>Lagavulin 26 Years Special Release 2021 + GB</t>
  </si>
  <si>
    <t>Lagavulin 9 Years - Game Of Thrones + GB</t>
  </si>
  <si>
    <t>Lamborghini Brut V12 Vino Spumante + GB</t>
  </si>
  <si>
    <t>Lamborghini Extra Dry Prosecco D.O.C. Treviso Copper</t>
  </si>
  <si>
    <t>Lamborghini Luxe Rosso Rosso Umbria IGT 2015</t>
  </si>
  <si>
    <t>Lanson Black Label Brut</t>
  </si>
  <si>
    <t>Laphroaig 10 Years Cask Strength Batch 13 + GB</t>
  </si>
  <si>
    <t>Laphroaig 10 Years Cask Strength Batch 14 + GB</t>
  </si>
  <si>
    <t>Laphroaig 10 Years Cask Strength Batch 15 + GB</t>
  </si>
  <si>
    <t>Larios London Dry Gin</t>
  </si>
  <si>
    <t>Larios Provenzal</t>
  </si>
  <si>
    <t>Lauder's Finest</t>
  </si>
  <si>
    <t>Lazy Dodo Mauritius Island Rum + GB</t>
  </si>
  <si>
    <t>Le Monde Chardonnay 2020</t>
  </si>
  <si>
    <t>Le Monde Friulano 2020</t>
  </si>
  <si>
    <t>Le Monde Ribolla Gialla 2022</t>
  </si>
  <si>
    <t>Ledaig Sinclair Series Rioja Cask</t>
  </si>
  <si>
    <t>Legend Of Kremlin Black + Gold Book</t>
  </si>
  <si>
    <t>Legend of Kremlin Black + Golden GB</t>
  </si>
  <si>
    <t>Legend of Kremlin Black NRF + Gold Book</t>
  </si>
  <si>
    <t>Legend Of Kremlin Gold + NRF</t>
  </si>
  <si>
    <t>Legend of Kremlin Gold Bottle NRF + Red Book</t>
  </si>
  <si>
    <t>Legend Of Kremlin NRF</t>
  </si>
  <si>
    <t>Legend of Kremlin NRF + Black Book</t>
  </si>
  <si>
    <t>Legend Of Kremlin Vodka</t>
  </si>
  <si>
    <t>Legendario Anejo 9 + GB</t>
  </si>
  <si>
    <t>Legendario Dorado NRF</t>
  </si>
  <si>
    <t>Legent Bourbon</t>
  </si>
  <si>
    <t>Level Gin</t>
  </si>
  <si>
    <t>Licor 43 Horchata NRF</t>
  </si>
  <si>
    <t>Liverpool Gin Organic</t>
  </si>
  <si>
    <t>Loch Lomond 18 Years Single Malt + GB</t>
  </si>
  <si>
    <t>Loch Lomond Inchmurrin 12 Years + GB</t>
  </si>
  <si>
    <t>London Essence Pomelo &amp; Pink Pepper</t>
  </si>
  <si>
    <t>Longmorn 16 Years + GB</t>
  </si>
  <si>
    <t>Longmorn 18 Years + GB</t>
  </si>
  <si>
    <t>Longmorn 25 Years Cask Strength + GB</t>
  </si>
  <si>
    <t>Longmorn Distillers Choice + GB</t>
  </si>
  <si>
    <t>Longrow 18 Years + GB</t>
  </si>
  <si>
    <t>Longrow Peated</t>
  </si>
  <si>
    <t>Lost Distillery Dalaruan + GB</t>
  </si>
  <si>
    <t>Lost Distillery Dalaruan Archivist Collection + GB</t>
  </si>
  <si>
    <t>Lost Distillery Jericho</t>
  </si>
  <si>
    <t>Lost Distillery Jericho + Tin GB</t>
  </si>
  <si>
    <t>Lost Distillery Lossit</t>
  </si>
  <si>
    <t>Lost Distillery Lossit Archivist Collection + GB</t>
  </si>
  <si>
    <t>Lost Distillery Stratheden + Tin GB</t>
  </si>
  <si>
    <t>Lost Distillery Stratheden Archivist Collection + GB</t>
  </si>
  <si>
    <t>Lost Distillery Towiemore Archivist Collection + GB</t>
  </si>
  <si>
    <t>Lot No. 40 Rye Whisky</t>
  </si>
  <si>
    <t>Louis Roederer Cristal Brut 2012 + GB</t>
  </si>
  <si>
    <t>Louis Roederer Cristal Brut 2013 + GB</t>
  </si>
  <si>
    <t>Louis Roederer Cristal Brut 2014</t>
  </si>
  <si>
    <t>Louis Roederer Cristal Rose 2013 Brut + GB</t>
  </si>
  <si>
    <t>Luc Belaire Gold Brut</t>
  </si>
  <si>
    <t>Luc Belaire Rare Lux + Tube GB</t>
  </si>
  <si>
    <t>Luc Belaire Rare Rose + 2 Glasses</t>
  </si>
  <si>
    <t>Luc Belaire Rare Rose + Tube GB</t>
  </si>
  <si>
    <t>Luc Belaire Rare Rose Art Series by Gregoire Devin</t>
  </si>
  <si>
    <t>Lucarelli WT Puglia Rosso 2020</t>
  </si>
  <si>
    <t>Luxardo Maraschino</t>
  </si>
  <si>
    <t>Luxardo Passione Nera</t>
  </si>
  <si>
    <t>Macaronesian</t>
  </si>
  <si>
    <t>Mackmyra Destination + GB</t>
  </si>
  <si>
    <t>Mackmyra LAB + Distillery Organic Gin</t>
  </si>
  <si>
    <t>Mackmyra Limousin + GB</t>
  </si>
  <si>
    <t>Mackmyra Moment Virvelvind + GB</t>
  </si>
  <si>
    <t>Mackmyra Stjarnrok + GB</t>
  </si>
  <si>
    <t>MacNair's 15 Years Panama Exploration + GB</t>
  </si>
  <si>
    <t>Macnair's Lum Creek 21 Years + GB</t>
  </si>
  <si>
    <t>Maker's Mark + GB</t>
  </si>
  <si>
    <t>Maker's Mark 101 + GB</t>
  </si>
  <si>
    <t>Malfy Gin Range Mini</t>
  </si>
  <si>
    <t>Malibu Black</t>
  </si>
  <si>
    <t>Malteco 20 Years Rum Reserva Del Fundador + GB</t>
  </si>
  <si>
    <t>Malteser</t>
  </si>
  <si>
    <t>Mannochmore 12 Years - Flora &amp; Fauna</t>
  </si>
  <si>
    <t>Mariacron</t>
  </si>
  <si>
    <t>Marrone Langhe Arneis "Tre Fies" Doc Langhe 2021</t>
  </si>
  <si>
    <t>Marrone Langhe DOC Arneis 2022</t>
  </si>
  <si>
    <t>Martin Miller's Westbourne Strength + GB</t>
  </si>
  <si>
    <t>Martini China Martini Lamaro</t>
  </si>
  <si>
    <t>Mates Gold Chocomates + GB</t>
  </si>
  <si>
    <t>Mateus Rose</t>
  </si>
  <si>
    <t>Matusalem 15 Years + GB</t>
  </si>
  <si>
    <t>Medea</t>
  </si>
  <si>
    <t>Menard VSOP + GB</t>
  </si>
  <si>
    <t>Metaxa 12* + GB</t>
  </si>
  <si>
    <t>Metaxa 7* + GB</t>
  </si>
  <si>
    <t>Metaxa 7* + Glass</t>
  </si>
  <si>
    <t>Meukow Nec Plus Ultra + GB</t>
  </si>
  <si>
    <t>Meukow XO Ice Panther + Glass</t>
  </si>
  <si>
    <t>Mezan XO + GB</t>
  </si>
  <si>
    <t>Michter's Bourbon</t>
  </si>
  <si>
    <t>Midleton Very Rare Irish + GB</t>
  </si>
  <si>
    <t>Midleton Very Rare Irish 2018 + GB</t>
  </si>
  <si>
    <t>Milk &amp; Honey Classic Single Malt + GB</t>
  </si>
  <si>
    <t>Mintis Gin Originale &amp; Mint</t>
  </si>
  <si>
    <t>Moet &amp; Chandon Brut Mathusalem + Wooden GB</t>
  </si>
  <si>
    <t>Moet &amp; Chandon Grand Vintage Rose 2015 + GB</t>
  </si>
  <si>
    <t>Moet &amp; Chandon Ice Imperial + 2 Glasses  Demi-Sec Giftpack</t>
  </si>
  <si>
    <t>Moet &amp; Chandon Imperial Brut Jeroboam + Wooden GB</t>
  </si>
  <si>
    <t>Moet &amp; Chandon Nir Dry Rose</t>
  </si>
  <si>
    <t>Moet &amp; Chandon Rose I Love You Limited Edition + GB</t>
  </si>
  <si>
    <t>Molinari Sambuca Extra</t>
  </si>
  <si>
    <t>Molly Malone Small Batch Irish Whiskey</t>
  </si>
  <si>
    <t>Monin Coco</t>
  </si>
  <si>
    <t>Monin Mango</t>
  </si>
  <si>
    <t>Monin Peche</t>
  </si>
  <si>
    <t>Monin Pur Sucre De Cannes</t>
  </si>
  <si>
    <t>Monkey 47 Barrel Cut</t>
  </si>
  <si>
    <t>Monkey 47 Barrel Cut + GB</t>
  </si>
  <si>
    <t>Monkey Shoulder + Cocktail Strainer</t>
  </si>
  <si>
    <t>Monkey Shoulder + Glass</t>
  </si>
  <si>
    <t>Monkey Shoulder Gorilla + Cradle</t>
  </si>
  <si>
    <t>Monson's Dry Gin</t>
  </si>
  <si>
    <t>Mortlach 14 Years + GB</t>
  </si>
  <si>
    <t>Mortlach 15 Years Game Of Thrones + GB</t>
  </si>
  <si>
    <t>Mortlach 20 Years + GB</t>
  </si>
  <si>
    <t>Motorhead Road Crew</t>
  </si>
  <si>
    <t>Mozart Chocolate Cream Pumpkin Spice</t>
  </si>
  <si>
    <t>Mulassano Vermouth Extra Dry</t>
  </si>
  <si>
    <t>Mumm Brut Cordon Rouge</t>
  </si>
  <si>
    <t>Nc'Nean Organic Single Malt Batch 18 + GB</t>
  </si>
  <si>
    <t>Neft Black Barrel</t>
  </si>
  <si>
    <t>Nicolas Feuillatte Selection Brut</t>
  </si>
  <si>
    <t>Nicosia Cerasuolo Di Vittoria Sabbie Suta</t>
  </si>
  <si>
    <t>Nicosia Due Neri 2016</t>
  </si>
  <si>
    <t>Nicosia Etna Rosso Monte Gorna 2018</t>
  </si>
  <si>
    <t>Nicosia Frappato Bio Vegan 2021</t>
  </si>
  <si>
    <t>Nicosia Frappato Bio Vegan Fondo Filara 2020</t>
  </si>
  <si>
    <t>Nicosia Grillo 898 2021</t>
  </si>
  <si>
    <t>Nicosia Insolia Fondo Filara Bio 2019</t>
  </si>
  <si>
    <t>Nicosia Nero d’Avola 1898 IGT 2020</t>
  </si>
  <si>
    <t>Nicosia Nero D'Avola Bio/Vegan 2020</t>
  </si>
  <si>
    <t>Nicosia Nero d'Avola Riserva Sosta tre Santi 2011</t>
  </si>
  <si>
    <t>Nicosia Passicato Rosso Terre Siciliane 2019</t>
  </si>
  <si>
    <t>Nicosia Vulka Etna Bianco 2015</t>
  </si>
  <si>
    <t>Nicosia Zibibbo 2021</t>
  </si>
  <si>
    <t>Nikka Gold &amp; Gold - Samurai Edition + GB</t>
  </si>
  <si>
    <t>Nikka Miyagikyo Discovery Aromatic Yeast 2022 + GB</t>
  </si>
  <si>
    <t>Nikka Yoichi Discovery Aromatic Yeast 2022 + GB</t>
  </si>
  <si>
    <t>Nikka Yoichi Single Malt</t>
  </si>
  <si>
    <t>Nobeltje Jenever</t>
  </si>
  <si>
    <t>Oban 12 Years Special Release 2021 + GB</t>
  </si>
  <si>
    <t>Oban Bay Reserve - Game Of Thrones + GB</t>
  </si>
  <si>
    <t>Ojo de Tigre Joven</t>
  </si>
  <si>
    <t>Ojo de Tigre Mezcal Reposado</t>
  </si>
  <si>
    <t>Old Pascas Rum White</t>
  </si>
  <si>
    <t>Old St. Andrews Clubhouse Whiskey Baubles (3x5Cl)</t>
  </si>
  <si>
    <t>Old Virginia 6 Years Kentucky Straight Bourbon</t>
  </si>
  <si>
    <t>Ole Smoky Mango Habanero</t>
  </si>
  <si>
    <t>O'live Gin + 2 Glasses</t>
  </si>
  <si>
    <t>Optimum Dark</t>
  </si>
  <si>
    <t>Oranje Knaller PET</t>
  </si>
  <si>
    <t>Oreg Strawberry Old Tom</t>
  </si>
  <si>
    <t>Osborne Magno</t>
  </si>
  <si>
    <t>Ouzo 12 + GB</t>
  </si>
  <si>
    <t>Ouzo 12 Longdrink Glas</t>
  </si>
  <si>
    <t>Pacharan Zoco</t>
  </si>
  <si>
    <t>Pallini Limoncello + Glas</t>
  </si>
  <si>
    <t>Pallini Limoncello Cream</t>
  </si>
  <si>
    <t>Panda Gin Limited Edition 2022</t>
  </si>
  <si>
    <t>Panda Gin Limited Edition 2023 + GB</t>
  </si>
  <si>
    <t>Panda Gin Limited Edition Denis Meyers</t>
  </si>
  <si>
    <t>Pasabahce Borrel Glas 6cl</t>
  </si>
  <si>
    <t>Patridom 12 Years Selection Exclusiva + GB</t>
  </si>
  <si>
    <t>Patron Citronge Orange</t>
  </si>
  <si>
    <t>Patron Gran Burdeos + GB</t>
  </si>
  <si>
    <t>Patron Gran Platinum + GB</t>
  </si>
  <si>
    <t>Patron Silver Limited Edition Metal Tin + GB</t>
  </si>
  <si>
    <t>Patron Silver Tequila</t>
  </si>
  <si>
    <t>Paul John Peated Select Cask + GB</t>
  </si>
  <si>
    <t>Pavlov Vodka</t>
  </si>
  <si>
    <t>Peaky Blinder Bourbon Whiskey</t>
  </si>
  <si>
    <t>Penderyn Faraday + GB</t>
  </si>
  <si>
    <t>Penderyn Legend + GB</t>
  </si>
  <si>
    <t>Penderyn Madeira + GB</t>
  </si>
  <si>
    <t>Penderyn Peated + GB</t>
  </si>
  <si>
    <t>Penderyn Portwood + GB</t>
  </si>
  <si>
    <t>Penderyn Rich Oak + GB</t>
  </si>
  <si>
    <t>Penderyn Sherry Wood + GB</t>
  </si>
  <si>
    <t>Pere Magloire VS</t>
  </si>
  <si>
    <t>Perrier Jouet Belle Epoque Brut 2014 + GB</t>
  </si>
  <si>
    <t>Perrier Jouet Belle Epoque Rose 2012 + GB</t>
  </si>
  <si>
    <t>Perrier Jouet Blason Rose</t>
  </si>
  <si>
    <t>Perrier Jouet Grand Brut + 2 Glasses</t>
  </si>
  <si>
    <t>Perrier Jouet Grand Brut + GB</t>
  </si>
  <si>
    <t>Petrus Boonekamp Bitter + GB</t>
  </si>
  <si>
    <t>Petrus Boonekamp Bitter + Glasses</t>
  </si>
  <si>
    <t>Phoenix Tears Spiced</t>
  </si>
  <si>
    <t>Pickering's Festively Flavoured Gin Baubles (6x5CL) + GB</t>
  </si>
  <si>
    <t>Piper Heidsieck Cuvee Brut + GB</t>
  </si>
  <si>
    <t>Piper Heidsieck Demi Sec</t>
  </si>
  <si>
    <t>Pipers Clan</t>
  </si>
  <si>
    <t>Pirate's Grog 13 Years No.13 Single Batch</t>
  </si>
  <si>
    <t>Pirate's Grog No.13 - Personalised Gift Chest</t>
  </si>
  <si>
    <t>Pirate's Grog Spiced Rum</t>
  </si>
  <si>
    <t>Pirate's Grog Spiced Rum + Personalised Gift Chest</t>
  </si>
  <si>
    <t>Pisang Ambon Guarana Lime</t>
  </si>
  <si>
    <t>Pisco Capel Mango</t>
  </si>
  <si>
    <t>Plantation Experience Giftpack (6X10CL Bottles)</t>
  </si>
  <si>
    <t>Plymouth Original Strength Dry Gin</t>
  </si>
  <si>
    <t>Plymouth Sloe Gin</t>
  </si>
  <si>
    <t>Poli Sarpa Oro Barrique + GB</t>
  </si>
  <si>
    <t>Pongo Rum Punch Ginger Pepper &amp; Honey</t>
  </si>
  <si>
    <t>Pongo Rum Punch Papaya</t>
  </si>
  <si>
    <t>Port Askaig 100 Proof + GB</t>
  </si>
  <si>
    <t>Port Askaig 8 Years + 2 Glasses</t>
  </si>
  <si>
    <t>Porter's Tropical Old Tom</t>
  </si>
  <si>
    <t>Portobello Road No.171 London Dry Gin</t>
  </si>
  <si>
    <t>Pravda Caramel</t>
  </si>
  <si>
    <t>Pravda Citron</t>
  </si>
  <si>
    <t>Pravda Pineapple</t>
  </si>
  <si>
    <t>Pravda Raspberry</t>
  </si>
  <si>
    <t>Proclamation + GB</t>
  </si>
  <si>
    <t>Puerto De Indias Strawberry Gin + Glass</t>
  </si>
  <si>
    <t>Pusser Deptford 2022 Special Reserve</t>
  </si>
  <si>
    <t>Raki Tekirdag No.10</t>
  </si>
  <si>
    <t>Ramazzotti Sambuca NRF</t>
  </si>
  <si>
    <t>Rammstein Hipflask</t>
  </si>
  <si>
    <t>Rammstein Rosenrot Rose 2022</t>
  </si>
  <si>
    <t>Rammstein Rotwein 'Wiener Blut' 2019</t>
  </si>
  <si>
    <t>Rebel Straight Bourbon</t>
  </si>
  <si>
    <t>Red Bull</t>
  </si>
  <si>
    <t>Redbreast 12 Years Bird Feeder + GB</t>
  </si>
  <si>
    <t>Redbreast 12 Years Single Pot Still Cask Strength + GB</t>
  </si>
  <si>
    <t>Redbreast 27 Years Single Pot Still Batch No. 4 + Wooden GB</t>
  </si>
  <si>
    <t>Redbreast 27 Years Single Pot Still Batch No.2 + GB</t>
  </si>
  <si>
    <t>Relicario Peated Finish</t>
  </si>
  <si>
    <t>Remy martin Louis XIII + GB</t>
  </si>
  <si>
    <t>Remy Martin Tercet + GB</t>
  </si>
  <si>
    <t>Remy Martin XO + Banderol</t>
  </si>
  <si>
    <t>Riga Black Balsam Cherry</t>
  </si>
  <si>
    <t>Rockstar Two Swallows Banana &amp; Salted Caramel</t>
  </si>
  <si>
    <t>Rockstar Two Swallows Orange &amp; Ginger</t>
  </si>
  <si>
    <t>Rockstar Two Swallows Pineapple &amp; Salted Caramel</t>
  </si>
  <si>
    <t>Ron Cubay 14 Years Carta Blanca Extra Viejo + GB</t>
  </si>
  <si>
    <t>Ron Esclavo Gran Reserva</t>
  </si>
  <si>
    <t>Ron Esclavo Gran Reserva Overproof</t>
  </si>
  <si>
    <t>Ron Esclavo XO Cask + GB</t>
  </si>
  <si>
    <t>Ron Miel Guanche Arehucas</t>
  </si>
  <si>
    <t>Ron Millonario 10 Years</t>
  </si>
  <si>
    <t>Ron Millonario Reserva Especial 15</t>
  </si>
  <si>
    <t>Ron Santiago De Cuba 12 Years Extra Anejo NRF + GB</t>
  </si>
  <si>
    <t>Ron Santiago De Cuba Anejo</t>
  </si>
  <si>
    <t>Ron Santiago De Cuba Carta Blanca NRF</t>
  </si>
  <si>
    <t>Rooster and Wolf Fine Brandy</t>
  </si>
  <si>
    <t>Rooster Rojo Anejo</t>
  </si>
  <si>
    <t>Royal Bison + GB</t>
  </si>
  <si>
    <t>Royal Brackla 12 Years + GB</t>
  </si>
  <si>
    <t>Royal Brackla 21 Years + GB</t>
  </si>
  <si>
    <t>Ruinart Blanc De Blancs Second Skin</t>
  </si>
  <si>
    <t>Rum &amp; Cane Merchants Gift Set</t>
  </si>
  <si>
    <t>Rum Tasting Set + GB</t>
  </si>
  <si>
    <t>Rumbullion! 15 Years XO</t>
  </si>
  <si>
    <t>Rumbullion! Navy Strength</t>
  </si>
  <si>
    <t>Russian Standard Gold DF-Label</t>
  </si>
  <si>
    <t>Russian Standard Jewelry Special Edition DF label</t>
  </si>
  <si>
    <t>Russian Standard Original</t>
  </si>
  <si>
    <t>Russian Standard Original DF-Label</t>
  </si>
  <si>
    <t>Russian Standard Original DF-Label Twinpack</t>
  </si>
  <si>
    <t>Russian Standard Platinum</t>
  </si>
  <si>
    <t>Rutte Barrel Aged Genever</t>
  </si>
  <si>
    <t>Saint James Fleur de Canne</t>
  </si>
  <si>
    <t>Saint James Imperial Blanc</t>
  </si>
  <si>
    <t>Saint James Rhum Agricole Imperial Blanc Martiniqu</t>
  </si>
  <si>
    <t>Samuel Gelston's Blended</t>
  </si>
  <si>
    <t>San Felice Chianti Classico 2020</t>
  </si>
  <si>
    <t>San Felice Chianti Classico Gran Selezione  'IL Grigio' 2019</t>
  </si>
  <si>
    <t>San Felice Rosso di Montalcino Campogiovanni 2021</t>
  </si>
  <si>
    <t>San Felice Rosso Vigorello 2019</t>
  </si>
  <si>
    <t>San Lino Ron De Cuba Blanco</t>
  </si>
  <si>
    <t>Santa Ana</t>
  </si>
  <si>
    <t>Santa Maria Al Monte Elixir Di Caffe NRF</t>
  </si>
  <si>
    <t>Santa Maria Al Monte Sambuca NRF</t>
  </si>
  <si>
    <t>Santa Maria La Palma Bombarde Cagnulari 2020</t>
  </si>
  <si>
    <t>Santa Maria La Palma Rafia Vermentino 2020</t>
  </si>
  <si>
    <t>Santocci Limoncello + Icebag</t>
  </si>
  <si>
    <t>Scapegrace Gold Dry Gin</t>
  </si>
  <si>
    <t>Shack Rum Honey</t>
  </si>
  <si>
    <t>Shack Rum Orange</t>
  </si>
  <si>
    <t>Shack Rum Red Spiced</t>
  </si>
  <si>
    <t>Shackleton</t>
  </si>
  <si>
    <t>Shackleton + GB</t>
  </si>
  <si>
    <t>Sharish Blue Magic</t>
  </si>
  <si>
    <t>Shinobu 10 Years + GB</t>
  </si>
  <si>
    <t>Sierra Cafe</t>
  </si>
  <si>
    <t>Sierra Reposado + Shotglass</t>
  </si>
  <si>
    <t>Sierra Silver PET</t>
  </si>
  <si>
    <t>Sikkim Privee</t>
  </si>
  <si>
    <t>Skooma Absinthe By Skyrim + GB</t>
  </si>
  <si>
    <t>Skully London Dry</t>
  </si>
  <si>
    <t>Sloane's Premium Dry Gin</t>
  </si>
  <si>
    <t>Smirnoff White</t>
  </si>
  <si>
    <t>Smokehead High Voltage + GB</t>
  </si>
  <si>
    <t>Smokehead Rum Rebel + GB</t>
  </si>
  <si>
    <t>Smokehead Sherry Cask Blast + GB</t>
  </si>
  <si>
    <t>Smokehead Terminado + GB</t>
  </si>
  <si>
    <t>Smokehead Tripack</t>
  </si>
  <si>
    <t>Somertijd Blond</t>
  </si>
  <si>
    <t>Soplica Czarna Porzeczka ‘Zwarte Bes’</t>
  </si>
  <si>
    <t>Spey Fumare + GB</t>
  </si>
  <si>
    <t>Speyburn 16 Years + GB</t>
  </si>
  <si>
    <t>Spirited Union Sweet Orange &amp; Ginger</t>
  </si>
  <si>
    <t>Stock 84</t>
  </si>
  <si>
    <t>Stronachie 10 Years + GB</t>
  </si>
  <si>
    <t>Suntory Roku Gin Select Edition</t>
  </si>
  <si>
    <t>Sylvius</t>
  </si>
  <si>
    <t>'t Nipperke + 2 Glasses</t>
  </si>
  <si>
    <t>Tabu 3-Pack</t>
  </si>
  <si>
    <t>Tails Cocktails Espresso Martini</t>
  </si>
  <si>
    <t>Taittinger Brut Prestige</t>
  </si>
  <si>
    <t>Taittinger Les Folies de la Marquetterie + GB</t>
  </si>
  <si>
    <t>Taittinger Prelude Grand Cru</t>
  </si>
  <si>
    <t>Talisker 10 Years Campfire Escape Pack + Mug</t>
  </si>
  <si>
    <t>Talisker 11 Years Special Release 2022 + GB</t>
  </si>
  <si>
    <t>Talisker 18 Years + GB</t>
  </si>
  <si>
    <t>Talisker 44 Years Forests Of The Deep + GB</t>
  </si>
  <si>
    <t>Talisker 8 Years Special Release 2021 + GB</t>
  </si>
  <si>
    <t>Talisker Select Reserve - Game Of Thrones + GB</t>
  </si>
  <si>
    <t>Tamnavulin White Wine finish Sauvignon Blanc + GB</t>
  </si>
  <si>
    <t>Tanqueray Exploration Pack</t>
  </si>
  <si>
    <t>Tasting Box - Cognac</t>
  </si>
  <si>
    <t>Tasting Box - Gin</t>
  </si>
  <si>
    <t>Tasting Box - Limoncello</t>
  </si>
  <si>
    <t>Tasting Box - Rum</t>
  </si>
  <si>
    <t>Tasting Box - Whisk(e)y Around The World</t>
  </si>
  <si>
    <t>Tasting Box - Whisky Scotland Malts</t>
  </si>
  <si>
    <t>Teacher's Highland Cream</t>
  </si>
  <si>
    <t>Teeling 13 Years  Old Single Grain + GB</t>
  </si>
  <si>
    <t>Teeling Pot Still Wonders of Wood Second Edition 2 + GB</t>
  </si>
  <si>
    <t>Teeling Small Batch + GB</t>
  </si>
  <si>
    <t>Teichenne Orange Liquor</t>
  </si>
  <si>
    <t>Tenuta Scuotto Fiano di Avellino 2021</t>
  </si>
  <si>
    <t>Tequila San Luis Blanco</t>
  </si>
  <si>
    <t>Terrazas High Altitude Vineyards Malbec 2019</t>
  </si>
  <si>
    <t>Terre Di Moro Montepulciano D'Abruzzo 2021</t>
  </si>
  <si>
    <t>The Copper In The Clouds Minature Set</t>
  </si>
  <si>
    <t>The Dalmore 18 Years 2022 Edition + GB</t>
  </si>
  <si>
    <t>The Dalmore 2007 Vintage + GB</t>
  </si>
  <si>
    <t>The Dalmore Quintet + GB</t>
  </si>
  <si>
    <t>The Dalmore Trio + GB</t>
  </si>
  <si>
    <t>The Deveron 18 Years + GB</t>
  </si>
  <si>
    <t>The Glendronach 18 Years Allardice + GB</t>
  </si>
  <si>
    <t>The Glendronach 21 Years Parliament + GB</t>
  </si>
  <si>
    <t>The Glenlivet 12 Years  + GB</t>
  </si>
  <si>
    <t>The Glenlivet 12 Years Double Oak + 2 Glasses</t>
  </si>
  <si>
    <t>The Glenlivet 18 Years + GB</t>
  </si>
  <si>
    <t>The Glenlivet 25 Years XXV + Wooden GB</t>
  </si>
  <si>
    <t>The Glenlivet Triple Cask Matured White Oak Reserve + GB</t>
  </si>
  <si>
    <t>The Glenrothes 10 Years + GB</t>
  </si>
  <si>
    <t>The Glenrothes 18 Years + GB</t>
  </si>
  <si>
    <t>The Glenrothes 25 Years + GB</t>
  </si>
  <si>
    <t>The Glenrothes Bourbon Cask Reserve + GB</t>
  </si>
  <si>
    <t>The Glenrothes Peated Cask Reserve + GB</t>
  </si>
  <si>
    <t>The Irishman Founder's Reserve + GB</t>
  </si>
  <si>
    <t>The Irishman Founders Reserve Caribbean Cask + GB</t>
  </si>
  <si>
    <t>The Kurayoshi 8 Years + GB</t>
  </si>
  <si>
    <t>The London No.1 Blue Gin</t>
  </si>
  <si>
    <t>The Macallan 18 Years Double Cask + GB</t>
  </si>
  <si>
    <t>The Macallan 18 Years Double Cask 2022 Edition + GB</t>
  </si>
  <si>
    <t>The Macallan 18 Years Sherry Oak + GB</t>
  </si>
  <si>
    <t>The Macallan 25 Years Sherry Cask + Wooden GB</t>
  </si>
  <si>
    <t>The Macallan 25 Years Sherry Oak + GB</t>
  </si>
  <si>
    <t>The Macallan 25 Years Sherry Oak 2022 Release + Wooden GB</t>
  </si>
  <si>
    <t>The Macallan 25 Years Sherry Oak Annual release 2023  + GB</t>
  </si>
  <si>
    <t>The Macallan 30 Years Double Cask + GB</t>
  </si>
  <si>
    <t>The Macallan 30 Years Sherry Oak Annual release 2023+ GB</t>
  </si>
  <si>
    <t>The Macallan 33 Years - 1989 Cask No. 6690 Sherry Wood + GB</t>
  </si>
  <si>
    <t>The Macallan A Night On Earth + GB</t>
  </si>
  <si>
    <t>The Macallan Gold Double Cask + GB</t>
  </si>
  <si>
    <t>The Macallan Lumina + GB</t>
  </si>
  <si>
    <t>The Macallan M Decanter 2022 Release + GB</t>
  </si>
  <si>
    <t>The Macallan Quest + GB</t>
  </si>
  <si>
    <t>The Macallan Rare Cask 2020 + GB</t>
  </si>
  <si>
    <t>The Macallan Rare Cask 2022 Edition + GB</t>
  </si>
  <si>
    <t>The Macallan Sir Peter Blake + GB</t>
  </si>
  <si>
    <t>The Macallan Terra + GB</t>
  </si>
  <si>
    <t>The Mosel Distillers Rubinette Apfel</t>
  </si>
  <si>
    <t>The Rum Box By World Class Rum (10x50ml)</t>
  </si>
  <si>
    <t>The Rum Box II By World Class Rum (10x50ml)</t>
  </si>
  <si>
    <t>The Rum Factory 15 Years</t>
  </si>
  <si>
    <t>The Singleton Malt Master's Selection</t>
  </si>
  <si>
    <t>The Singleton Of Glen Ord 15 Years Special Release 2022 + GB</t>
  </si>
  <si>
    <t>The Singleton Of Glendullan 12 Years + GB</t>
  </si>
  <si>
    <t>The Singleton Of Glendullan 15 Years + GB</t>
  </si>
  <si>
    <t>The Singleton of Glendullan 19 Years Special Release 21 + GB</t>
  </si>
  <si>
    <t>The Singleton Of Glendullan Classic + GB</t>
  </si>
  <si>
    <t>The Tottori Bourbon Barrel Blended Whisky + GB</t>
  </si>
  <si>
    <t>The Yamazaki 12 Years 100th Anniversary Edition + GB</t>
  </si>
  <si>
    <t>The Yamazaki 18 Years 100th Anniversary Edition + GB</t>
  </si>
  <si>
    <t>Tia Maria + 2 Glasses</t>
  </si>
  <si>
    <t>Tia Maria PET</t>
  </si>
  <si>
    <t>Togouchi 9 Years + GB</t>
  </si>
  <si>
    <t>Togouchi Premium + 2 Glasses</t>
  </si>
  <si>
    <t>Tokkelroom</t>
  </si>
  <si>
    <t>Tomintoul 14 Years + GB</t>
  </si>
  <si>
    <t>Tomintoul 16 Years + GB</t>
  </si>
  <si>
    <t>Tomintoul 18 Years + 2 Tumblers</t>
  </si>
  <si>
    <t>Tomintoul Cognac Cask + GB</t>
  </si>
  <si>
    <t>Tomintoul Five Decades + GB</t>
  </si>
  <si>
    <t>Tomintoul Pinot Noir Cask Finish + GB</t>
  </si>
  <si>
    <t>Tomintoul Seiridh + GB</t>
  </si>
  <si>
    <t>Tomintoul Tarn + GB</t>
  </si>
  <si>
    <t>Tomintoul Tawny Port + GB</t>
  </si>
  <si>
    <t>Tomintoul Tundra + GB</t>
  </si>
  <si>
    <t>Tomintoul White Port + GB</t>
  </si>
  <si>
    <t>Topanito Blanco Tequila</t>
  </si>
  <si>
    <t>Topanito Reposado Tequila</t>
  </si>
  <si>
    <t>Torres 10</t>
  </si>
  <si>
    <t>Torres 10 Double Barrel Reserva Imperial + GB</t>
  </si>
  <si>
    <t>Torres 5 Years Solera Imperial</t>
  </si>
  <si>
    <t>Torres Spiced Infusions</t>
  </si>
  <si>
    <t>Trooper Fear of the Dark English Stout</t>
  </si>
  <si>
    <t>Trooper Iron Maiden Day Of The Dead - Lim. Ed.</t>
  </si>
  <si>
    <t>Trooper Iron Maiden Giftpack (3 cans x 0,5 liter + Glass)</t>
  </si>
  <si>
    <t>Trooper Iron Maiden Hallowed Limited Edition</t>
  </si>
  <si>
    <t>Trooper Iron Maiden Special Edition 10th Anniversary</t>
  </si>
  <si>
    <t>Trooper Sun and Steel Sake Lager - Senjutsu Limited Edition</t>
  </si>
  <si>
    <t>Tullamore Dew + 2 Glasses + GB</t>
  </si>
  <si>
    <t>Tullamore Dew 18 Years + GB</t>
  </si>
  <si>
    <t>Tullamore Dew Crock + GB</t>
  </si>
  <si>
    <t>Tullibardine Sauternes Cask Finish + GB</t>
  </si>
  <si>
    <t>Turin Vermouth Drapo Bianco</t>
  </si>
  <si>
    <t>Turin Vermouth Drapo Rosso</t>
  </si>
  <si>
    <t>Turquoise Bay Ambre Rum</t>
  </si>
  <si>
    <t>Unicorn Tears Gin Liqueur</t>
  </si>
  <si>
    <t>Valdouro Tawny Porto</t>
  </si>
  <si>
    <t>Veuve Clicquot Brut + Wooden GB</t>
  </si>
  <si>
    <t>Veuve Clicquot Brut 2008 La Grande Dame + GB</t>
  </si>
  <si>
    <t>Veuve Clicquot Demi Sec + GB</t>
  </si>
  <si>
    <t>Veuve Clicquot La Grande Dame 2008</t>
  </si>
  <si>
    <t>Veuve Clicquot La Grande Dame X Yayoi Kusama 2012 + GB</t>
  </si>
  <si>
    <t>Veuve Clicquot Rose 250 Ans + GB</t>
  </si>
  <si>
    <t>Villa Massa Amaretto + Glass</t>
  </si>
  <si>
    <t>Villa Massa Limoncello + Glasses</t>
  </si>
  <si>
    <t>Villa Massa Limoncello + Tonic Glass</t>
  </si>
  <si>
    <t>Villa Massa Limoncello Basilico</t>
  </si>
  <si>
    <t>Volbeat Rum III</t>
  </si>
  <si>
    <t>Warninks Lemon Cheesecake</t>
  </si>
  <si>
    <t>Waterford Lakefield 1.1 + GB</t>
  </si>
  <si>
    <t>Waterford Sheestown 1.2 + GB</t>
  </si>
  <si>
    <t>Waterproof Blended Scotch</t>
  </si>
  <si>
    <t>West Cork Rum Cask Finished</t>
  </si>
  <si>
    <t>West Cork Single Malt Calvados Cask</t>
  </si>
  <si>
    <t>Westland American Oak Single Malt Whiskey + GB</t>
  </si>
  <si>
    <t>Whitley Neill Blood Orange Vodka</t>
  </si>
  <si>
    <t>Whitley Neill Lemongrass &amp; Ginger</t>
  </si>
  <si>
    <t>Whitley Neill Parma Violet Gin</t>
  </si>
  <si>
    <t>Wild Turkey Rare Breed Barrel Proof + GB</t>
  </si>
  <si>
    <t>Wild Turkey Rye</t>
  </si>
  <si>
    <t>Willem's Wermoed</t>
  </si>
  <si>
    <t>Woodford Reserve + GB</t>
  </si>
  <si>
    <t>Woodford Reserve Baccart Edition + GB</t>
  </si>
  <si>
    <t>Woodford Reserve Double Oaked</t>
  </si>
  <si>
    <t>Writers Tears + GB</t>
  </si>
  <si>
    <t>Writers Tears Double Oak + GB</t>
  </si>
  <si>
    <t>Xellent Swiss Vodka</t>
  </si>
  <si>
    <t>Yuste Pedro Ximénez St.Irene</t>
  </si>
  <si>
    <t>Zacapa 23 Years + 2 Glasses</t>
  </si>
  <si>
    <t>Zacapa 23 Years La Doma Heavenly Cask Collection + GB</t>
  </si>
  <si>
    <t>Zuidam Fraise</t>
  </si>
  <si>
    <t>Absolut Apeach</t>
  </si>
  <si>
    <t>Absolut Vodka Limited Edition 2023</t>
  </si>
  <si>
    <t>Aragosta DOC Vermentino di Sardegna</t>
  </si>
  <si>
    <t>Ardbeg BizarreBQ</t>
  </si>
  <si>
    <t>Axel Yaz Brut Selection</t>
  </si>
  <si>
    <t>Bacardi Limon &amp; Lemonade</t>
  </si>
  <si>
    <t>Balvenie 19 Years Cask And Character + GB</t>
  </si>
  <si>
    <t>Benriach Batch 2 Malting Season Second Edition + GB</t>
  </si>
  <si>
    <t>Big Peat Blended Malt Scotch Whiskey + GB</t>
  </si>
  <si>
    <t>Bollinger Rose + GB</t>
  </si>
  <si>
    <t>Bols Cucumber</t>
  </si>
  <si>
    <t>Bols Kiwi</t>
  </si>
  <si>
    <t>Bombay Sapphire English Estate Limited Edition + GB</t>
  </si>
  <si>
    <t>Bumbu + GB</t>
  </si>
  <si>
    <t>Caol Ila Moch + 2 Glasses</t>
  </si>
  <si>
    <t>Cardhu 16 Years Special Release 2022 + GB</t>
  </si>
  <si>
    <t>Centenario 12 Years Gran Legado NRF</t>
  </si>
  <si>
    <t>Codigo 1530 Reposado</t>
  </si>
  <si>
    <t>Darkness 14 Years Benrinnes + GB</t>
  </si>
  <si>
    <t>Dead Man's Finger Spiced</t>
  </si>
  <si>
    <t>Dead Man's Fingers Taster Pack (5x5CL Bottles)</t>
  </si>
  <si>
    <t>Dewar's 25 Years + GB</t>
  </si>
  <si>
    <t>Dom Perignon Rose Vintage 2008</t>
  </si>
  <si>
    <t>Don Papa Masskara + GB</t>
  </si>
  <si>
    <t>Drappier Brut Carte D'Or</t>
  </si>
  <si>
    <t>Flaviar Advent Calendar</t>
  </si>
  <si>
    <t>Galatti Amaretto</t>
  </si>
  <si>
    <t>Gancia Americano</t>
  </si>
  <si>
    <t>Gastro Gin</t>
  </si>
  <si>
    <t>Glen Grant 12 Years + 2 Glasses</t>
  </si>
  <si>
    <t>Glen Grant The Major's Reserve</t>
  </si>
  <si>
    <t>Glenallachie 18 Years + GB</t>
  </si>
  <si>
    <t>Glenfarclas 21 Years + GB</t>
  </si>
  <si>
    <t>Glenmorangie A Tale Of Tokyo + GB</t>
  </si>
  <si>
    <t>Golden Arch Stroopwafel Likeur</t>
  </si>
  <si>
    <t>Gordon's &amp; Tonic</t>
  </si>
  <si>
    <t>Gosset Grand Rose + GB</t>
  </si>
  <si>
    <t>Gran Duque De Alba Oro + GB</t>
  </si>
  <si>
    <t>Greenall's Wild Berry Pink</t>
  </si>
  <si>
    <t>Imiglykos Tsantali Rotwein</t>
  </si>
  <si>
    <t>Jack Daniel's PET</t>
  </si>
  <si>
    <t>Jacquesson Cuvee No. 745 Extra - Brut 2017 + GB</t>
  </si>
  <si>
    <t>Justerini &amp; Brooks Honey</t>
  </si>
  <si>
    <t>Kingsbarns Balcomie + GB</t>
  </si>
  <si>
    <t>Lagavulin 8 Years + 2 Glasses</t>
  </si>
  <si>
    <t>Linie Aquavit</t>
  </si>
  <si>
    <t>Louis Roederer Cristal Brut 2015</t>
  </si>
  <si>
    <t>Luc Belaire Blue</t>
  </si>
  <si>
    <t>Luc Belaire Blue Limited Edition + GB</t>
  </si>
  <si>
    <t>Lunazul Tequila Blanco</t>
  </si>
  <si>
    <t>Marrone Barolo 2018</t>
  </si>
  <si>
    <t>Marrone Langhe Arneis "Tre Fies" 2021</t>
  </si>
  <si>
    <t>Marrone Langhe Chardonnay Memundis 2020</t>
  </si>
  <si>
    <t>Martell Cordon Limited Edition 2023 + GB</t>
  </si>
  <si>
    <t>Matsui The Hakuto Premium Gin</t>
  </si>
  <si>
    <t>Menard Cognac Sel. Des Domaines GFC 1er Cru de Cognac + GB</t>
  </si>
  <si>
    <t>Metaxa 12* + 2 Glasses</t>
  </si>
  <si>
    <t>Millstone 7 Years PX Cask Strength</t>
  </si>
  <si>
    <t>Mozart Chocolate Coffee + Espresso Glass</t>
  </si>
  <si>
    <t>Negrita Anejo Reserve NRF</t>
  </si>
  <si>
    <t>Nicosia Frappato Bio Vegan 2016</t>
  </si>
  <si>
    <t>Opihr Gin Mixed Flavours Miniset (3X5Cl)</t>
  </si>
  <si>
    <t>Port Charlotte Islay Barley 2013 + GB</t>
  </si>
  <si>
    <t>Rockstar Two Swallows Spiced Cherry Salted Caramel</t>
  </si>
  <si>
    <t>Ron Santiago de Cuba Isla Del Tesoro + Wooden GB</t>
  </si>
  <si>
    <t>Royal Lochnagar 16 Years Special Release 2021 + GB</t>
  </si>
  <si>
    <t>San Pablo Tasting set</t>
  </si>
  <si>
    <t>Smirnoff Red + Cork</t>
  </si>
  <si>
    <t>Smirnoff Red NRF</t>
  </si>
  <si>
    <t>Talisker Skye Campfire Escape Pack + Mug</t>
  </si>
  <si>
    <t>Tenjaku Blended + GB</t>
  </si>
  <si>
    <t>Thalassa Ouzo</t>
  </si>
  <si>
    <t>The Macallan 30 Years Sherry Oak + GB</t>
  </si>
  <si>
    <t>Tsantali Ouzo</t>
  </si>
  <si>
    <t>Tullamore Dew 12 Years</t>
  </si>
  <si>
    <t>Vita Dulcis Advent Whisky Japan</t>
  </si>
  <si>
    <t>Vita Dulcis Advent Whisky Premium</t>
  </si>
  <si>
    <t>Smirnoff ice</t>
  </si>
  <si>
    <t>Aultmore 21 Years + GB</t>
  </si>
  <si>
    <t>Balvenie 19 Years The Edge Of Burnhead Wood + GB</t>
  </si>
  <si>
    <t>Bollinger La Grande Annee 2014 DF-Label + Wooden GB</t>
  </si>
  <si>
    <t>Botran 18 Years Reserva de La Familia + GB</t>
  </si>
  <si>
    <t>Breiz'Ile Passion &amp; Ananas</t>
  </si>
  <si>
    <t>Bruichladdich 10 Years Port Charlotte Heavily Peated + GB</t>
  </si>
  <si>
    <t>Clement Canne Bleue 2021</t>
  </si>
  <si>
    <t>De Kuyper Sour Apple Pucker</t>
  </si>
  <si>
    <t>Finest Call Grenadine Sirup PET</t>
  </si>
  <si>
    <t>Glenfiddich 12 Years</t>
  </si>
  <si>
    <t>Glenfiddich 12 years + Flask</t>
  </si>
  <si>
    <t>Glenlivet 12 Years + Glass</t>
  </si>
  <si>
    <t>Jack Daniel's Single Barrel + Whisky Stones</t>
  </si>
  <si>
    <t>Marrone Grappa di Barolo + GB</t>
  </si>
  <si>
    <t>Marrone Grappa di Chardonnay + GB</t>
  </si>
  <si>
    <t>Marrone Grappa di Moscato + GB</t>
  </si>
  <si>
    <t>Marrone Grappa di Nebbiolo + GB</t>
  </si>
  <si>
    <t>Martell Cordon Bleu Chinese New Year Edition 2023 + GB</t>
  </si>
  <si>
    <t>Matusalem Platino</t>
  </si>
  <si>
    <t>Patron Gran Burdeos + Wooden GB</t>
  </si>
  <si>
    <t>San Felice Brunello di Montalcino DOCG Campogiovanni 2018</t>
  </si>
  <si>
    <t>San Felice Il Quercione Brunello DOCG Campogiovanni 2016</t>
  </si>
  <si>
    <t>Shankys Whip + Glass</t>
  </si>
  <si>
    <t>Taisteal Blended</t>
  </si>
  <si>
    <t>The Macallan 30 Years Sherry Cask + Wooden GB</t>
  </si>
  <si>
    <t>The Macallan A Night On Earth lll The Journey + GB</t>
  </si>
  <si>
    <t>The Macallan James Bond 60th Anniversary Decade VI + GB</t>
  </si>
  <si>
    <t>Tullibardine 18 Years  + GB</t>
  </si>
  <si>
    <t>DESCRIZIONE</t>
  </si>
  <si>
    <t>BT/CS</t>
  </si>
  <si>
    <t>LT</t>
  </si>
  <si>
    <t>% VOL</t>
  </si>
  <si>
    <t>L6075800</t>
  </si>
  <si>
    <t>L5357600</t>
  </si>
  <si>
    <t>L0980700</t>
  </si>
  <si>
    <t>L5396700</t>
  </si>
  <si>
    <t>L1148800</t>
  </si>
  <si>
    <t>L5779700</t>
  </si>
  <si>
    <t>L5835000</t>
  </si>
  <si>
    <t>L5961700</t>
  </si>
  <si>
    <t>L6009200</t>
  </si>
  <si>
    <t>L1156300</t>
  </si>
  <si>
    <t>L1163400</t>
  </si>
  <si>
    <t>L1160500</t>
  </si>
  <si>
    <t>L0274700</t>
  </si>
  <si>
    <t>L1162900</t>
  </si>
  <si>
    <t>L1158400</t>
  </si>
  <si>
    <t>L5897900</t>
  </si>
  <si>
    <t>L1167300</t>
  </si>
  <si>
    <t>L5966200</t>
  </si>
  <si>
    <t>L6062600</t>
  </si>
  <si>
    <t>L5852200</t>
  </si>
  <si>
    <t>L5161800</t>
  </si>
  <si>
    <t>L5925000</t>
  </si>
  <si>
    <t>L5969100</t>
  </si>
  <si>
    <t>L5832400</t>
  </si>
  <si>
    <t>L1958000</t>
  </si>
  <si>
    <t>L0461400</t>
  </si>
  <si>
    <t>L5188100</t>
  </si>
  <si>
    <t>L2458300</t>
  </si>
  <si>
    <t>L5594100</t>
  </si>
  <si>
    <t>L5769800</t>
  </si>
  <si>
    <t>L5701100</t>
  </si>
  <si>
    <t>L1185500</t>
  </si>
  <si>
    <t>L0602300</t>
  </si>
  <si>
    <t>L0878900</t>
  </si>
  <si>
    <t>L6044500</t>
  </si>
  <si>
    <t>L0459500</t>
  </si>
  <si>
    <t>L5805700</t>
  </si>
  <si>
    <t>L5296100</t>
  </si>
  <si>
    <t>L0463600</t>
  </si>
  <si>
    <t>L0714000</t>
  </si>
  <si>
    <t>L5801600</t>
  </si>
  <si>
    <t>L5762500</t>
  </si>
  <si>
    <t>L1960400</t>
  </si>
  <si>
    <t>L6006600</t>
  </si>
  <si>
    <t>L5794900</t>
  </si>
  <si>
    <t>L5588800</t>
  </si>
  <si>
    <t>L5796400</t>
  </si>
  <si>
    <t>L5796500</t>
  </si>
  <si>
    <t>L6006500</t>
  </si>
  <si>
    <t>L5589100</t>
  </si>
  <si>
    <t>L5527300</t>
  </si>
  <si>
    <t>L5393800</t>
  </si>
  <si>
    <t>L5769300</t>
  </si>
  <si>
    <t>L5393900</t>
  </si>
  <si>
    <t>L5526000</t>
  </si>
  <si>
    <t>L0806600</t>
  </si>
  <si>
    <t>L0807100</t>
  </si>
  <si>
    <t>L1203400</t>
  </si>
  <si>
    <t>L5053700</t>
  </si>
  <si>
    <t>L5821100</t>
  </si>
  <si>
    <t>L1466200</t>
  </si>
  <si>
    <t>L2561300</t>
  </si>
  <si>
    <t>L2401900</t>
  </si>
  <si>
    <t>L5071900</t>
  </si>
  <si>
    <t>L0888200</t>
  </si>
  <si>
    <t>L5578100</t>
  </si>
  <si>
    <t>L5409400</t>
  </si>
  <si>
    <t>L0603200</t>
  </si>
  <si>
    <t>L5947200</t>
  </si>
  <si>
    <t>L0605000</t>
  </si>
  <si>
    <t>L5454500</t>
  </si>
  <si>
    <t>L5674300</t>
  </si>
  <si>
    <t>L2543300</t>
  </si>
  <si>
    <t>L5541500</t>
  </si>
  <si>
    <t>L5893500</t>
  </si>
  <si>
    <t>L2365600</t>
  </si>
  <si>
    <t>L5266900</t>
  </si>
  <si>
    <t>L0579100</t>
  </si>
  <si>
    <t>L5688100</t>
  </si>
  <si>
    <t>L5576800</t>
  </si>
  <si>
    <t>L5218700</t>
  </si>
  <si>
    <t>L5019500</t>
  </si>
  <si>
    <t>L5096500</t>
  </si>
  <si>
    <t>L5032600</t>
  </si>
  <si>
    <t>L0418500</t>
  </si>
  <si>
    <t>L5563300</t>
  </si>
  <si>
    <t>L1003800</t>
  </si>
  <si>
    <t>L1004100</t>
  </si>
  <si>
    <t>L5379900</t>
  </si>
  <si>
    <t>L1004300</t>
  </si>
  <si>
    <t>L1004500</t>
  </si>
  <si>
    <t>L1686200</t>
  </si>
  <si>
    <t>L5147100</t>
  </si>
  <si>
    <t>L2395800</t>
  </si>
  <si>
    <t>L5613000</t>
  </si>
  <si>
    <t>L5529000</t>
  </si>
  <si>
    <t>L2544500</t>
  </si>
  <si>
    <t>L5183000</t>
  </si>
  <si>
    <t>L5674500</t>
  </si>
  <si>
    <t>L5684300</t>
  </si>
  <si>
    <t>L5704700</t>
  </si>
  <si>
    <t>L5932600</t>
  </si>
  <si>
    <t>L5759300</t>
  </si>
  <si>
    <t>L1495600</t>
  </si>
  <si>
    <t>L5307600</t>
  </si>
  <si>
    <t>L5767600</t>
  </si>
  <si>
    <t>L6043100</t>
  </si>
  <si>
    <t>L1971000</t>
  </si>
  <si>
    <t>L2421900</t>
  </si>
  <si>
    <t>L2395900</t>
  </si>
  <si>
    <t>L0470800</t>
  </si>
  <si>
    <t>L5259200</t>
  </si>
  <si>
    <t>L5568900</t>
  </si>
  <si>
    <t>L5437400</t>
  </si>
  <si>
    <t>L2538700</t>
  </si>
  <si>
    <t>L5596300</t>
  </si>
  <si>
    <t>L5931600</t>
  </si>
  <si>
    <t>L0606600</t>
  </si>
  <si>
    <t>L5611200</t>
  </si>
  <si>
    <t>L5652500</t>
  </si>
  <si>
    <t>L5820000</t>
  </si>
  <si>
    <t>L5127300</t>
  </si>
  <si>
    <t>L5966300</t>
  </si>
  <si>
    <t>L5342200</t>
  </si>
  <si>
    <t>L5632200</t>
  </si>
  <si>
    <t>L5348900</t>
  </si>
  <si>
    <t>L5659700</t>
  </si>
  <si>
    <t>L5832700</t>
  </si>
  <si>
    <t>L2417500</t>
  </si>
  <si>
    <t>L5679600</t>
  </si>
  <si>
    <t>L6044400</t>
  </si>
  <si>
    <t>L5919700</t>
  </si>
  <si>
    <t>L1975800</t>
  </si>
  <si>
    <t>L5263700</t>
  </si>
  <si>
    <t>L5497600</t>
  </si>
  <si>
    <t>L0524000</t>
  </si>
  <si>
    <t>L2495600</t>
  </si>
  <si>
    <t>L5650700</t>
  </si>
  <si>
    <t>L5105700</t>
  </si>
  <si>
    <t>L5106200</t>
  </si>
  <si>
    <t>L5106000</t>
  </si>
  <si>
    <t>L5106400</t>
  </si>
  <si>
    <t>L5390800</t>
  </si>
  <si>
    <t>L5101400</t>
  </si>
  <si>
    <t>L1842100</t>
  </si>
  <si>
    <t>L5408900</t>
  </si>
  <si>
    <t>L5161100</t>
  </si>
  <si>
    <t>L1694300</t>
  </si>
  <si>
    <t>L1906800</t>
  </si>
  <si>
    <t>L1136500</t>
  </si>
  <si>
    <t>L0166200</t>
  </si>
  <si>
    <t>L1473500</t>
  </si>
  <si>
    <t>L1474600</t>
  </si>
  <si>
    <t>L5763400</t>
  </si>
  <si>
    <t>L0725000</t>
  </si>
  <si>
    <t>L5866600</t>
  </si>
  <si>
    <t>L5706100</t>
  </si>
  <si>
    <t>L5503700</t>
  </si>
  <si>
    <t>L5628900</t>
  </si>
  <si>
    <t>L5464200</t>
  </si>
  <si>
    <t>L5562600</t>
  </si>
  <si>
    <t>L5374700</t>
  </si>
  <si>
    <t>L5952000</t>
  </si>
  <si>
    <t>L2395400</t>
  </si>
  <si>
    <t>L6013000</t>
  </si>
  <si>
    <t>L0915300</t>
  </si>
  <si>
    <t>L5388500</t>
  </si>
  <si>
    <t>L5434200</t>
  </si>
  <si>
    <t>L5943500</t>
  </si>
  <si>
    <t>L5002600</t>
  </si>
  <si>
    <t>L0608200</t>
  </si>
  <si>
    <t>L2249300</t>
  </si>
  <si>
    <t>L5686200</t>
  </si>
  <si>
    <t>L0734800</t>
  </si>
  <si>
    <t>L5046600</t>
  </si>
  <si>
    <t>L5879900</t>
  </si>
  <si>
    <t>L5491600</t>
  </si>
  <si>
    <t>L5491700</t>
  </si>
  <si>
    <t>L5326500</t>
  </si>
  <si>
    <t>L1431500</t>
  </si>
  <si>
    <t>L5868700</t>
  </si>
  <si>
    <t>L5892800</t>
  </si>
  <si>
    <t>L5314800</t>
  </si>
  <si>
    <t>L1337200</t>
  </si>
  <si>
    <t>L0535000</t>
  </si>
  <si>
    <t>L5821300</t>
  </si>
  <si>
    <t>L5555900</t>
  </si>
  <si>
    <t>L0614600</t>
  </si>
  <si>
    <t>L5480400</t>
  </si>
  <si>
    <t>L5616700</t>
  </si>
  <si>
    <t>L1986700</t>
  </si>
  <si>
    <t>L5200700</t>
  </si>
  <si>
    <t>L0747300</t>
  </si>
  <si>
    <t>L2539000</t>
  </si>
  <si>
    <t>L5383200</t>
  </si>
  <si>
    <t>L0535500</t>
  </si>
  <si>
    <t>L2491200</t>
  </si>
  <si>
    <t>L6001700</t>
  </si>
  <si>
    <t>L1988600</t>
  </si>
  <si>
    <t>L0482800</t>
  </si>
  <si>
    <t>L5813300</t>
  </si>
  <si>
    <t>L5910300</t>
  </si>
  <si>
    <t>L0019600</t>
  </si>
  <si>
    <t>L2374600</t>
  </si>
  <si>
    <t>L2374500</t>
  </si>
  <si>
    <t>L2374400</t>
  </si>
  <si>
    <t>L5842700</t>
  </si>
  <si>
    <t>L5949000</t>
  </si>
  <si>
    <t>L6072100</t>
  </si>
  <si>
    <t>L0065900</t>
  </si>
  <si>
    <t>L5950200</t>
  </si>
  <si>
    <t>L2254800</t>
  </si>
  <si>
    <t>L0615800</t>
  </si>
  <si>
    <t>L0616200</t>
  </si>
  <si>
    <t>L1939600</t>
  </si>
  <si>
    <t>L5802000</t>
  </si>
  <si>
    <t>L0619100</t>
  </si>
  <si>
    <t>L5954300</t>
  </si>
  <si>
    <t>L1481400</t>
  </si>
  <si>
    <t>L1702600</t>
  </si>
  <si>
    <t>L5556100</t>
  </si>
  <si>
    <t>L5813100</t>
  </si>
  <si>
    <t>L5668900</t>
  </si>
  <si>
    <t>L5933900</t>
  </si>
  <si>
    <t>L5981300</t>
  </si>
  <si>
    <t>L5388400</t>
  </si>
  <si>
    <t>L5872900</t>
  </si>
  <si>
    <t>L5252900</t>
  </si>
  <si>
    <t>L5844700</t>
  </si>
  <si>
    <t>L5074400</t>
  </si>
  <si>
    <t>L5310800</t>
  </si>
  <si>
    <t>L1706700</t>
  </si>
  <si>
    <t>L5243400</t>
  </si>
  <si>
    <t>L5797300</t>
  </si>
  <si>
    <t>L5813000</t>
  </si>
  <si>
    <t>L0474100</t>
  </si>
  <si>
    <t>L5900600</t>
  </si>
  <si>
    <t>L5442600</t>
  </si>
  <si>
    <t>L5900700</t>
  </si>
  <si>
    <t>L5900800</t>
  </si>
  <si>
    <t>L5638700</t>
  </si>
  <si>
    <t>L5905500</t>
  </si>
  <si>
    <t>L5929600</t>
  </si>
  <si>
    <t>L5905900</t>
  </si>
  <si>
    <t>L5729200</t>
  </si>
  <si>
    <t>L5478600</t>
  </si>
  <si>
    <t>L0080900</t>
  </si>
  <si>
    <t>L6116200</t>
  </si>
  <si>
    <t>L1364100</t>
  </si>
  <si>
    <t>L0541400</t>
  </si>
  <si>
    <t>L0858000</t>
  </si>
  <si>
    <t>L5349500</t>
  </si>
  <si>
    <t>L5349800</t>
  </si>
  <si>
    <t>L5219200</t>
  </si>
  <si>
    <t>L1710500</t>
  </si>
  <si>
    <t>L6094800</t>
  </si>
  <si>
    <t>L5049200</t>
  </si>
  <si>
    <t>L5379500</t>
  </si>
  <si>
    <t>L0757200</t>
  </si>
  <si>
    <t>L1944500</t>
  </si>
  <si>
    <t>L5641300</t>
  </si>
  <si>
    <t>L5306100</t>
  </si>
  <si>
    <t>L5730500</t>
  </si>
  <si>
    <t>L5326100</t>
  </si>
  <si>
    <t>L5603200</t>
  </si>
  <si>
    <t>L5622500</t>
  </si>
  <si>
    <t>L0377300</t>
  </si>
  <si>
    <t>L5521800</t>
  </si>
  <si>
    <t>L2493200</t>
  </si>
  <si>
    <t>L5054500</t>
  </si>
  <si>
    <t>L5593900</t>
  </si>
  <si>
    <t>L2298700</t>
  </si>
  <si>
    <t>L5087000</t>
  </si>
  <si>
    <t>L6086400</t>
  </si>
  <si>
    <t>L5132700</t>
  </si>
  <si>
    <t>L0120000</t>
  </si>
  <si>
    <t>L0624000</t>
  </si>
  <si>
    <t>L5797100</t>
  </si>
  <si>
    <t>L0624400</t>
  </si>
  <si>
    <t>L5722700</t>
  </si>
  <si>
    <t>L0625800</t>
  </si>
  <si>
    <t>L0625900</t>
  </si>
  <si>
    <t>L5404600</t>
  </si>
  <si>
    <t>L5404500</t>
  </si>
  <si>
    <t>L5383100</t>
  </si>
  <si>
    <t>L1852800</t>
  </si>
  <si>
    <t>L5512000</t>
  </si>
  <si>
    <t>L2015800</t>
  </si>
  <si>
    <t>L5192900</t>
  </si>
  <si>
    <t>L0038900</t>
  </si>
  <si>
    <t>L5489700</t>
  </si>
  <si>
    <t>L5489600</t>
  </si>
  <si>
    <t>L5554900</t>
  </si>
  <si>
    <t>L0475700</t>
  </si>
  <si>
    <t>L5749900</t>
  </si>
  <si>
    <t>L0330600</t>
  </si>
  <si>
    <t>L0544100</t>
  </si>
  <si>
    <t>L5955900</t>
  </si>
  <si>
    <t>L5468300</t>
  </si>
  <si>
    <t>L5878700</t>
  </si>
  <si>
    <t>L0121700</t>
  </si>
  <si>
    <t>L6013100</t>
  </si>
  <si>
    <t>L1358100</t>
  </si>
  <si>
    <t>L1213100</t>
  </si>
  <si>
    <t>L5062900</t>
  </si>
  <si>
    <t>L5611600</t>
  </si>
  <si>
    <t>L5775200</t>
  </si>
  <si>
    <t>L5333200</t>
  </si>
  <si>
    <t>L5453000</t>
  </si>
  <si>
    <t>L5315100</t>
  </si>
  <si>
    <t>L5452500</t>
  </si>
  <si>
    <t>L5407700</t>
  </si>
  <si>
    <t>L5585000</t>
  </si>
  <si>
    <t>L5586100</t>
  </si>
  <si>
    <t>L0918400</t>
  </si>
  <si>
    <t>L1217800</t>
  </si>
  <si>
    <t>L1218500</t>
  </si>
  <si>
    <t>L2550800</t>
  </si>
  <si>
    <t>L1128700</t>
  </si>
  <si>
    <t>L0070000</t>
  </si>
  <si>
    <t>L5853600</t>
  </si>
  <si>
    <t>L5853500</t>
  </si>
  <si>
    <t>L5522000</t>
  </si>
  <si>
    <t>L1220300</t>
  </si>
  <si>
    <t>L0547600</t>
  </si>
  <si>
    <t>L0547700</t>
  </si>
  <si>
    <t>L0459000</t>
  </si>
  <si>
    <t>L0459200</t>
  </si>
  <si>
    <t>L1829300</t>
  </si>
  <si>
    <t>L1829500</t>
  </si>
  <si>
    <t>L0859900</t>
  </si>
  <si>
    <t>L1830200</t>
  </si>
  <si>
    <t>L1829900</t>
  </si>
  <si>
    <t>L5744400</t>
  </si>
  <si>
    <t>L5513700</t>
  </si>
  <si>
    <t>L2300300</t>
  </si>
  <si>
    <t>L5625100</t>
  </si>
  <si>
    <t>L5521700</t>
  </si>
  <si>
    <t>L5826200</t>
  </si>
  <si>
    <t>L5826300</t>
  </si>
  <si>
    <t>L5992300</t>
  </si>
  <si>
    <t>L5106700</t>
  </si>
  <si>
    <t>L2696900</t>
  </si>
  <si>
    <t>L2505700</t>
  </si>
  <si>
    <t>L5765700</t>
  </si>
  <si>
    <t>L5533000</t>
  </si>
  <si>
    <t>L5887100</t>
  </si>
  <si>
    <t>L5158200</t>
  </si>
  <si>
    <t>L0412200</t>
  </si>
  <si>
    <t>L1223700</t>
  </si>
  <si>
    <t>L2024000</t>
  </si>
  <si>
    <t>L2024100</t>
  </si>
  <si>
    <t>L2024900</t>
  </si>
  <si>
    <t>L0758700</t>
  </si>
  <si>
    <t>L1464400</t>
  </si>
  <si>
    <t>L5374000</t>
  </si>
  <si>
    <t>L5944300</t>
  </si>
  <si>
    <t>L2519000</t>
  </si>
  <si>
    <t>L2443700</t>
  </si>
  <si>
    <t>L5472100</t>
  </si>
  <si>
    <t>L5472000</t>
  </si>
  <si>
    <t>L1719600</t>
  </si>
  <si>
    <t>L5147000</t>
  </si>
  <si>
    <t>L5869000</t>
  </si>
  <si>
    <t>L0039400</t>
  </si>
  <si>
    <t>L5962800</t>
  </si>
  <si>
    <t>L0015000</t>
  </si>
  <si>
    <t>L5820400</t>
  </si>
  <si>
    <t>L2240000</t>
  </si>
  <si>
    <t>L5751000</t>
  </si>
  <si>
    <t>L0934800</t>
  </si>
  <si>
    <t>L0763500</t>
  </si>
  <si>
    <t>L0770500</t>
  </si>
  <si>
    <t>L1486800</t>
  </si>
  <si>
    <t>L1497000</t>
  </si>
  <si>
    <t>L0785500</t>
  </si>
  <si>
    <t>L5739500</t>
  </si>
  <si>
    <t>L5859400</t>
  </si>
  <si>
    <t>L5524400</t>
  </si>
  <si>
    <t>L5249600</t>
  </si>
  <si>
    <t>L5847800</t>
  </si>
  <si>
    <t>L5008000</t>
  </si>
  <si>
    <t>L5739800</t>
  </si>
  <si>
    <t>L5008500</t>
  </si>
  <si>
    <t>L5096400</t>
  </si>
  <si>
    <t>L2037000</t>
  </si>
  <si>
    <t>L5878900</t>
  </si>
  <si>
    <t>L5762700</t>
  </si>
  <si>
    <t>L2433800</t>
  </si>
  <si>
    <t>L5823500</t>
  </si>
  <si>
    <t>L5285800</t>
  </si>
  <si>
    <t>L2037500</t>
  </si>
  <si>
    <t>L0772800</t>
  </si>
  <si>
    <t>L5854400</t>
  </si>
  <si>
    <t>L2191200</t>
  </si>
  <si>
    <t>L2039300</t>
  </si>
  <si>
    <t>L0779800</t>
  </si>
  <si>
    <t>L5700600</t>
  </si>
  <si>
    <t>L5256300</t>
  </si>
  <si>
    <t>L5958300</t>
  </si>
  <si>
    <t>L0780700</t>
  </si>
  <si>
    <t>L5822000</t>
  </si>
  <si>
    <t>L0781600</t>
  </si>
  <si>
    <t>L5444100</t>
  </si>
  <si>
    <t>L5805200</t>
  </si>
  <si>
    <t>L0783000</t>
  </si>
  <si>
    <t>L0783400</t>
  </si>
  <si>
    <t>L2480800</t>
  </si>
  <si>
    <t>L5629800</t>
  </si>
  <si>
    <t>L1507900</t>
  </si>
  <si>
    <t>L2522300</t>
  </si>
  <si>
    <t>L2042400</t>
  </si>
  <si>
    <t>L5607700</t>
  </si>
  <si>
    <t>L2043200</t>
  </si>
  <si>
    <t>L5835900</t>
  </si>
  <si>
    <t>L5616300</t>
  </si>
  <si>
    <t>L5551900</t>
  </si>
  <si>
    <t>L5190900</t>
  </si>
  <si>
    <t>L5780900</t>
  </si>
  <si>
    <t>L2445200</t>
  </si>
  <si>
    <t>L5510500</t>
  </si>
  <si>
    <t>L0030300</t>
  </si>
  <si>
    <t>L6108600</t>
  </si>
  <si>
    <t>L1725100</t>
  </si>
  <si>
    <t>L5922900</t>
  </si>
  <si>
    <t>L2045500</t>
  </si>
  <si>
    <t>L5279700</t>
  </si>
  <si>
    <t>L5836700</t>
  </si>
  <si>
    <t>L2496500</t>
  </si>
  <si>
    <t>L6075700</t>
  </si>
  <si>
    <t>L5401900</t>
  </si>
  <si>
    <t>L1727300</t>
  </si>
  <si>
    <t>L2508800</t>
  </si>
  <si>
    <t>L0638800</t>
  </si>
  <si>
    <t>L0107700</t>
  </si>
  <si>
    <t>L2052400</t>
  </si>
  <si>
    <t>L2459100</t>
  </si>
  <si>
    <t>L5944700</t>
  </si>
  <si>
    <t>L5944400</t>
  </si>
  <si>
    <t>L5944600</t>
  </si>
  <si>
    <t>L5944500</t>
  </si>
  <si>
    <t>L5944800</t>
  </si>
  <si>
    <t>L5944900</t>
  </si>
  <si>
    <t>L5480300</t>
  </si>
  <si>
    <t>L5101600</t>
  </si>
  <si>
    <t>L1175700</t>
  </si>
  <si>
    <t>L5712600</t>
  </si>
  <si>
    <t>L5519100</t>
  </si>
  <si>
    <t>L5519200</t>
  </si>
  <si>
    <t>L5437500</t>
  </si>
  <si>
    <t>L5859700</t>
  </si>
  <si>
    <t>L0941500</t>
  </si>
  <si>
    <t>L2057000</t>
  </si>
  <si>
    <t>L2057600</t>
  </si>
  <si>
    <t>L5923000</t>
  </si>
  <si>
    <t>L5067500</t>
  </si>
  <si>
    <t>L0555100</t>
  </si>
  <si>
    <t>L1376400</t>
  </si>
  <si>
    <t>L5962400</t>
  </si>
  <si>
    <t>L1375400</t>
  </si>
  <si>
    <t>L1375000</t>
  </si>
  <si>
    <t>L0560500</t>
  </si>
  <si>
    <t>L5828400</t>
  </si>
  <si>
    <t>L0638500</t>
  </si>
  <si>
    <t>L2059300</t>
  </si>
  <si>
    <t>L2059400</t>
  </si>
  <si>
    <t>L6039700</t>
  </si>
  <si>
    <t>L2304600</t>
  </si>
  <si>
    <t>L5808600</t>
  </si>
  <si>
    <t>L1517700</t>
  </si>
  <si>
    <t>L2512000</t>
  </si>
  <si>
    <t>L6079400</t>
  </si>
  <si>
    <t>L0803400</t>
  </si>
  <si>
    <t>L5002300</t>
  </si>
  <si>
    <t>L5510000</t>
  </si>
  <si>
    <t>L0807400</t>
  </si>
  <si>
    <t>L1331100</t>
  </si>
  <si>
    <t>L1451600</t>
  </si>
  <si>
    <t>L5937600</t>
  </si>
  <si>
    <t>L0649300</t>
  </si>
  <si>
    <t>L2572300</t>
  </si>
  <si>
    <t>L1453600</t>
  </si>
  <si>
    <t>L5994000</t>
  </si>
  <si>
    <t>L5444300</t>
  </si>
  <si>
    <t>L5438100</t>
  </si>
  <si>
    <t>L5848000</t>
  </si>
  <si>
    <t>L5837800</t>
  </si>
  <si>
    <t>L6086200</t>
  </si>
  <si>
    <t>L5277000</t>
  </si>
  <si>
    <t>L0650700</t>
  </si>
  <si>
    <t>L5793300</t>
  </si>
  <si>
    <t>L5159500</t>
  </si>
  <si>
    <t>L2206100</t>
  </si>
  <si>
    <t>L5637400</t>
  </si>
  <si>
    <t>L1650200</t>
  </si>
  <si>
    <t>L5057100</t>
  </si>
  <si>
    <t>L6073700</t>
  </si>
  <si>
    <t>L6089900</t>
  </si>
  <si>
    <t>L5841300</t>
  </si>
  <si>
    <t>L5579900</t>
  </si>
  <si>
    <t>L5973200</t>
  </si>
  <si>
    <t>L5765900</t>
  </si>
  <si>
    <t>L5602900</t>
  </si>
  <si>
    <t>L5448900</t>
  </si>
  <si>
    <t>L0642000</t>
  </si>
  <si>
    <t>L0642700</t>
  </si>
  <si>
    <t>L5401600</t>
  </si>
  <si>
    <t>L1444500</t>
  </si>
  <si>
    <t>L0561500</t>
  </si>
  <si>
    <t>L2552100</t>
  </si>
  <si>
    <t>L6095300</t>
  </si>
  <si>
    <t>L5628000</t>
  </si>
  <si>
    <t>L5844400</t>
  </si>
  <si>
    <t>L5844300</t>
  </si>
  <si>
    <t>L5169800</t>
  </si>
  <si>
    <t>L5278100</t>
  </si>
  <si>
    <t>L2207700</t>
  </si>
  <si>
    <t>L5535500</t>
  </si>
  <si>
    <t>L5823100</t>
  </si>
  <si>
    <t>L5132200</t>
  </si>
  <si>
    <t>L5253100</t>
  </si>
  <si>
    <t>L5253200</t>
  </si>
  <si>
    <t>L2079500</t>
  </si>
  <si>
    <t>L2079600</t>
  </si>
  <si>
    <t>L5833200</t>
  </si>
  <si>
    <t>L5416700</t>
  </si>
  <si>
    <t>L5955800</t>
  </si>
  <si>
    <t>L5869100</t>
  </si>
  <si>
    <t>L5423000</t>
  </si>
  <si>
    <t>L0216700</t>
  </si>
  <si>
    <t>L1522400</t>
  </si>
  <si>
    <t>L5302400</t>
  </si>
  <si>
    <t>L0657200</t>
  </si>
  <si>
    <t>L0566700</t>
  </si>
  <si>
    <t>L5950700</t>
  </si>
  <si>
    <t>L5700200</t>
  </si>
  <si>
    <t>L6019000</t>
  </si>
  <si>
    <t>L5647400</t>
  </si>
  <si>
    <t>L6019100</t>
  </si>
  <si>
    <t>L6019200</t>
  </si>
  <si>
    <t>L1383800</t>
  </si>
  <si>
    <t>L5174500</t>
  </si>
  <si>
    <t>L5777800</t>
  </si>
  <si>
    <t>L5973700</t>
  </si>
  <si>
    <t>L5436400</t>
  </si>
  <si>
    <t>L5993300</t>
  </si>
  <si>
    <t>L5630000</t>
  </si>
  <si>
    <t>L5821200</t>
  </si>
  <si>
    <t>L5875200</t>
  </si>
  <si>
    <t>L6037200</t>
  </si>
  <si>
    <t>L5255200</t>
  </si>
  <si>
    <t>L5076000</t>
  </si>
  <si>
    <t>L5638100</t>
  </si>
  <si>
    <t>L5367900</t>
  </si>
  <si>
    <t>L5295800</t>
  </si>
  <si>
    <t>L5506400</t>
  </si>
  <si>
    <t>L5022600</t>
  </si>
  <si>
    <t>L1918500</t>
  </si>
  <si>
    <t>L5280700</t>
  </si>
  <si>
    <t>L5330300</t>
  </si>
  <si>
    <t>L6084700</t>
  </si>
  <si>
    <t>L0385400</t>
  </si>
  <si>
    <t>L2317000</t>
  </si>
  <si>
    <t>L5098100</t>
  </si>
  <si>
    <t>L5899300</t>
  </si>
  <si>
    <t>L6085000</t>
  </si>
  <si>
    <t>L5013900</t>
  </si>
  <si>
    <t>L5773100</t>
  </si>
  <si>
    <t>L5769000</t>
  </si>
  <si>
    <t>L5583900</t>
  </si>
  <si>
    <t>L5684900</t>
  </si>
  <si>
    <t>L5009800</t>
  </si>
  <si>
    <t>L5995200</t>
  </si>
  <si>
    <t>L5850000</t>
  </si>
  <si>
    <t>L5849900</t>
  </si>
  <si>
    <t>L5849300</t>
  </si>
  <si>
    <t>L5947900</t>
  </si>
  <si>
    <t>L5767200</t>
  </si>
  <si>
    <t>L2093600</t>
  </si>
  <si>
    <t>L5858200</t>
  </si>
  <si>
    <t>L5572100</t>
  </si>
  <si>
    <t>L5377100</t>
  </si>
  <si>
    <t>L5567400</t>
  </si>
  <si>
    <t>L0816400</t>
  </si>
  <si>
    <t>L5861500</t>
  </si>
  <si>
    <t>L6021500</t>
  </si>
  <si>
    <t>L5860700</t>
  </si>
  <si>
    <t>L1270600</t>
  </si>
  <si>
    <t>L5322300</t>
  </si>
  <si>
    <t>L5466900</t>
  </si>
  <si>
    <t>L5804800</t>
  </si>
  <si>
    <t>L5498600</t>
  </si>
  <si>
    <t>L2516200</t>
  </si>
  <si>
    <t>L5238300</t>
  </si>
  <si>
    <t>L5771700</t>
  </si>
  <si>
    <t>L5911200</t>
  </si>
  <si>
    <t>L5958800</t>
  </si>
  <si>
    <t>L6074200</t>
  </si>
  <si>
    <t>L1741900</t>
  </si>
  <si>
    <t>L5984600</t>
  </si>
  <si>
    <t>L5239300</t>
  </si>
  <si>
    <t>L5488300</t>
  </si>
  <si>
    <t>L5238400</t>
  </si>
  <si>
    <t>L0954900</t>
  </si>
  <si>
    <t>L5239100</t>
  </si>
  <si>
    <t>L2599000</t>
  </si>
  <si>
    <t>L5816500</t>
  </si>
  <si>
    <t>L1742500</t>
  </si>
  <si>
    <t>L2096400</t>
  </si>
  <si>
    <t>L5093000</t>
  </si>
  <si>
    <t>L5254800</t>
  </si>
  <si>
    <t>L0956400</t>
  </si>
  <si>
    <t>L5119000</t>
  </si>
  <si>
    <t>L0811200</t>
  </si>
  <si>
    <t>L5242300</t>
  </si>
  <si>
    <t>L0818900</t>
  </si>
  <si>
    <t>L5291800</t>
  </si>
  <si>
    <t>L5799300</t>
  </si>
  <si>
    <t>L1563400</t>
  </si>
  <si>
    <t>L0817200</t>
  </si>
  <si>
    <t>L0817600</t>
  </si>
  <si>
    <t>L5421800</t>
  </si>
  <si>
    <t>L5458500</t>
  </si>
  <si>
    <t>L5421600</t>
  </si>
  <si>
    <t>L5629600</t>
  </si>
  <si>
    <t>L5421900</t>
  </si>
  <si>
    <t>L5458600</t>
  </si>
  <si>
    <t>L5629500</t>
  </si>
  <si>
    <t>L5458900</t>
  </si>
  <si>
    <t>L5458800</t>
  </si>
  <si>
    <t>L0342800</t>
  </si>
  <si>
    <t>L2331600</t>
  </si>
  <si>
    <t>L5142800</t>
  </si>
  <si>
    <t>L5637000</t>
  </si>
  <si>
    <t>L0434300</t>
  </si>
  <si>
    <t>L5761000</t>
  </si>
  <si>
    <t>L5372600</t>
  </si>
  <si>
    <t>L5761400</t>
  </si>
  <si>
    <t>L5808400</t>
  </si>
  <si>
    <t>L5914600</t>
  </si>
  <si>
    <t>L0568800</t>
  </si>
  <si>
    <t>L0569200</t>
  </si>
  <si>
    <t>L0967800</t>
  </si>
  <si>
    <t>L5796700</t>
  </si>
  <si>
    <t>L5114300</t>
  </si>
  <si>
    <t>L5590100</t>
  </si>
  <si>
    <t>L5701200</t>
  </si>
  <si>
    <t>L5373700</t>
  </si>
  <si>
    <t>L5087700</t>
  </si>
  <si>
    <t>L5754200</t>
  </si>
  <si>
    <t>L5761800</t>
  </si>
  <si>
    <t>L6071900</t>
  </si>
  <si>
    <t>L2281500</t>
  </si>
  <si>
    <t>L5815100</t>
  </si>
  <si>
    <t>L0494800</t>
  </si>
  <si>
    <t>L1744800</t>
  </si>
  <si>
    <t>L0253000</t>
  </si>
  <si>
    <t>L6042100</t>
  </si>
  <si>
    <t>L2101400</t>
  </si>
  <si>
    <t>L0253400</t>
  </si>
  <si>
    <t>L5936300</t>
  </si>
  <si>
    <t>L6087000</t>
  </si>
  <si>
    <t>L6012900</t>
  </si>
  <si>
    <t>L5951200</t>
  </si>
  <si>
    <t>L0437400</t>
  </si>
  <si>
    <t>L2485800</t>
  </si>
  <si>
    <t>L2103600</t>
  </si>
  <si>
    <t>L5297500</t>
  </si>
  <si>
    <t>L6085600</t>
  </si>
  <si>
    <t>L5662000</t>
  </si>
  <si>
    <t>L0576400</t>
  </si>
  <si>
    <t>L0577000</t>
  </si>
  <si>
    <t>L1392800</t>
  </si>
  <si>
    <t>L5934200</t>
  </si>
  <si>
    <t>L5045100</t>
  </si>
  <si>
    <t>L5424800</t>
  </si>
  <si>
    <t>L5813500</t>
  </si>
  <si>
    <t>L1568600</t>
  </si>
  <si>
    <t>L0674900</t>
  </si>
  <si>
    <t>L5749600</t>
  </si>
  <si>
    <t>L5838800</t>
  </si>
  <si>
    <t>L5984000</t>
  </si>
  <si>
    <t>L1335500</t>
  </si>
  <si>
    <t>L1278200</t>
  </si>
  <si>
    <t>L2489400</t>
  </si>
  <si>
    <t>L5931700</t>
  </si>
  <si>
    <t>L5842900</t>
  </si>
  <si>
    <t>L5648700</t>
  </si>
  <si>
    <t>L5668600</t>
  </si>
  <si>
    <t>L1816100</t>
  </si>
  <si>
    <t>L5925300</t>
  </si>
  <si>
    <t>L2407500</t>
  </si>
  <si>
    <t>L5584900</t>
  </si>
  <si>
    <t>L5652600</t>
  </si>
  <si>
    <t>L0128100</t>
  </si>
  <si>
    <t>L0412900</t>
  </si>
  <si>
    <t>L1246700</t>
  </si>
  <si>
    <t>L0414300</t>
  </si>
  <si>
    <t>L1179700</t>
  </si>
  <si>
    <t>L1179800</t>
  </si>
  <si>
    <t>L0413100</t>
  </si>
  <si>
    <t>L0413900</t>
  </si>
  <si>
    <t>L0414100</t>
  </si>
  <si>
    <t>L0414700</t>
  </si>
  <si>
    <t>L1180000</t>
  </si>
  <si>
    <t>L1179900</t>
  </si>
  <si>
    <t>L0415600</t>
  </si>
  <si>
    <t>L0416000</t>
  </si>
  <si>
    <t>L0416300</t>
  </si>
  <si>
    <t>L5201800</t>
  </si>
  <si>
    <t>L5199200</t>
  </si>
  <si>
    <t>L5830100</t>
  </si>
  <si>
    <t>L5499200</t>
  </si>
  <si>
    <t>L1569600</t>
  </si>
  <si>
    <t>L0388200</t>
  </si>
  <si>
    <t>L0831000</t>
  </si>
  <si>
    <t>L0831200</t>
  </si>
  <si>
    <t>L5325700</t>
  </si>
  <si>
    <t>L5848900</t>
  </si>
  <si>
    <t>L5828200</t>
  </si>
  <si>
    <t>L5995900</t>
  </si>
  <si>
    <t>L5848200</t>
  </si>
  <si>
    <t>L5936200</t>
  </si>
  <si>
    <t>L0129400</t>
  </si>
  <si>
    <t>L5740200</t>
  </si>
  <si>
    <t>L5903600</t>
  </si>
  <si>
    <t>L5903000</t>
  </si>
  <si>
    <t>L5903500</t>
  </si>
  <si>
    <t>L5974900</t>
  </si>
  <si>
    <t>L5903700</t>
  </si>
  <si>
    <t>L5902800</t>
  </si>
  <si>
    <t>L5903200</t>
  </si>
  <si>
    <t>L5902900</t>
  </si>
  <si>
    <t>L5902600</t>
  </si>
  <si>
    <t>L5903800</t>
  </si>
  <si>
    <t>L5904100</t>
  </si>
  <si>
    <t>L5902300</t>
  </si>
  <si>
    <t>L5616800</t>
  </si>
  <si>
    <t>L5888900</t>
  </si>
  <si>
    <t>L5889000</t>
  </si>
  <si>
    <t>L5740100</t>
  </si>
  <si>
    <t>L5524800</t>
  </si>
  <si>
    <t>L5118400</t>
  </si>
  <si>
    <t>L2478400</t>
  </si>
  <si>
    <t>L5511900</t>
  </si>
  <si>
    <t>L0833700</t>
  </si>
  <si>
    <t>L1752700</t>
  </si>
  <si>
    <t>L5715100</t>
  </si>
  <si>
    <t>L5426200</t>
  </si>
  <si>
    <t>L5395100</t>
  </si>
  <si>
    <t>L6004200</t>
  </si>
  <si>
    <t>L1887000</t>
  </si>
  <si>
    <t>L0578100</t>
  </si>
  <si>
    <t>L0967700</t>
  </si>
  <si>
    <t>L5049400</t>
  </si>
  <si>
    <t>L2483000</t>
  </si>
  <si>
    <t>L1400600</t>
  </si>
  <si>
    <t>L5744800</t>
  </si>
  <si>
    <t>L0502700</t>
  </si>
  <si>
    <t>L1926400</t>
  </si>
  <si>
    <t>L5187100</t>
  </si>
  <si>
    <t>L5838400</t>
  </si>
  <si>
    <t>L6099800</t>
  </si>
  <si>
    <t>L5579600</t>
  </si>
  <si>
    <t>L5655200</t>
  </si>
  <si>
    <t>L5529700</t>
  </si>
  <si>
    <t>L5878600</t>
  </si>
  <si>
    <t>L5533800</t>
  </si>
  <si>
    <t>L5436900</t>
  </si>
  <si>
    <t>L5264800</t>
  </si>
  <si>
    <t>L0389400</t>
  </si>
  <si>
    <t>L5072700</t>
  </si>
  <si>
    <t>L5934800</t>
  </si>
  <si>
    <t>L1579300</t>
  </si>
  <si>
    <t>L1579400</t>
  </si>
  <si>
    <t>L5348500</t>
  </si>
  <si>
    <t>L5348300</t>
  </si>
  <si>
    <t>L5395700</t>
  </si>
  <si>
    <t>L5348400</t>
  </si>
  <si>
    <t>L5588300</t>
  </si>
  <si>
    <t>L5975600</t>
  </si>
  <si>
    <t>L5791000</t>
  </si>
  <si>
    <t>L5591300</t>
  </si>
  <si>
    <t>L1287300</t>
  </si>
  <si>
    <t>L0446500</t>
  </si>
  <si>
    <t>L5946900</t>
  </si>
  <si>
    <t>L1807800</t>
  </si>
  <si>
    <t>L1287600</t>
  </si>
  <si>
    <t>L5241400</t>
  </si>
  <si>
    <t>L5819600</t>
  </si>
  <si>
    <t>L1755800</t>
  </si>
  <si>
    <t>L5486600</t>
  </si>
  <si>
    <t>L2580800</t>
  </si>
  <si>
    <t>L0028300</t>
  </si>
  <si>
    <t>L5712200</t>
  </si>
  <si>
    <t>L1757900</t>
  </si>
  <si>
    <t>L5068200</t>
  </si>
  <si>
    <t>L1756900</t>
  </si>
  <si>
    <t>L5056300</t>
  </si>
  <si>
    <t>L5988100</t>
  </si>
  <si>
    <t>L2327200</t>
  </si>
  <si>
    <t>L2376200</t>
  </si>
  <si>
    <t>L1764300</t>
  </si>
  <si>
    <t>L0971700</t>
  </si>
  <si>
    <t>L2581200</t>
  </si>
  <si>
    <t>L0233100</t>
  </si>
  <si>
    <t>L5702000</t>
  </si>
  <si>
    <t>L5702100</t>
  </si>
  <si>
    <t>L0836600</t>
  </si>
  <si>
    <t>L5311100</t>
  </si>
  <si>
    <t>L1762000</t>
  </si>
  <si>
    <t>L1877000</t>
  </si>
  <si>
    <t>L1877200</t>
  </si>
  <si>
    <t>L5427400</t>
  </si>
  <si>
    <t>L1877700</t>
  </si>
  <si>
    <t>L0969500</t>
  </si>
  <si>
    <t>L5564200</t>
  </si>
  <si>
    <t>L5631200</t>
  </si>
  <si>
    <t>L5946000</t>
  </si>
  <si>
    <t>L5771900</t>
  </si>
  <si>
    <t>L0266400</t>
  </si>
  <si>
    <t>L0082600</t>
  </si>
  <si>
    <t>L5883500</t>
  </si>
  <si>
    <t>L1134800</t>
  </si>
  <si>
    <t>L2372500</t>
  </si>
  <si>
    <t>L5133300</t>
  </si>
  <si>
    <t>L5077200</t>
  </si>
  <si>
    <t>L5765600</t>
  </si>
  <si>
    <t>L5949500</t>
  </si>
  <si>
    <t>L6023800</t>
  </si>
  <si>
    <t>L5395200</t>
  </si>
  <si>
    <t>L2131000</t>
  </si>
  <si>
    <t>L5384800</t>
  </si>
  <si>
    <t>L5621800</t>
  </si>
  <si>
    <t>L6088500</t>
  </si>
  <si>
    <t>L2393800</t>
  </si>
  <si>
    <t>L5566700</t>
  </si>
  <si>
    <t>L5038600</t>
  </si>
  <si>
    <t>L5566800</t>
  </si>
  <si>
    <t>L5666200</t>
  </si>
  <si>
    <t>L2436600</t>
  </si>
  <si>
    <t>L2446900</t>
  </si>
  <si>
    <t>L2432800</t>
  </si>
  <si>
    <t>L1771900</t>
  </si>
  <si>
    <t>L2524700</t>
  </si>
  <si>
    <t>L2524800</t>
  </si>
  <si>
    <t>L1178700</t>
  </si>
  <si>
    <t>L1179000</t>
  </si>
  <si>
    <t>L2235600</t>
  </si>
  <si>
    <t>L0912400</t>
  </si>
  <si>
    <t>L0912500</t>
  </si>
  <si>
    <t>L0082700</t>
  </si>
  <si>
    <t>L5486900</t>
  </si>
  <si>
    <t>L5412900</t>
  </si>
  <si>
    <t>L5062600</t>
  </si>
  <si>
    <t>L2583700</t>
  </si>
  <si>
    <t>L2399400</t>
  </si>
  <si>
    <t>L6084900</t>
  </si>
  <si>
    <t>L5490100</t>
  </si>
  <si>
    <t>L5967100</t>
  </si>
  <si>
    <t>L5426100</t>
  </si>
  <si>
    <t>L0296400</t>
  </si>
  <si>
    <t>L1773500</t>
  </si>
  <si>
    <t>L5595600</t>
  </si>
  <si>
    <t>L5970600</t>
  </si>
  <si>
    <t>L1125400</t>
  </si>
  <si>
    <t>L5712800</t>
  </si>
  <si>
    <t>L5845700</t>
  </si>
  <si>
    <t>L0984400</t>
  </si>
  <si>
    <t>L2134800</t>
  </si>
  <si>
    <t>L1120100</t>
  </si>
  <si>
    <t>L2639900</t>
  </si>
  <si>
    <t>L1121100</t>
  </si>
  <si>
    <t>L5777700</t>
  </si>
  <si>
    <t>L2499400</t>
  </si>
  <si>
    <t>L5759700</t>
  </si>
  <si>
    <t>L5705100</t>
  </si>
  <si>
    <t>L5241900</t>
  </si>
  <si>
    <t>L5242200</t>
  </si>
  <si>
    <t>L5909600</t>
  </si>
  <si>
    <t>L5910000</t>
  </si>
  <si>
    <t>L6019600</t>
  </si>
  <si>
    <t>L5407400</t>
  </si>
  <si>
    <t>L25231NL</t>
  </si>
  <si>
    <t>L0689500</t>
  </si>
  <si>
    <t>L5479500</t>
  </si>
  <si>
    <t>L5479600</t>
  </si>
  <si>
    <t>L5863200</t>
  </si>
  <si>
    <t>L5585100</t>
  </si>
  <si>
    <t>L1586300</t>
  </si>
  <si>
    <t>L2140700</t>
  </si>
  <si>
    <t>L5361300</t>
  </si>
  <si>
    <t>L6092200</t>
  </si>
  <si>
    <t>L1413900</t>
  </si>
  <si>
    <t>L0083600</t>
  </si>
  <si>
    <t>L5942100</t>
  </si>
  <si>
    <t>L0084200</t>
  </si>
  <si>
    <t>L0594400</t>
  </si>
  <si>
    <t>L6002700</t>
  </si>
  <si>
    <t>L1121800</t>
  </si>
  <si>
    <t>L6106700</t>
  </si>
  <si>
    <t>L5745200</t>
  </si>
  <si>
    <t>L1832800</t>
  </si>
  <si>
    <t>L0966800</t>
  </si>
  <si>
    <t>L0994000</t>
  </si>
  <si>
    <t>L1587800</t>
  </si>
  <si>
    <t>L2319400</t>
  </si>
  <si>
    <t>L5477900</t>
  </si>
  <si>
    <t>L5879300</t>
  </si>
  <si>
    <t>L5791800</t>
  </si>
  <si>
    <t>L2143200</t>
  </si>
  <si>
    <t>L5141500</t>
  </si>
  <si>
    <t>L0689300</t>
  </si>
  <si>
    <t>L2335100</t>
  </si>
  <si>
    <t>L1589300</t>
  </si>
  <si>
    <t>L5207400</t>
  </si>
  <si>
    <t>L5637300</t>
  </si>
  <si>
    <t>L0594700</t>
  </si>
  <si>
    <t>L5524200</t>
  </si>
  <si>
    <t>L6086600</t>
  </si>
  <si>
    <t>L0997200</t>
  </si>
  <si>
    <t>L5727100</t>
  </si>
  <si>
    <t>L2530100</t>
  </si>
  <si>
    <t>L5643300</t>
  </si>
  <si>
    <t>L2225400</t>
  </si>
  <si>
    <t>L5224700</t>
  </si>
  <si>
    <t>L5224600</t>
  </si>
  <si>
    <t>L1594100</t>
  </si>
  <si>
    <t>L5423200</t>
  </si>
  <si>
    <t>L5812800</t>
  </si>
  <si>
    <t>L5075700</t>
  </si>
  <si>
    <t>L5703800</t>
  </si>
  <si>
    <t>L5376400</t>
  </si>
  <si>
    <t>L0849500</t>
  </si>
  <si>
    <t>L5818900</t>
  </si>
  <si>
    <t>L2244100</t>
  </si>
  <si>
    <t>L5665400</t>
  </si>
  <si>
    <t>L5806500</t>
  </si>
  <si>
    <t>L5817100</t>
  </si>
  <si>
    <t>L5805800</t>
  </si>
  <si>
    <t>L5805900</t>
  </si>
  <si>
    <t>L5806100</t>
  </si>
  <si>
    <t>L5806000</t>
  </si>
  <si>
    <t>L0692300</t>
  </si>
  <si>
    <t>L2320500</t>
  </si>
  <si>
    <t>L5949600</t>
  </si>
  <si>
    <t>L0694500</t>
  </si>
  <si>
    <t>L0056700</t>
  </si>
  <si>
    <t>L0694900</t>
  </si>
  <si>
    <t>L5911800</t>
  </si>
  <si>
    <t>L0081200</t>
  </si>
  <si>
    <t>L5875800</t>
  </si>
  <si>
    <t>L5633600</t>
  </si>
  <si>
    <t>L5892500</t>
  </si>
  <si>
    <t>L5964200</t>
  </si>
  <si>
    <t>L2009700</t>
  </si>
  <si>
    <t>L5015100</t>
  </si>
  <si>
    <t>L2031800</t>
  </si>
  <si>
    <t>L0765200</t>
  </si>
  <si>
    <t>L0765400</t>
  </si>
  <si>
    <t>L5018700</t>
  </si>
  <si>
    <t>L2368000</t>
  </si>
  <si>
    <t>L0791900</t>
  </si>
  <si>
    <t>L2161700</t>
  </si>
  <si>
    <t>L2270400</t>
  </si>
  <si>
    <t>L1613500</t>
  </si>
  <si>
    <t>L1613900</t>
  </si>
  <si>
    <t>L5419400</t>
  </si>
  <si>
    <t>L0787000</t>
  </si>
  <si>
    <t>L1616000</t>
  </si>
  <si>
    <t>L1618600</t>
  </si>
  <si>
    <t>L5598400</t>
  </si>
  <si>
    <t>L5572600</t>
  </si>
  <si>
    <t>L0955700</t>
  </si>
  <si>
    <t>L5737800</t>
  </si>
  <si>
    <t>L0956600</t>
  </si>
  <si>
    <t>L5963000</t>
  </si>
  <si>
    <t>L1621400</t>
  </si>
  <si>
    <t>L2220700</t>
  </si>
  <si>
    <t>L6089800</t>
  </si>
  <si>
    <t>L6062900</t>
  </si>
  <si>
    <t>L5499400</t>
  </si>
  <si>
    <t>L6063000</t>
  </si>
  <si>
    <t>L5766100</t>
  </si>
  <si>
    <t>L5841500</t>
  </si>
  <si>
    <t>L0825400</t>
  </si>
  <si>
    <t>L0826600</t>
  </si>
  <si>
    <t>L1625300</t>
  </si>
  <si>
    <t>L0828300</t>
  </si>
  <si>
    <t>L5021100</t>
  </si>
  <si>
    <t>L5814200</t>
  </si>
  <si>
    <t>L5162100</t>
  </si>
  <si>
    <t>L0830500</t>
  </si>
  <si>
    <t>L5121300</t>
  </si>
  <si>
    <t>L6115000</t>
  </si>
  <si>
    <t>L2479700</t>
  </si>
  <si>
    <t>L0105300</t>
  </si>
  <si>
    <t>L0844000</t>
  </si>
  <si>
    <t>L5812300</t>
  </si>
  <si>
    <t>L2224000</t>
  </si>
  <si>
    <t>L5103900</t>
  </si>
  <si>
    <t>L5438300</t>
  </si>
  <si>
    <t>L1632200</t>
  </si>
  <si>
    <t>L0345000</t>
  </si>
  <si>
    <t>L5997400</t>
  </si>
  <si>
    <t>L6070900</t>
  </si>
  <si>
    <t>L5879500</t>
  </si>
  <si>
    <t>L0596300</t>
  </si>
  <si>
    <t>L0693300</t>
  </si>
  <si>
    <t>L5972600</t>
  </si>
  <si>
    <t>L0029500</t>
  </si>
  <si>
    <t>L0850400</t>
  </si>
  <si>
    <t>L0850600</t>
  </si>
  <si>
    <t>L5617800</t>
  </si>
  <si>
    <t>L6043600</t>
  </si>
  <si>
    <t>L5769700</t>
  </si>
  <si>
    <t>L6043300</t>
  </si>
  <si>
    <t>L5093100</t>
  </si>
  <si>
    <t>L5747100</t>
  </si>
  <si>
    <t>L6043800</t>
  </si>
  <si>
    <t>L5747000</t>
  </si>
  <si>
    <t>L6043700</t>
  </si>
  <si>
    <t>L5680000</t>
  </si>
  <si>
    <t>L5680100</t>
  </si>
  <si>
    <t>L0596800</t>
  </si>
  <si>
    <t>L5982700</t>
  </si>
  <si>
    <t>L5522200</t>
  </si>
  <si>
    <t>L6068700</t>
  </si>
  <si>
    <t>L2172300</t>
  </si>
  <si>
    <t>L0399300</t>
  </si>
  <si>
    <t>L5774200</t>
  </si>
  <si>
    <t>L5807800</t>
  </si>
  <si>
    <t>L6006800</t>
  </si>
  <si>
    <t>L0399200</t>
  </si>
  <si>
    <t>L0691500</t>
  </si>
  <si>
    <t>L0690600</t>
  </si>
  <si>
    <t>L2173100</t>
  </si>
  <si>
    <t>L5986900</t>
  </si>
  <si>
    <t>L1641800</t>
  </si>
  <si>
    <t>L5917600</t>
  </si>
  <si>
    <t>L5917500</t>
  </si>
  <si>
    <t>L5427200</t>
  </si>
  <si>
    <t>L1118600</t>
  </si>
  <si>
    <t>L0267600</t>
  </si>
  <si>
    <t>L2489600</t>
  </si>
  <si>
    <t>L5876300</t>
  </si>
  <si>
    <t>L1302200</t>
  </si>
  <si>
    <t>L2245400</t>
  </si>
  <si>
    <t>L5782100</t>
  </si>
  <si>
    <t>L5956500</t>
  </si>
  <si>
    <t>L5137200</t>
  </si>
  <si>
    <t>L5956400</t>
  </si>
  <si>
    <t>L5956100</t>
  </si>
  <si>
    <t>L1893900</t>
  </si>
  <si>
    <t>L2336000</t>
  </si>
  <si>
    <t>L5331800</t>
  </si>
  <si>
    <t>L5243800</t>
  </si>
  <si>
    <t>L5178800</t>
  </si>
  <si>
    <t>L2447500</t>
  </si>
  <si>
    <t>L5115100</t>
  </si>
  <si>
    <t>L6023600</t>
  </si>
  <si>
    <t>L5896500</t>
  </si>
  <si>
    <t>L5489800</t>
  </si>
  <si>
    <t>L5166600</t>
  </si>
  <si>
    <t>L1012700</t>
  </si>
  <si>
    <t>L0702100</t>
  </si>
  <si>
    <t>L5153000</t>
  </si>
  <si>
    <t>L0030200</t>
  </si>
  <si>
    <t>L5503800</t>
  </si>
  <si>
    <t>L5391000</t>
  </si>
  <si>
    <t>L2184400</t>
  </si>
  <si>
    <t>L0700800</t>
  </si>
  <si>
    <t>L1230500</t>
  </si>
  <si>
    <t>L1014600</t>
  </si>
  <si>
    <t>L1229500</t>
  </si>
  <si>
    <t>L5917200</t>
  </si>
  <si>
    <t>L5833100</t>
  </si>
  <si>
    <t>L5250000</t>
  </si>
  <si>
    <t>L0509400</t>
  </si>
  <si>
    <t>L6118200</t>
  </si>
  <si>
    <t>L5909300</t>
  </si>
  <si>
    <t>L5984800</t>
  </si>
  <si>
    <t>L6003600</t>
  </si>
  <si>
    <t>L6145100</t>
  </si>
  <si>
    <t>L5663500</t>
  </si>
  <si>
    <t>L5435700</t>
  </si>
  <si>
    <t>L6135900</t>
  </si>
  <si>
    <t>L1004700</t>
  </si>
  <si>
    <t>L5759200</t>
  </si>
  <si>
    <t>L2652300</t>
  </si>
  <si>
    <t>L6081700</t>
  </si>
  <si>
    <t>L2562700</t>
  </si>
  <si>
    <t>L5530200</t>
  </si>
  <si>
    <t>L0523000</t>
  </si>
  <si>
    <t>L5045600</t>
  </si>
  <si>
    <t>L6136400</t>
  </si>
  <si>
    <t>L5957800</t>
  </si>
  <si>
    <t>L5795300</t>
  </si>
  <si>
    <t>L5860100</t>
  </si>
  <si>
    <t>L5059400</t>
  </si>
  <si>
    <t>L6151800</t>
  </si>
  <si>
    <t>L5812600</t>
  </si>
  <si>
    <t>L5960400</t>
  </si>
  <si>
    <t>L5587700</t>
  </si>
  <si>
    <t>L5768100</t>
  </si>
  <si>
    <t>L5610000</t>
  </si>
  <si>
    <t>L5641900</t>
  </si>
  <si>
    <t>L6083400</t>
  </si>
  <si>
    <t>L5738800</t>
  </si>
  <si>
    <t>L5007800</t>
  </si>
  <si>
    <t>L5631500</t>
  </si>
  <si>
    <t>L5253000</t>
  </si>
  <si>
    <t>L5554300</t>
  </si>
  <si>
    <t>L6135600</t>
  </si>
  <si>
    <t>L5742000</t>
  </si>
  <si>
    <t>L0245400</t>
  </si>
  <si>
    <t>L6119800</t>
  </si>
  <si>
    <t>L0486000</t>
  </si>
  <si>
    <t>L0015600</t>
  </si>
  <si>
    <t>L1721600</t>
  </si>
  <si>
    <t>L6151200</t>
  </si>
  <si>
    <t>L5632400</t>
  </si>
  <si>
    <t>L5007500</t>
  </si>
  <si>
    <t>L5427800</t>
  </si>
  <si>
    <t>L6104300</t>
  </si>
  <si>
    <t>L0043000</t>
  </si>
  <si>
    <t>L2045100</t>
  </si>
  <si>
    <t>L5644700</t>
  </si>
  <si>
    <t>L5740500</t>
  </si>
  <si>
    <t>L5264100</t>
  </si>
  <si>
    <t>L2521400</t>
  </si>
  <si>
    <t>L1801600</t>
  </si>
  <si>
    <t>L5278200</t>
  </si>
  <si>
    <t>L5856100</t>
  </si>
  <si>
    <t>L2192800</t>
  </si>
  <si>
    <t>L6144400</t>
  </si>
  <si>
    <t>L5799100</t>
  </si>
  <si>
    <t>L2676300</t>
  </si>
  <si>
    <t>L1738000</t>
  </si>
  <si>
    <t>L2085600</t>
  </si>
  <si>
    <t>L5255300</t>
  </si>
  <si>
    <t>L6109200</t>
  </si>
  <si>
    <t>L6109300</t>
  </si>
  <si>
    <t>L6152100</t>
  </si>
  <si>
    <t>L5180600</t>
  </si>
  <si>
    <t>L5178500</t>
  </si>
  <si>
    <t>L6141200</t>
  </si>
  <si>
    <t>L5359200</t>
  </si>
  <si>
    <t>L5761500</t>
  </si>
  <si>
    <t>L0568300</t>
  </si>
  <si>
    <t>L0675900</t>
  </si>
  <si>
    <t>L1567300</t>
  </si>
  <si>
    <t>L5906600</t>
  </si>
  <si>
    <t>L5906900</t>
  </si>
  <si>
    <t>L5927700</t>
  </si>
  <si>
    <t>L6155100</t>
  </si>
  <si>
    <t>L1275400</t>
  </si>
  <si>
    <t>L5129500</t>
  </si>
  <si>
    <t>L5950300</t>
  </si>
  <si>
    <t>L6154200</t>
  </si>
  <si>
    <t>L5644000</t>
  </si>
  <si>
    <t>L1100100</t>
  </si>
  <si>
    <t>L6120100</t>
  </si>
  <si>
    <t>L5243700</t>
  </si>
  <si>
    <t>L5924800</t>
  </si>
  <si>
    <t>L2435800</t>
  </si>
  <si>
    <t>L1177700</t>
  </si>
  <si>
    <t>L0447800</t>
  </si>
  <si>
    <t>L5620100</t>
  </si>
  <si>
    <t>L0969600</t>
  </si>
  <si>
    <t>L2368600</t>
  </si>
  <si>
    <t>L2419600</t>
  </si>
  <si>
    <t>L5376600</t>
  </si>
  <si>
    <t>L0451500</t>
  </si>
  <si>
    <t>L5936900</t>
  </si>
  <si>
    <t>L0594000</t>
  </si>
  <si>
    <t>L5969000</t>
  </si>
  <si>
    <t>L5792800</t>
  </si>
  <si>
    <t>L6138800</t>
  </si>
  <si>
    <t>L5423100</t>
  </si>
  <si>
    <t>L6140100</t>
  </si>
  <si>
    <t>L5955000</t>
  </si>
  <si>
    <t>L0692200</t>
  </si>
  <si>
    <t>L5007100</t>
  </si>
  <si>
    <t>L0084600</t>
  </si>
  <si>
    <t>L5097800</t>
  </si>
  <si>
    <t>L5411100</t>
  </si>
  <si>
    <t>L2282300</t>
  </si>
  <si>
    <t>L1301000</t>
  </si>
  <si>
    <t>L2172500</t>
  </si>
  <si>
    <t>L2644200</t>
  </si>
  <si>
    <t>L6148700</t>
  </si>
  <si>
    <t>L5597500</t>
  </si>
  <si>
    <t>L2590400</t>
  </si>
  <si>
    <t>L5598200</t>
  </si>
  <si>
    <t>L5597800</t>
  </si>
  <si>
    <t>L5598000</t>
  </si>
  <si>
    <t>L5435400</t>
  </si>
  <si>
    <t>L5865800</t>
  </si>
  <si>
    <t>L1468900</t>
  </si>
  <si>
    <t>L5042500</t>
  </si>
  <si>
    <t>L5865200</t>
  </si>
  <si>
    <t>L0422800</t>
  </si>
  <si>
    <t>L6179600</t>
  </si>
  <si>
    <t>L5788300</t>
  </si>
  <si>
    <t>L1530900</t>
  </si>
  <si>
    <t>L5938600</t>
  </si>
  <si>
    <t>L5836900</t>
  </si>
  <si>
    <t>L5769400</t>
  </si>
  <si>
    <t>L2505500</t>
  </si>
  <si>
    <t>L6187100</t>
  </si>
  <si>
    <t>L5653000</t>
  </si>
  <si>
    <t>L6173300</t>
  </si>
  <si>
    <t>L5823000</t>
  </si>
  <si>
    <t>L6156600</t>
  </si>
  <si>
    <t>L0552200</t>
  </si>
  <si>
    <t>L5147300</t>
  </si>
  <si>
    <t>L6143000</t>
  </si>
  <si>
    <t>L6168300</t>
  </si>
  <si>
    <t>L5908000</t>
  </si>
  <si>
    <t>L6176500</t>
  </si>
  <si>
    <t>L6176700</t>
  </si>
  <si>
    <t>L6176600</t>
  </si>
  <si>
    <t>L5048500</t>
  </si>
  <si>
    <t>L1746300</t>
  </si>
  <si>
    <t>L5537000</t>
  </si>
  <si>
    <t>L6178000</t>
  </si>
  <si>
    <t>L2607300</t>
  </si>
  <si>
    <t>L6137400</t>
  </si>
  <si>
    <t>L6137300</t>
  </si>
  <si>
    <t>L6163900</t>
  </si>
  <si>
    <t>L5212500</t>
  </si>
  <si>
    <t>L6159900</t>
  </si>
  <si>
    <t>L5865400</t>
  </si>
  <si>
    <t>L6187300</t>
  </si>
  <si>
    <t>L6142200</t>
  </si>
  <si>
    <t>L6159800</t>
  </si>
  <si>
    <t>B000</t>
  </si>
  <si>
    <t>Litri Idrati</t>
  </si>
  <si>
    <t>G. Plato</t>
  </si>
</sst>
</file>

<file path=xl/styles.xml><?xml version="1.0" encoding="utf-8"?>
<styleSheet xmlns="http://schemas.openxmlformats.org/spreadsheetml/2006/main">
  <numFmts count="2">
    <numFmt numFmtId="164" formatCode="#,##0.000"/>
    <numFmt numFmtId="165" formatCode="dd/mm/yyyy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8" fillId="0" borderId="0" xfId="0" applyFont="1"/>
    <xf numFmtId="0" fontId="0" fillId="0" borderId="0" xfId="0" quotePrefix="1"/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0" fillId="0" borderId="0" xfId="0" applyFont="1"/>
    <xf numFmtId="0" fontId="0" fillId="0" borderId="1" xfId="0" applyBorder="1"/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6" xfId="0" applyFont="1" applyBorder="1" applyAlignment="1">
      <alignment horizontal="left"/>
    </xf>
    <xf numFmtId="0" fontId="0" fillId="0" borderId="3" xfId="0" applyBorder="1"/>
    <xf numFmtId="0" fontId="5" fillId="0" borderId="7" xfId="0" applyFont="1" applyBorder="1"/>
    <xf numFmtId="0" fontId="0" fillId="0" borderId="4" xfId="0" applyBorder="1"/>
    <xf numFmtId="0" fontId="0" fillId="0" borderId="8" xfId="0" applyBorder="1"/>
    <xf numFmtId="0" fontId="0" fillId="0" borderId="2" xfId="0" applyBorder="1"/>
    <xf numFmtId="0" fontId="0" fillId="0" borderId="5" xfId="0" applyBorder="1"/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3" fontId="0" fillId="0" borderId="0" xfId="0" applyNumberFormat="1"/>
    <xf numFmtId="3" fontId="6" fillId="0" borderId="0" xfId="0" applyNumberFormat="1" applyFont="1" applyAlignment="1">
      <alignment horizontal="center"/>
    </xf>
    <xf numFmtId="3" fontId="2" fillId="0" borderId="0" xfId="0" applyNumberFormat="1" applyFont="1"/>
    <xf numFmtId="3" fontId="3" fillId="0" borderId="0" xfId="0" applyNumberFormat="1" applyFont="1"/>
    <xf numFmtId="3" fontId="0" fillId="0" borderId="0" xfId="0" applyNumberFormat="1" applyAlignment="1">
      <alignment horizontal="right"/>
    </xf>
    <xf numFmtId="3" fontId="9" fillId="0" borderId="0" xfId="0" applyNumberFormat="1" applyFont="1" applyAlignment="1">
      <alignment horizontal="center"/>
    </xf>
    <xf numFmtId="4" fontId="0" fillId="0" borderId="0" xfId="0" applyNumberFormat="1"/>
    <xf numFmtId="4" fontId="6" fillId="0" borderId="0" xfId="0" applyNumberFormat="1" applyFont="1" applyAlignment="1">
      <alignment horizontal="right"/>
    </xf>
    <xf numFmtId="4" fontId="2" fillId="0" borderId="0" xfId="0" applyNumberFormat="1" applyFont="1"/>
    <xf numFmtId="4" fontId="0" fillId="0" borderId="0" xfId="0" applyNumberFormat="1" applyAlignment="1">
      <alignment horizontal="center"/>
    </xf>
    <xf numFmtId="164" fontId="0" fillId="0" borderId="0" xfId="0" applyNumberFormat="1"/>
    <xf numFmtId="164" fontId="2" fillId="0" borderId="0" xfId="0" applyNumberFormat="1" applyFont="1"/>
    <xf numFmtId="0" fontId="1" fillId="0" borderId="0" xfId="0" applyFont="1" applyAlignment="1">
      <alignment horizontal="center" vertical="center"/>
    </xf>
    <xf numFmtId="4" fontId="0" fillId="0" borderId="1" xfId="0" applyNumberFormat="1" applyBorder="1"/>
    <xf numFmtId="4" fontId="5" fillId="0" borderId="0" xfId="0" applyNumberFormat="1" applyFont="1" applyAlignment="1">
      <alignment horizontal="left" vertical="center"/>
    </xf>
    <xf numFmtId="4" fontId="0" fillId="0" borderId="2" xfId="0" applyNumberFormat="1" applyBorder="1"/>
    <xf numFmtId="3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64" fontId="1" fillId="0" borderId="0" xfId="0" applyNumberFormat="1" applyFon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0" fontId="6" fillId="0" borderId="0" xfId="0" applyFont="1" applyAlignment="1">
      <alignment horizontal="left" vertical="center"/>
    </xf>
    <xf numFmtId="0" fontId="9" fillId="0" borderId="0" xfId="0" applyFont="1" applyAlignment="1">
      <alignment horizontal="center"/>
    </xf>
    <xf numFmtId="164" fontId="6" fillId="0" borderId="0" xfId="0" applyNumberFormat="1" applyFont="1" applyAlignment="1">
      <alignment horizontal="right"/>
    </xf>
    <xf numFmtId="0" fontId="1" fillId="0" borderId="9" xfId="0" applyFont="1" applyBorder="1" applyAlignment="1">
      <alignment horizontal="left"/>
    </xf>
    <xf numFmtId="3" fontId="1" fillId="0" borderId="9" xfId="0" applyNumberFormat="1" applyFont="1" applyBorder="1" applyAlignment="1">
      <alignment horizontal="right" vertical="center"/>
    </xf>
    <xf numFmtId="4" fontId="1" fillId="0" borderId="9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164" fontId="1" fillId="0" borderId="9" xfId="0" applyNumberFormat="1" applyFont="1" applyBorder="1" applyAlignment="1">
      <alignment horizontal="right" vertical="center"/>
    </xf>
    <xf numFmtId="0" fontId="0" fillId="0" borderId="10" xfId="0" applyFont="1" applyBorder="1" applyAlignment="1">
      <alignment horizontal="left"/>
    </xf>
    <xf numFmtId="3" fontId="0" fillId="0" borderId="10" xfId="0" applyNumberFormat="1" applyFont="1" applyBorder="1" applyAlignment="1">
      <alignment horizontal="right" vertical="center"/>
    </xf>
    <xf numFmtId="4" fontId="0" fillId="0" borderId="10" xfId="0" applyNumberFormat="1" applyFont="1" applyBorder="1" applyAlignment="1">
      <alignment horizontal="right" vertical="center"/>
    </xf>
    <xf numFmtId="0" fontId="0" fillId="0" borderId="10" xfId="0" applyFont="1" applyBorder="1" applyAlignment="1">
      <alignment horizontal="right" vertical="center"/>
    </xf>
    <xf numFmtId="164" fontId="0" fillId="0" borderId="10" xfId="0" applyNumberFormat="1" applyFont="1" applyBorder="1" applyAlignment="1">
      <alignment horizontal="right" vertical="center"/>
    </xf>
    <xf numFmtId="0" fontId="0" fillId="0" borderId="11" xfId="0" applyFont="1" applyBorder="1" applyAlignment="1">
      <alignment horizontal="left"/>
    </xf>
    <xf numFmtId="3" fontId="0" fillId="0" borderId="11" xfId="0" applyNumberFormat="1" applyFont="1" applyBorder="1" applyAlignment="1">
      <alignment horizontal="right" vertical="center"/>
    </xf>
    <xf numFmtId="4" fontId="0" fillId="0" borderId="11" xfId="0" applyNumberFormat="1" applyFont="1" applyBorder="1" applyAlignment="1">
      <alignment horizontal="right" vertical="center"/>
    </xf>
    <xf numFmtId="0" fontId="0" fillId="0" borderId="11" xfId="0" applyFont="1" applyBorder="1" applyAlignment="1">
      <alignment horizontal="right" vertical="center"/>
    </xf>
    <xf numFmtId="164" fontId="0" fillId="0" borderId="11" xfId="0" applyNumberFormat="1" applyFont="1" applyBorder="1" applyAlignment="1">
      <alignment horizontal="right" vertical="center"/>
    </xf>
    <xf numFmtId="165" fontId="9" fillId="0" borderId="0" xfId="0" applyNumberFormat="1" applyFont="1"/>
  </cellXfs>
  <cellStyles count="1">
    <cellStyle name="Normale" xfId="0" builtinId="0"/>
  </cellStyles>
  <dxfs count="17"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urn:publicid:-:EC:DGTAXUD:EMCS:PHASE4:TMS:V3.01' xmlns:ns1='urn:publicid:-:EC:DGTAXUD:EMCS:PHASE4:IE801:V3.01'">
  <Schema ID="Schema1" Namespace="urn:publicid:-:EC:DGTAXUD:EMCS:PHASE4:TMS:V3.01">
    <xsd:schema xmlns:xsd="http://www.w3.org/2001/XMLSchema" xmlns:ns0="urn:publicid:-:EC:DGTAXUD:EMCS:PHASE4:TMS:V3.01" xmlns="" targetNamespace="urn:publicid:-:EC:DGTAXUD:EMCS:PHASE4:TMS:V3.01">
      <xsd:element nillable="true" type="xsd:string" name="MessageSender"/>
      <xsd:element nillable="true" type="xsd:string" name="MessageRecipient"/>
      <xsd:element nillable="true" type="xsd:date" name="DateOfPreparation"/>
      <xsd:element nillable="true" type="xsd:time" name="TimeOfPreparation"/>
      <xsd:element nillable="true" type="xsd:string" name="MessageIdentifier"/>
    </xsd:schema>
  </Schema>
  <Schema ID="Schema2" SchemaRef="Schema1" Namespace="urn:publicid:-:EC:DGTAXUD:EMCS:PHASE4:IE801:V3.01">
    <xsd:schema xmlns:xsd="http://www.w3.org/2001/XMLSchema" xmlns:ns0="urn:publicid:-:EC:DGTAXUD:EMCS:PHASE4:TMS:V3.01" xmlns:ns1="urn:publicid:-:EC:DGTAXUD:EMCS:PHASE4:IE801:V3.01" xmlns="" targetNamespace="urn:publicid:-:EC:DGTAXUD:EMCS:PHASE4:IE801:V3.01">
      <xsd:import namespace="urn:publicid:-:EC:DGTAXUD:EMCS:PHASE4:TMS:V3.01"/>
      <xsd:element nillable="true" name="IE801">
        <xsd:complexType>
          <xsd:sequence minOccurs="0">
            <xsd:element minOccurs="0" nillable="true" name="Header" form="qualified">
              <xsd:complexType>
                <xsd:sequence minOccurs="0">
                  <xsd:element minOccurs="0" ref="ns0:MessageSender"/>
                  <xsd:element minOccurs="0" ref="ns0:MessageRecipient"/>
                  <xsd:element minOccurs="0" ref="ns0:DateOfPreparation"/>
                  <xsd:element minOccurs="0" ref="ns0:TimeOfPreparation"/>
                  <xsd:element minOccurs="0" ref="ns0:MessageIdentifier"/>
                </xsd:sequence>
              </xsd:complexType>
            </xsd:element>
            <xsd:element minOccurs="0" nillable="true" name="Body" form="qualified">
              <xsd:complexType>
                <xsd:sequence minOccurs="0">
                  <xsd:element minOccurs="0" nillable="true" name="EADESADContainer" form="qualified">
                    <xsd:complexType>
                      <xsd:sequence minOccurs="0">
                        <xsd:element minOccurs="0" nillable="true" name="ConsigneeTrader" form="qualified">
                          <xsd:complexType>
                            <xsd:sequence minOccurs="0">
                              <xsd:element minOccurs="0" nillable="true" type="xsd:string" name="Traderid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ExciseMovement" form="qualified">
                          <xsd:complexType>
                            <xsd:sequence minOccurs="0">
                              <xsd:element minOccurs="0" nillable="true" type="xsd:string" name="AdministrativeReferenceCode" form="qualified"/>
                              <xsd:element minOccurs="0" nillable="true" type="xsd:string" name="DateAndTimeOfValidationOfEadEsad" form="qualified"/>
                            </xsd:sequence>
                          </xsd:complexType>
                        </xsd:element>
                        <xsd:element minOccurs="0" nillable="true" name="ConsignorTrader" form="qualified">
                          <xsd:complexType>
                            <xsd:sequence minOccurs="0">
                              <xsd:element minOccurs="0" nillable="true" type="xsd:string" name="TraderExciseNumber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PlaceOfDispatchTrader" form="qualified">
                          <xsd:complexType>
                            <xsd:sequence minOccurs="0">
                              <xsd:element minOccurs="0" nillable="true" type="xsd:string" name="ReferenceOfTaxWarehouse" form="qualified"/>
                            </xsd:sequence>
                          </xsd:complexType>
                        </xsd:element>
                        <xsd:element minOccurs="0" nillable="true" name="DeliveryPlaceTrader" form="qualified">
                          <xsd:complexType>
                            <xsd:sequence minOccurs="0">
                              <xsd:element minOccurs="0" nillable="true" type="xsd:string" name="Traderid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CompetentAuthorityDispatchOffice" form="qualified">
                          <xsd:complexType>
                            <xsd:sequence minOccurs="0">
                              <xsd:element minOccurs="0" nillable="true" type="xsd:string" name="ReferenceNumber" form="qualified"/>
                            </xsd:sequence>
                          </xsd:complexType>
                        </xsd:element>
                        <xsd:element minOccurs="0" nillable="true" name="FirstTransporterTrader" form="qualified">
                          <xsd:complexType>
                            <xsd:sequence minOccurs="0"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EadEsad" form="qualified">
                          <xsd:complexType>
                            <xsd:sequence minOccurs="0">
                              <xsd:element minOccurs="0" nillable="true" type="xsd:integer" name="LocalReferenceNumber" form="qualified"/>
                              <xsd:element minOccurs="0" nillable="true" type="xsd:string" name="InvoiceNumber" form="qualified"/>
                              <xsd:element minOccurs="0" nillable="true" type="xsd:date" name="InvoiceDate" form="qualified"/>
                              <xsd:element minOccurs="0" nillable="true" type="xsd:integer" name="OriginTypeCode" form="qualified"/>
                              <xsd:element minOccurs="0" nillable="true" type="xsd:date" name="DateOfDispatch" form="qualified"/>
                              <xsd:element minOccurs="0" nillable="true" type="xsd:time" name="TimeOfDispatch" form="qualified"/>
                            </xsd:sequence>
                          </xsd:complexType>
                        </xsd:element>
                        <xsd:element minOccurs="0" nillable="true" name="HeaderEadEsad" form="qualified">
                          <xsd:complexType>
                            <xsd:sequence minOccurs="0">
                              <xsd:element minOccurs="0" nillable="true" type="xsd:integer" name="SequenceNumber" form="qualified"/>
                              <xsd:element minOccurs="0" nillable="true" type="xsd:string" name="DateAndTimeOfUpdateValidation" form="qualified"/>
                              <xsd:element minOccurs="0" nillable="true" type="xsd:integer" name="DestinationTypeCode" form="qualified"/>
                              <xsd:element minOccurs="0" nillable="true" type="xsd:string" name="JourneyTime" form="qualified"/>
                              <xsd:element minOccurs="0" nillable="true" type="xsd:integer" name="TransportArrangement" form="qualified"/>
                            </xsd:sequence>
                          </xsd:complexType>
                        </xsd:element>
                        <xsd:element minOccurs="0" nillable="true" name="TransportMode" form="qualified">
                          <xsd:complexType>
                            <xsd:sequence minOccurs="0">
                              <xsd:element minOccurs="0" nillable="true" type="xsd:integer" name="TransportModeCode" form="qualified"/>
                            </xsd:sequence>
                          </xsd:complexType>
                        </xsd:element>
                        <xsd:element minOccurs="0" nillable="true" name="MovementGuarantee" form="qualified">
                          <xsd:complexType>
                            <xsd:sequence minOccurs="0">
                              <xsd:element minOccurs="0" nillable="true" type="xsd:integer" name="GuarantorTypeCode" form="qualified"/>
                            </xsd:sequence>
                          </xsd:complexType>
                        </xsd:element>
                        <xsd:element minOccurs="0" maxOccurs="unbounded" nillable="true" name="BodyEadEsad" form="qualified">
                          <xsd:complexType>
                            <xsd:sequence minOccurs="0">
                              <xsd:element minOccurs="0" nillable="true" type="xsd:integer" name="BodyRecordUniqueReference" form="qualified"/>
                              <xsd:element minOccurs="0" nillable="true" type="xsd:string" name="ExciseProductCode" form="qualified"/>
                              <xsd:element minOccurs="0" nillable="true" type="xsd:integer" name="CnCode" form="qualified"/>
                              <xsd:element minOccurs="0" nillable="true" type="xsd:double" name="Quantity" form="qualified"/>
                              <xsd:element minOccurs="0" nillable="true" type="xsd:double" name="GrossMass" form="qualified"/>
                              <xsd:element minOccurs="0" nillable="true" type="xsd:double" name="NetMass" form="qualified"/>
                              <xsd:element minOccurs="0" nillable="true" type="xsd:double" name="AlcoholicStrengthByVolumeInPercentage" form="qualified"/>
                              <xsd:element minOccurs="0" nillable="true" type="xsd:double" name="DegreePlato" form="qualified"/>
                              <xsd:element minOccurs="0" nillable="true" type="xsd:integer" name="FiscalMarkUsedFlag" form="qualified"/>
                              <xsd:element minOccurs="0" nillable="true" name="CommercialDescription" form="qualified">
                                <xsd:complexType>
                                  <xsd:simpleContent>
                                    <xsd:extension base="xsd:string">
                                      <xsd:attribute name="language" form="unqualified" type="xsd:string"/>
                                    </xsd:extension>
                                  </xsd:simpleContent>
                                </xsd:complexType>
                              </xsd:element>
                              <xsd:element minOccurs="0" nillable="true" name="Package" form="qualified">
                                <xsd:complexType>
                                  <xsd:sequence minOccurs="0">
                                    <xsd:element minOccurs="0" nillable="true" type="xsd:string" name="KindOfPackages" form="qualified"/>
                                    <xsd:element minOccurs="0" nillable="true" type="xsd:integer" name="NumberOfPackages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TransportDetails" form="qualified">
                          <xsd:complexType>
                            <xsd:sequence minOccurs="0">
                              <xsd:element minOccurs="0" nillable="true" type="xsd:integer" name="TransportUnitCode" form="qualified"/>
                              <xsd:element minOccurs="0" nillable="true" type="xsd:string" name="IdentityOfTransportUnits" form="qualified"/>
                            </xsd:sequence>
                          </xsd:complexType>
                        </xsd:element>
                        <xsd:element minOccurs="0" nillable="true" name="ComplementaryInformation" form="qualified">
                          <xsd:complexType>
                            <xsd:sequence minOccurs="0">
                              <xsd:element minOccurs="0" nillable="true" type="xsd:string" name="ConsignorTraderNameSEED" form="qualified"/>
                              <xsd:element minOccurs="0" nillable="true" type="xsd:string" name="ConsignorTraderStreetSEED" form="qualified"/>
                              <xsd:element minOccurs="0" nillable="true" type="xsd:string" name="ConsigneeTraderNameSEED" form="qualified"/>
                              <xsd:element minOccurs="0" nillable="true" type="xsd:string" name="ConsigneeTraderStreetSEED" form="qualified"/>
                              <xsd:element minOccurs="0" nillable="true" type="xsd:string" name="DeliveryPlaceTraderNameSEED" form="qualified"/>
                              <xsd:element minOccurs="0" nillable="true" type="xsd:string" name="DeliveryPlaceTraderStreetSEED" form="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birra" RootElement="IE801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0</xdr:row>
      <xdr:rowOff>114300</xdr:rowOff>
    </xdr:from>
    <xdr:to>
      <xdr:col>1</xdr:col>
      <xdr:colOff>2768625</xdr:colOff>
      <xdr:row>7</xdr:row>
      <xdr:rowOff>170000</xdr:rowOff>
    </xdr:to>
    <xdr:pic>
      <xdr:nvPicPr>
        <xdr:cNvPr id="2" name="logo_coppo" descr="Immagine che contiene testo, Carattere, schermata, cerchio&#10;&#10;Descrizione generata automaticamente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0" y="114300"/>
          <a:ext cx="2340000" cy="1440000"/>
        </a:xfrm>
        <a:prstGeom prst="rect">
          <a:avLst/>
        </a:prstGeom>
      </xdr:spPr>
    </xdr:pic>
    <xdr:clientData/>
  </xdr:twoCellAnchor>
  <xdr:twoCellAnchor editAs="absolute">
    <xdr:from>
      <xdr:col>16</xdr:col>
      <xdr:colOff>96917</xdr:colOff>
      <xdr:row>1</xdr:row>
      <xdr:rowOff>9525</xdr:rowOff>
    </xdr:from>
    <xdr:to>
      <xdr:col>18</xdr:col>
      <xdr:colOff>841375</xdr:colOff>
      <xdr:row>30</xdr:row>
      <xdr:rowOff>76200</xdr:rowOff>
    </xdr:to>
    <xdr:grpSp>
      <xdr:nvGrpSpPr>
        <xdr:cNvPr id="5" name="pannello_di_controllo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1279267" y="200025"/>
          <a:ext cx="1544558" cy="5638800"/>
          <a:chOff x="11784092" y="193675"/>
          <a:chExt cx="1582658" cy="6249766"/>
        </a:xfrm>
      </xdr:grpSpPr>
      <xdr:sp macro="[0]!salvaDaa" textlink="">
        <xdr:nvSpPr>
          <xdr:cNvPr id="3" name="salva_daa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SpPr>
            <a:spLocks noChangeAspect="1"/>
          </xdr:cNvSpPr>
        </xdr:nvSpPr>
        <xdr:spPr>
          <a:xfrm>
            <a:off x="11784092" y="193675"/>
            <a:ext cx="1550109" cy="631825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SALVA DAA</a:t>
            </a:r>
          </a:p>
        </xdr:txBody>
      </xdr:sp>
    </xdr:grp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1" name="indirizzi" displayName="indirizzi" ref="A1:C61" totalsRowShown="0" headerRowDxfId="16">
  <autoFilter ref="A1:C61"/>
  <tableColumns count="3">
    <tableColumn id="1" name="DESTINAZIONE"/>
    <tableColumn id="2" name="RIGA 1"/>
    <tableColumn id="3" name="RIGA2 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daa" displayName="daa" ref="A1:H5" tableType="xml" totalsRowShown="0" headerRowDxfId="15" dataDxfId="14" tableBorderDxfId="13" connectionId="1">
  <tableColumns count="8">
    <tableColumn id="1" uniqueName="ns1:CommercialDescription" name="Descrizione articolo" dataDxfId="12">
      <xmlColumnPr mapId="1" xpath="/ns1:IE801/ns1:Body/ns1:EADESADContainer/ns1:BodyEadEsad/ns1:CommercialDescription" xmlDataType="string"/>
    </tableColumn>
    <tableColumn id="2" uniqueName="ns1:NumberOfPackages" name="Confezioni" dataDxfId="11">
      <xmlColumnPr mapId="1" xpath="/ns1:IE801/ns1:Body/ns1:EADESADContainer/ns1:BodyEadEsad/ns1:Package/ns1:NumberOfPackages" xmlDataType="integer"/>
    </tableColumn>
    <tableColumn id="5" uniqueName="ns1:NetMass" name="Peso Netto" dataDxfId="10">
      <xmlColumnPr mapId="1" xpath="/ns1:IE801/ns1:Body/ns1:EADESADContainer/ns1:BodyEadEsad/ns1:NetMass" xmlDataType="double"/>
    </tableColumn>
    <tableColumn id="6" uniqueName="ns1:GrossMass" name="Peso Lordo" dataDxfId="9">
      <xmlColumnPr mapId="1" xpath="/ns1:IE801/ns1:Body/ns1:EADESADContainer/ns1:BodyEadEsad/ns1:GrossMass" xmlDataType="double"/>
    </tableColumn>
    <tableColumn id="9" uniqueName="ns1:DegreePlato" name="Grado Plato" dataDxfId="8">
      <xmlColumnPr mapId="1" xpath="/ns1:IE801/ns1:Body/ns1:EADESADContainer/ns1:BodyEadEsad/ns1:DegreePlato" xmlDataType="double"/>
    </tableColumn>
    <tableColumn id="15" uniqueName="ns1:ExciseProductCode" name="CPA" dataDxfId="7">
      <xmlColumnPr mapId="1" xpath="/ns1:IE801/ns1:Body/ns1:EADESADContainer/ns1:BodyEadEsad/ns1:ExciseProductCode" xmlDataType="string"/>
    </tableColumn>
    <tableColumn id="16" uniqueName="ns1:CnCode" name="Voce Doganale" dataDxfId="6">
      <xmlColumnPr mapId="1" xpath="/ns1:IE801/ns1:Body/ns1:EADESADContainer/ns1:BodyEadEsad/ns1:CnCode" xmlDataType="integer"/>
    </tableColumn>
    <tableColumn id="4" uniqueName="ns1:AlcoholicStrengthByVolumeInPercentage" name="Alcool" dataDxfId="5">
      <xmlColumnPr mapId="1" xpath="/ns1:IE801/ns1:Body/ns1:EADESADContainer/ns1:BodyEadEsad/ns1:AlcoholicStrengthByVolumeInPercentage" xmlDataType="double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2" name="db_malti" displayName="db_malti" ref="A1:E5589" totalsRowShown="0" headerRowDxfId="4" dataDxfId="3">
  <autoFilter ref="A1:E5589"/>
  <tableColumns count="5">
    <tableColumn id="1" name="SKU"/>
    <tableColumn id="2" name="DESCRIZIONE"/>
    <tableColumn id="3" name="BT/CS" dataDxfId="2"/>
    <tableColumn id="4" name="LT" dataDxfId="1"/>
    <tableColumn id="5" name="% V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8"/>
  <dimension ref="A1:C61"/>
  <sheetViews>
    <sheetView topLeftCell="A19" workbookViewId="0">
      <selection activeCell="B23" sqref="B23"/>
    </sheetView>
  </sheetViews>
  <sheetFormatPr defaultRowHeight="15"/>
  <cols>
    <col min="1" max="1" width="18" bestFit="1" customWidth="1"/>
    <col min="2" max="3" width="67.42578125" customWidth="1"/>
  </cols>
  <sheetData>
    <row r="1" spans="1:3">
      <c r="A1" s="13" t="s">
        <v>7998</v>
      </c>
      <c r="B1" s="13" t="s">
        <v>7999</v>
      </c>
      <c r="C1" s="13" t="s">
        <v>8000</v>
      </c>
    </row>
    <row r="2" spans="1:3">
      <c r="A2" t="s">
        <v>8001</v>
      </c>
      <c r="B2" t="s">
        <v>8002</v>
      </c>
      <c r="C2" t="s">
        <v>8003</v>
      </c>
    </row>
    <row r="3" spans="1:3">
      <c r="A3" t="s">
        <v>8004</v>
      </c>
      <c r="B3" t="s">
        <v>8005</v>
      </c>
      <c r="C3" t="s">
        <v>8006</v>
      </c>
    </row>
    <row r="4" spans="1:3">
      <c r="A4" t="s">
        <v>8007</v>
      </c>
      <c r="B4" t="s">
        <v>8008</v>
      </c>
      <c r="C4" t="s">
        <v>8009</v>
      </c>
    </row>
    <row r="5" spans="1:3">
      <c r="A5" t="s">
        <v>8010</v>
      </c>
      <c r="B5" t="s">
        <v>8011</v>
      </c>
      <c r="C5" t="s">
        <v>8012</v>
      </c>
    </row>
    <row r="6" spans="1:3">
      <c r="A6" t="s">
        <v>8013</v>
      </c>
      <c r="B6" t="s">
        <v>8014</v>
      </c>
      <c r="C6" t="s">
        <v>8015</v>
      </c>
    </row>
    <row r="7" spans="1:3">
      <c r="A7" t="s">
        <v>8016</v>
      </c>
      <c r="B7" t="s">
        <v>8017</v>
      </c>
      <c r="C7" t="s">
        <v>8018</v>
      </c>
    </row>
    <row r="8" spans="1:3">
      <c r="A8" t="s">
        <v>8019</v>
      </c>
      <c r="B8" t="s">
        <v>8020</v>
      </c>
      <c r="C8" t="s">
        <v>8021</v>
      </c>
    </row>
    <row r="9" spans="1:3">
      <c r="A9" t="s">
        <v>8022</v>
      </c>
      <c r="B9" t="s">
        <v>8023</v>
      </c>
      <c r="C9" t="s">
        <v>8024</v>
      </c>
    </row>
    <row r="10" spans="1:3">
      <c r="A10" t="s">
        <v>8025</v>
      </c>
      <c r="B10" t="s">
        <v>8026</v>
      </c>
      <c r="C10" t="s">
        <v>8027</v>
      </c>
    </row>
    <row r="11" spans="1:3">
      <c r="A11" t="s">
        <v>8028</v>
      </c>
      <c r="B11" t="s">
        <v>8029</v>
      </c>
      <c r="C11" t="s">
        <v>8030</v>
      </c>
    </row>
    <row r="12" spans="1:3">
      <c r="A12" t="s">
        <v>8031</v>
      </c>
      <c r="B12" t="s">
        <v>8032</v>
      </c>
      <c r="C12" t="s">
        <v>8033</v>
      </c>
    </row>
    <row r="13" spans="1:3">
      <c r="A13" t="s">
        <v>8034</v>
      </c>
      <c r="B13" t="s">
        <v>8035</v>
      </c>
      <c r="C13" t="s">
        <v>8036</v>
      </c>
    </row>
    <row r="14" spans="1:3">
      <c r="A14" t="s">
        <v>8037</v>
      </c>
      <c r="B14" t="s">
        <v>8038</v>
      </c>
      <c r="C14" t="s">
        <v>8039</v>
      </c>
    </row>
    <row r="15" spans="1:3">
      <c r="A15" t="s">
        <v>8040</v>
      </c>
      <c r="B15" t="s">
        <v>8041</v>
      </c>
      <c r="C15" t="s">
        <v>8042</v>
      </c>
    </row>
    <row r="16" spans="1:3">
      <c r="A16" t="s">
        <v>8043</v>
      </c>
      <c r="B16" t="s">
        <v>8044</v>
      </c>
      <c r="C16" t="s">
        <v>8045</v>
      </c>
    </row>
    <row r="17" spans="1:3">
      <c r="A17" t="s">
        <v>8046</v>
      </c>
      <c r="B17" t="s">
        <v>8002</v>
      </c>
      <c r="C17" t="s">
        <v>8003</v>
      </c>
    </row>
    <row r="18" spans="1:3">
      <c r="A18" t="s">
        <v>8047</v>
      </c>
      <c r="B18" t="s">
        <v>8044</v>
      </c>
      <c r="C18" t="s">
        <v>8045</v>
      </c>
    </row>
    <row r="19" spans="1:3">
      <c r="A19" t="s">
        <v>8048</v>
      </c>
      <c r="B19" t="s">
        <v>8049</v>
      </c>
      <c r="C19" t="s">
        <v>8050</v>
      </c>
    </row>
    <row r="20" spans="1:3">
      <c r="A20" t="s">
        <v>8051</v>
      </c>
      <c r="B20" t="s">
        <v>8052</v>
      </c>
      <c r="C20" t="s">
        <v>8053</v>
      </c>
    </row>
    <row r="21" spans="1:3">
      <c r="A21" t="s">
        <v>8054</v>
      </c>
      <c r="B21" t="s">
        <v>8055</v>
      </c>
      <c r="C21" t="s">
        <v>8056</v>
      </c>
    </row>
    <row r="22" spans="1:3">
      <c r="A22" t="s">
        <v>8057</v>
      </c>
      <c r="B22" t="s">
        <v>8058</v>
      </c>
      <c r="C22" t="s">
        <v>8059</v>
      </c>
    </row>
    <row r="23" spans="1:3">
      <c r="A23" t="s">
        <v>8060</v>
      </c>
      <c r="B23" t="s">
        <v>8061</v>
      </c>
      <c r="C23" t="s">
        <v>8062</v>
      </c>
    </row>
    <row r="24" spans="1:3">
      <c r="A24" t="s">
        <v>8063</v>
      </c>
      <c r="B24" t="s">
        <v>8064</v>
      </c>
      <c r="C24" t="s">
        <v>8065</v>
      </c>
    </row>
    <row r="25" spans="1:3">
      <c r="A25" t="s">
        <v>8066</v>
      </c>
      <c r="B25" t="s">
        <v>8067</v>
      </c>
      <c r="C25" t="s">
        <v>8068</v>
      </c>
    </row>
    <row r="26" spans="1:3">
      <c r="A26" t="s">
        <v>8069</v>
      </c>
      <c r="B26" t="s">
        <v>21</v>
      </c>
      <c r="C26" t="s">
        <v>22</v>
      </c>
    </row>
    <row r="27" spans="1:3">
      <c r="A27" t="s">
        <v>8070</v>
      </c>
      <c r="B27" t="s">
        <v>21</v>
      </c>
      <c r="C27" t="s">
        <v>22</v>
      </c>
    </row>
    <row r="28" spans="1:3">
      <c r="A28" t="s">
        <v>8071</v>
      </c>
      <c r="B28" t="s">
        <v>21</v>
      </c>
      <c r="C28" t="s">
        <v>22</v>
      </c>
    </row>
    <row r="29" spans="1:3">
      <c r="A29" t="s">
        <v>8072</v>
      </c>
      <c r="B29" t="s">
        <v>21</v>
      </c>
      <c r="C29" t="s">
        <v>22</v>
      </c>
    </row>
    <row r="30" spans="1:3">
      <c r="A30" t="s">
        <v>8073</v>
      </c>
      <c r="B30" t="s">
        <v>8074</v>
      </c>
      <c r="C30" t="s">
        <v>8075</v>
      </c>
    </row>
    <row r="31" spans="1:3">
      <c r="A31" t="s">
        <v>8076</v>
      </c>
      <c r="B31" t="s">
        <v>8077</v>
      </c>
      <c r="C31" t="s">
        <v>8078</v>
      </c>
    </row>
    <row r="32" spans="1:3">
      <c r="A32" t="s">
        <v>8079</v>
      </c>
      <c r="B32" t="s">
        <v>8077</v>
      </c>
      <c r="C32" t="s">
        <v>8078</v>
      </c>
    </row>
    <row r="33" spans="1:3">
      <c r="A33" t="s">
        <v>8080</v>
      </c>
      <c r="B33" t="s">
        <v>8081</v>
      </c>
      <c r="C33" t="s">
        <v>8082</v>
      </c>
    </row>
    <row r="34" spans="1:3">
      <c r="A34" t="s">
        <v>8083</v>
      </c>
      <c r="B34" t="s">
        <v>8084</v>
      </c>
      <c r="C34" t="s">
        <v>8085</v>
      </c>
    </row>
    <row r="35" spans="1:3">
      <c r="A35" t="s">
        <v>8086</v>
      </c>
      <c r="B35" t="s">
        <v>8061</v>
      </c>
      <c r="C35" t="s">
        <v>8087</v>
      </c>
    </row>
    <row r="36" spans="1:3">
      <c r="A36" t="s">
        <v>8088</v>
      </c>
      <c r="B36" t="s">
        <v>8089</v>
      </c>
      <c r="C36" t="s">
        <v>8090</v>
      </c>
    </row>
    <row r="37" spans="1:3">
      <c r="A37" t="s">
        <v>8091</v>
      </c>
      <c r="B37" t="s">
        <v>8092</v>
      </c>
      <c r="C37" t="s">
        <v>8093</v>
      </c>
    </row>
    <row r="38" spans="1:3">
      <c r="A38" t="s">
        <v>8094</v>
      </c>
      <c r="B38" t="s">
        <v>8095</v>
      </c>
      <c r="C38" t="s">
        <v>8096</v>
      </c>
    </row>
    <row r="39" spans="1:3">
      <c r="A39" t="s">
        <v>8097</v>
      </c>
      <c r="B39" t="s">
        <v>8098</v>
      </c>
      <c r="C39" t="s">
        <v>8099</v>
      </c>
    </row>
    <row r="40" spans="1:3">
      <c r="A40" t="s">
        <v>8100</v>
      </c>
      <c r="B40" t="s">
        <v>8101</v>
      </c>
      <c r="C40" t="s">
        <v>8102</v>
      </c>
    </row>
    <row r="41" spans="1:3">
      <c r="A41" t="s">
        <v>8103</v>
      </c>
      <c r="B41" t="s">
        <v>8104</v>
      </c>
      <c r="C41" t="s">
        <v>8105</v>
      </c>
    </row>
    <row r="42" spans="1:3">
      <c r="A42" t="s">
        <v>8106</v>
      </c>
      <c r="B42" t="s">
        <v>8107</v>
      </c>
      <c r="C42" t="s">
        <v>8108</v>
      </c>
    </row>
    <row r="43" spans="1:3">
      <c r="A43" t="s">
        <v>8109</v>
      </c>
      <c r="B43" t="s">
        <v>8110</v>
      </c>
      <c r="C43" t="s">
        <v>8111</v>
      </c>
    </row>
    <row r="44" spans="1:3">
      <c r="A44" t="s">
        <v>8112</v>
      </c>
      <c r="B44" t="s">
        <v>8113</v>
      </c>
      <c r="C44" t="s">
        <v>8114</v>
      </c>
    </row>
    <row r="45" spans="1:3">
      <c r="A45" t="s">
        <v>8115</v>
      </c>
      <c r="B45" t="s">
        <v>8116</v>
      </c>
      <c r="C45" t="s">
        <v>8117</v>
      </c>
    </row>
    <row r="46" spans="1:3">
      <c r="A46" t="s">
        <v>8118</v>
      </c>
      <c r="B46" t="s">
        <v>8119</v>
      </c>
      <c r="C46" t="s">
        <v>8120</v>
      </c>
    </row>
    <row r="47" spans="1:3">
      <c r="A47" t="s">
        <v>8121</v>
      </c>
      <c r="B47" t="s">
        <v>8122</v>
      </c>
      <c r="C47" t="s">
        <v>8123</v>
      </c>
    </row>
    <row r="48" spans="1:3">
      <c r="A48" t="s">
        <v>8124</v>
      </c>
      <c r="B48" t="s">
        <v>8125</v>
      </c>
      <c r="C48" t="s">
        <v>8126</v>
      </c>
    </row>
    <row r="49" spans="1:3">
      <c r="A49" t="s">
        <v>8127</v>
      </c>
      <c r="B49" t="s">
        <v>8128</v>
      </c>
      <c r="C49" t="s">
        <v>8129</v>
      </c>
    </row>
    <row r="50" spans="1:3">
      <c r="A50" t="s">
        <v>8130</v>
      </c>
      <c r="B50" t="s">
        <v>8131</v>
      </c>
      <c r="C50" t="s">
        <v>8132</v>
      </c>
    </row>
    <row r="51" spans="1:3">
      <c r="A51" t="s">
        <v>8133</v>
      </c>
      <c r="B51" t="s">
        <v>8134</v>
      </c>
      <c r="C51" t="s">
        <v>8135</v>
      </c>
    </row>
    <row r="52" spans="1:3">
      <c r="A52" t="s">
        <v>8136</v>
      </c>
      <c r="B52" t="s">
        <v>8084</v>
      </c>
      <c r="C52" t="s">
        <v>8137</v>
      </c>
    </row>
    <row r="53" spans="1:3">
      <c r="A53" t="s">
        <v>8138</v>
      </c>
      <c r="B53" t="s">
        <v>8139</v>
      </c>
      <c r="C53" t="s">
        <v>8140</v>
      </c>
    </row>
    <row r="54" spans="1:3">
      <c r="A54" t="s">
        <v>8141</v>
      </c>
      <c r="B54" t="s">
        <v>8142</v>
      </c>
      <c r="C54" t="s">
        <v>8143</v>
      </c>
    </row>
    <row r="55" spans="1:3">
      <c r="A55" t="s">
        <v>8144</v>
      </c>
      <c r="B55" t="s">
        <v>8145</v>
      </c>
      <c r="C55" t="s">
        <v>8146</v>
      </c>
    </row>
    <row r="56" spans="1:3">
      <c r="A56" t="s">
        <v>8147</v>
      </c>
      <c r="B56" t="s">
        <v>8148</v>
      </c>
      <c r="C56" t="s">
        <v>8149</v>
      </c>
    </row>
    <row r="57" spans="1:3">
      <c r="A57" t="s">
        <v>8150</v>
      </c>
      <c r="B57" t="s">
        <v>8151</v>
      </c>
      <c r="C57" t="s">
        <v>8152</v>
      </c>
    </row>
    <row r="58" spans="1:3">
      <c r="A58" t="s">
        <v>8153</v>
      </c>
      <c r="B58" t="s">
        <v>8154</v>
      </c>
      <c r="C58" t="s">
        <v>8155</v>
      </c>
    </row>
    <row r="59" spans="1:3">
      <c r="A59" t="s">
        <v>8156</v>
      </c>
      <c r="B59" t="s">
        <v>8157</v>
      </c>
      <c r="C59" t="s">
        <v>8158</v>
      </c>
    </row>
    <row r="60" spans="1:3">
      <c r="A60" t="s">
        <v>8159</v>
      </c>
      <c r="B60" t="s">
        <v>8160</v>
      </c>
      <c r="C60" t="s">
        <v>8161</v>
      </c>
    </row>
    <row r="61" spans="1:3">
      <c r="A61" t="s">
        <v>8162</v>
      </c>
      <c r="B61" t="s">
        <v>8163</v>
      </c>
      <c r="C61" t="s">
        <v>8164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"/>
  <dimension ref="A1:H5"/>
  <sheetViews>
    <sheetView workbookViewId="0">
      <selection activeCell="A20" sqref="A20"/>
    </sheetView>
  </sheetViews>
  <sheetFormatPr defaultRowHeight="15"/>
  <cols>
    <col min="1" max="1" width="51.85546875" bestFit="1" customWidth="1"/>
    <col min="2" max="2" width="10.5703125" bestFit="1" customWidth="1"/>
    <col min="3" max="3" width="10.85546875" bestFit="1" customWidth="1"/>
    <col min="4" max="4" width="10.7109375" bestFit="1" customWidth="1"/>
    <col min="5" max="5" width="11.42578125" bestFit="1" customWidth="1"/>
    <col min="6" max="6" width="5.140625" customWidth="1"/>
    <col min="7" max="7" width="14.28515625" bestFit="1" customWidth="1"/>
    <col min="8" max="8" width="6.5703125" bestFit="1" customWidth="1"/>
  </cols>
  <sheetData>
    <row r="1" spans="1:8">
      <c r="A1" s="12" t="s">
        <v>7</v>
      </c>
      <c r="B1" s="12" t="s">
        <v>8</v>
      </c>
      <c r="C1" s="12" t="s">
        <v>9</v>
      </c>
      <c r="D1" s="12" t="s">
        <v>10</v>
      </c>
      <c r="E1" s="12" t="s">
        <v>13</v>
      </c>
      <c r="F1" s="12" t="s">
        <v>18</v>
      </c>
      <c r="G1" s="12" t="s">
        <v>19</v>
      </c>
      <c r="H1" s="12" t="s">
        <v>6968</v>
      </c>
    </row>
    <row r="2" spans="1:8">
      <c r="A2" s="7" t="s">
        <v>31</v>
      </c>
      <c r="B2" s="8">
        <v>760</v>
      </c>
      <c r="C2" s="8">
        <v>4598.3</v>
      </c>
      <c r="D2" s="8">
        <v>7052</v>
      </c>
      <c r="E2" s="10">
        <v>10.7</v>
      </c>
      <c r="F2" s="8" t="s">
        <v>10626</v>
      </c>
      <c r="G2" s="8">
        <v>22030001</v>
      </c>
      <c r="H2" s="6">
        <v>4.5999999999999996</v>
      </c>
    </row>
    <row r="3" spans="1:8">
      <c r="A3" s="7" t="s">
        <v>32</v>
      </c>
      <c r="B3" s="8">
        <v>60</v>
      </c>
      <c r="C3" s="8">
        <v>1217.4000000000001</v>
      </c>
      <c r="D3" s="8">
        <v>1648.94</v>
      </c>
      <c r="E3" s="8">
        <v>10.7</v>
      </c>
      <c r="F3" s="8" t="s">
        <v>10626</v>
      </c>
      <c r="G3" s="8">
        <v>22030010</v>
      </c>
      <c r="H3" s="7">
        <v>4.5999999999999996</v>
      </c>
    </row>
    <row r="4" spans="1:8">
      <c r="A4" s="7" t="s">
        <v>33</v>
      </c>
      <c r="B4" s="8">
        <v>486</v>
      </c>
      <c r="C4" s="8">
        <v>3889.92</v>
      </c>
      <c r="D4" s="8">
        <v>7059.13</v>
      </c>
      <c r="E4" s="8">
        <v>13.1</v>
      </c>
      <c r="F4" s="8" t="s">
        <v>10626</v>
      </c>
      <c r="G4" s="8">
        <v>22030001</v>
      </c>
      <c r="H4" s="7">
        <v>5.4</v>
      </c>
    </row>
    <row r="5" spans="1:8">
      <c r="A5" s="7" t="s">
        <v>34</v>
      </c>
      <c r="B5" s="8">
        <v>72</v>
      </c>
      <c r="C5" s="8">
        <v>327.43</v>
      </c>
      <c r="D5" s="8">
        <v>620.58000000000004</v>
      </c>
      <c r="E5" s="8">
        <v>11.5</v>
      </c>
      <c r="F5" s="8" t="s">
        <v>10626</v>
      </c>
      <c r="G5" s="8">
        <v>22030001</v>
      </c>
      <c r="H5" s="7">
        <v>4.8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:I28"/>
  <sheetViews>
    <sheetView workbookViewId="0">
      <selection activeCell="H20" sqref="H20"/>
    </sheetView>
  </sheetViews>
  <sheetFormatPr defaultRowHeight="15"/>
  <cols>
    <col min="1" max="1" width="51.85546875" bestFit="1" customWidth="1"/>
    <col min="2" max="2" width="23.28515625" customWidth="1"/>
    <col min="3" max="3" width="17" bestFit="1" customWidth="1"/>
    <col min="4" max="7" width="13" customWidth="1"/>
    <col min="8" max="8" width="13" style="9" customWidth="1"/>
    <col min="9" max="9" width="13" customWidth="1"/>
  </cols>
  <sheetData>
    <row r="1" spans="1:9" s="11" customFormat="1">
      <c r="A1" s="11" t="s">
        <v>36</v>
      </c>
      <c r="B1" s="11" t="s">
        <v>37</v>
      </c>
      <c r="C1" s="11" t="s">
        <v>38</v>
      </c>
      <c r="D1" s="11" t="s">
        <v>12</v>
      </c>
      <c r="E1" s="11" t="s">
        <v>13</v>
      </c>
      <c r="F1" s="11" t="s">
        <v>14</v>
      </c>
      <c r="G1" s="11" t="s">
        <v>15</v>
      </c>
      <c r="H1" s="11" t="s">
        <v>16</v>
      </c>
      <c r="I1" s="11" t="s">
        <v>17</v>
      </c>
    </row>
    <row r="2" spans="1:9">
      <c r="A2" s="7" t="s">
        <v>31</v>
      </c>
      <c r="C2">
        <v>6</v>
      </c>
      <c r="H2" s="9">
        <v>1</v>
      </c>
    </row>
    <row r="3" spans="1:9">
      <c r="A3" s="7" t="s">
        <v>32</v>
      </c>
      <c r="C3">
        <v>1</v>
      </c>
      <c r="H3" s="9">
        <v>20</v>
      </c>
    </row>
    <row r="4" spans="1:9">
      <c r="A4" s="7" t="s">
        <v>33</v>
      </c>
      <c r="C4">
        <v>24</v>
      </c>
      <c r="H4" s="9">
        <v>0.33</v>
      </c>
    </row>
    <row r="5" spans="1:9">
      <c r="A5" s="7" t="s">
        <v>34</v>
      </c>
      <c r="C5">
        <v>6</v>
      </c>
      <c r="H5" s="9">
        <v>0.75</v>
      </c>
    </row>
    <row r="6" spans="1:9">
      <c r="A6" s="7" t="s">
        <v>7983</v>
      </c>
      <c r="C6">
        <v>24</v>
      </c>
      <c r="H6" s="9">
        <v>0.33</v>
      </c>
    </row>
    <row r="7" spans="1:9">
      <c r="A7" s="7" t="s">
        <v>7984</v>
      </c>
      <c r="C7">
        <v>24</v>
      </c>
      <c r="H7" s="9">
        <v>0.33</v>
      </c>
    </row>
    <row r="8" spans="1:9">
      <c r="A8" s="7" t="s">
        <v>7985</v>
      </c>
      <c r="C8">
        <v>24</v>
      </c>
      <c r="H8" s="9">
        <v>0.33</v>
      </c>
    </row>
    <row r="9" spans="1:9">
      <c r="A9" s="7" t="s">
        <v>7986</v>
      </c>
      <c r="C9">
        <v>6</v>
      </c>
      <c r="H9" s="9">
        <v>1</v>
      </c>
    </row>
    <row r="10" spans="1:9">
      <c r="A10" s="7" t="s">
        <v>7990</v>
      </c>
      <c r="C10">
        <v>24</v>
      </c>
      <c r="H10" s="9">
        <v>0.33</v>
      </c>
    </row>
    <row r="11" spans="1:9">
      <c r="A11" s="7" t="s">
        <v>7991</v>
      </c>
      <c r="C11">
        <v>24</v>
      </c>
      <c r="H11" s="9">
        <v>0.33</v>
      </c>
    </row>
    <row r="12" spans="1:9">
      <c r="A12" s="7" t="s">
        <v>7992</v>
      </c>
      <c r="C12">
        <v>1</v>
      </c>
      <c r="H12" s="9">
        <v>20</v>
      </c>
    </row>
    <row r="13" spans="1:9">
      <c r="A13" s="7" t="s">
        <v>7993</v>
      </c>
      <c r="C13">
        <v>1</v>
      </c>
      <c r="H13" s="9">
        <v>20</v>
      </c>
    </row>
    <row r="14" spans="1:9">
      <c r="A14" s="7" t="s">
        <v>7994</v>
      </c>
      <c r="C14">
        <v>24</v>
      </c>
      <c r="H14" s="9">
        <v>0.33</v>
      </c>
    </row>
    <row r="15" spans="1:9">
      <c r="A15" s="7" t="s">
        <v>7995</v>
      </c>
      <c r="C15">
        <v>24</v>
      </c>
      <c r="H15" s="9">
        <v>0.33</v>
      </c>
    </row>
    <row r="16" spans="1:9">
      <c r="A16" s="7" t="s">
        <v>7996</v>
      </c>
      <c r="C16">
        <v>1</v>
      </c>
      <c r="H16" s="9">
        <v>30</v>
      </c>
    </row>
    <row r="17" spans="1:8">
      <c r="A17" s="7" t="s">
        <v>7997</v>
      </c>
      <c r="C17">
        <v>24</v>
      </c>
      <c r="H17" s="9">
        <v>0.25</v>
      </c>
    </row>
    <row r="18" spans="1:8">
      <c r="A18" s="7" t="s">
        <v>7991</v>
      </c>
      <c r="C18">
        <v>24</v>
      </c>
      <c r="H18" s="9">
        <v>0.33</v>
      </c>
    </row>
    <row r="19" spans="1:8">
      <c r="A19" s="7" t="s">
        <v>8297</v>
      </c>
      <c r="C19">
        <v>24</v>
      </c>
      <c r="H19" s="9">
        <v>0.33</v>
      </c>
    </row>
    <row r="22" spans="1:8">
      <c r="A22" s="7"/>
    </row>
    <row r="23" spans="1:8">
      <c r="A23" s="7"/>
    </row>
    <row r="25" spans="1:8">
      <c r="A25" s="7"/>
    </row>
    <row r="28" spans="1:8">
      <c r="A2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4"/>
  <dimension ref="A1:E18796"/>
  <sheetViews>
    <sheetView topLeftCell="A181" workbookViewId="0">
      <selection activeCell="F220" sqref="F220"/>
    </sheetView>
  </sheetViews>
  <sheetFormatPr defaultRowHeight="15"/>
  <cols>
    <col min="1" max="1" width="10.5703125" bestFit="1" customWidth="1"/>
    <col min="2" max="2" width="56.85546875" bestFit="1" customWidth="1"/>
    <col min="3" max="3" width="7.7109375" style="10" customWidth="1"/>
    <col min="4" max="5" width="8.7109375" style="10"/>
  </cols>
  <sheetData>
    <row r="1" spans="1:5" s="11" customFormat="1">
      <c r="A1" s="11" t="s">
        <v>39</v>
      </c>
      <c r="B1" s="11" t="s">
        <v>9385</v>
      </c>
      <c r="C1" s="39" t="s">
        <v>9386</v>
      </c>
      <c r="D1" s="39" t="s">
        <v>9387</v>
      </c>
      <c r="E1" s="39" t="s">
        <v>9388</v>
      </c>
    </row>
    <row r="2" spans="1:5">
      <c r="A2" t="s">
        <v>6080</v>
      </c>
      <c r="B2" t="s">
        <v>6081</v>
      </c>
      <c r="C2" s="10">
        <v>24</v>
      </c>
      <c r="D2" s="10">
        <v>0.2</v>
      </c>
      <c r="E2" s="10">
        <v>0</v>
      </c>
    </row>
    <row r="3" spans="1:5">
      <c r="A3" t="s">
        <v>4927</v>
      </c>
      <c r="B3" t="s">
        <v>4928</v>
      </c>
      <c r="C3" s="10">
        <v>6</v>
      </c>
      <c r="D3" s="10">
        <v>0.7</v>
      </c>
      <c r="E3" s="10">
        <v>38</v>
      </c>
    </row>
    <row r="4" spans="1:5">
      <c r="A4" t="s">
        <v>9389</v>
      </c>
      <c r="B4" t="s">
        <v>8313</v>
      </c>
      <c r="C4" s="10">
        <v>6</v>
      </c>
      <c r="D4" s="10">
        <v>0.7</v>
      </c>
      <c r="E4" s="10">
        <v>38</v>
      </c>
    </row>
    <row r="5" spans="1:5">
      <c r="A5" t="s">
        <v>3229</v>
      </c>
      <c r="B5" t="s">
        <v>3230</v>
      </c>
      <c r="C5" s="10">
        <v>6</v>
      </c>
      <c r="D5" s="10">
        <v>0.7</v>
      </c>
      <c r="E5" s="10">
        <v>35</v>
      </c>
    </row>
    <row r="6" spans="1:5">
      <c r="A6" t="s">
        <v>4929</v>
      </c>
      <c r="B6" t="s">
        <v>4930</v>
      </c>
      <c r="C6" s="10">
        <v>6</v>
      </c>
      <c r="D6" s="10">
        <v>0.7</v>
      </c>
      <c r="E6" s="10">
        <v>38</v>
      </c>
    </row>
    <row r="7" spans="1:5">
      <c r="A7" t="s">
        <v>4931</v>
      </c>
      <c r="B7" t="s">
        <v>4932</v>
      </c>
      <c r="C7" s="10">
        <v>6</v>
      </c>
      <c r="D7" s="10">
        <v>0.7</v>
      </c>
      <c r="E7" s="10">
        <v>38</v>
      </c>
    </row>
    <row r="8" spans="1:5">
      <c r="A8" t="s">
        <v>40</v>
      </c>
      <c r="B8" t="s">
        <v>41</v>
      </c>
      <c r="C8" s="10">
        <v>6</v>
      </c>
      <c r="D8" s="10">
        <v>0.7</v>
      </c>
      <c r="E8" s="10">
        <v>40</v>
      </c>
    </row>
    <row r="9" spans="1:5">
      <c r="A9" t="s">
        <v>1963</v>
      </c>
      <c r="B9" t="s">
        <v>1964</v>
      </c>
      <c r="C9" s="10">
        <v>6</v>
      </c>
      <c r="D9" s="10">
        <v>1</v>
      </c>
      <c r="E9" s="10">
        <v>30</v>
      </c>
    </row>
    <row r="10" spans="1:5">
      <c r="A10" t="s">
        <v>1403</v>
      </c>
      <c r="B10" t="s">
        <v>1404</v>
      </c>
      <c r="C10" s="10">
        <v>6</v>
      </c>
      <c r="D10" s="10">
        <v>1</v>
      </c>
      <c r="E10" s="10">
        <v>40</v>
      </c>
    </row>
    <row r="11" spans="1:5">
      <c r="A11" t="s">
        <v>4933</v>
      </c>
      <c r="B11" t="s">
        <v>4934</v>
      </c>
      <c r="C11" s="10">
        <v>6</v>
      </c>
      <c r="D11" s="10">
        <v>0.7</v>
      </c>
      <c r="E11" s="10">
        <v>38</v>
      </c>
    </row>
    <row r="12" spans="1:5">
      <c r="A12" t="s">
        <v>4935</v>
      </c>
      <c r="B12" t="s">
        <v>4936</v>
      </c>
      <c r="C12" s="10">
        <v>6</v>
      </c>
      <c r="D12" s="10">
        <v>0.7</v>
      </c>
      <c r="E12" s="10">
        <v>38</v>
      </c>
    </row>
    <row r="13" spans="1:5">
      <c r="A13" t="s">
        <v>42</v>
      </c>
      <c r="B13" t="s">
        <v>43</v>
      </c>
      <c r="C13" s="10">
        <v>6</v>
      </c>
      <c r="D13" s="10">
        <v>0.7</v>
      </c>
      <c r="E13" s="10">
        <v>40</v>
      </c>
    </row>
    <row r="14" spans="1:5">
      <c r="A14" t="s">
        <v>9390</v>
      </c>
      <c r="B14" t="s">
        <v>1406</v>
      </c>
      <c r="C14" s="10">
        <v>12</v>
      </c>
      <c r="D14" s="10">
        <v>0.2</v>
      </c>
      <c r="E14" s="10">
        <v>40</v>
      </c>
    </row>
    <row r="15" spans="1:5">
      <c r="A15" t="s">
        <v>1405</v>
      </c>
      <c r="B15" t="s">
        <v>1406</v>
      </c>
      <c r="C15" s="10">
        <v>6</v>
      </c>
      <c r="D15" s="10">
        <v>1</v>
      </c>
      <c r="E15" s="10">
        <v>40</v>
      </c>
    </row>
    <row r="16" spans="1:5">
      <c r="A16" t="s">
        <v>1407</v>
      </c>
      <c r="B16" t="s">
        <v>1408</v>
      </c>
      <c r="C16" s="10">
        <v>6</v>
      </c>
      <c r="D16" s="10">
        <v>1</v>
      </c>
      <c r="E16" s="10">
        <v>40</v>
      </c>
    </row>
    <row r="17" spans="1:5">
      <c r="A17" t="s">
        <v>3231</v>
      </c>
      <c r="B17" t="s">
        <v>3232</v>
      </c>
      <c r="C17" s="10">
        <v>6</v>
      </c>
      <c r="D17" s="10">
        <v>0.7</v>
      </c>
      <c r="E17" s="10">
        <v>35</v>
      </c>
    </row>
    <row r="18" spans="1:5">
      <c r="A18" t="s">
        <v>6082</v>
      </c>
      <c r="B18" t="s">
        <v>6083</v>
      </c>
      <c r="C18" s="10">
        <v>25</v>
      </c>
      <c r="D18" s="10">
        <v>0.04</v>
      </c>
      <c r="E18" s="10">
        <v>35</v>
      </c>
    </row>
    <row r="19" spans="1:5">
      <c r="A19" t="s">
        <v>3233</v>
      </c>
      <c r="B19" t="s">
        <v>3234</v>
      </c>
      <c r="C19" s="10">
        <v>6</v>
      </c>
      <c r="D19" s="10">
        <v>0.7</v>
      </c>
      <c r="E19" s="10">
        <v>42</v>
      </c>
    </row>
    <row r="20" spans="1:5">
      <c r="A20" t="s">
        <v>3235</v>
      </c>
      <c r="B20" t="s">
        <v>3236</v>
      </c>
      <c r="C20" s="10">
        <v>6</v>
      </c>
      <c r="D20" s="10">
        <v>0.7</v>
      </c>
      <c r="E20" s="10">
        <v>42</v>
      </c>
    </row>
    <row r="21" spans="1:5">
      <c r="A21" t="s">
        <v>3237</v>
      </c>
      <c r="B21" t="s">
        <v>3238</v>
      </c>
      <c r="C21" s="10">
        <v>6</v>
      </c>
      <c r="D21" s="10">
        <v>0.7</v>
      </c>
      <c r="E21" s="10">
        <v>42</v>
      </c>
    </row>
    <row r="22" spans="1:5">
      <c r="A22" t="s">
        <v>9391</v>
      </c>
      <c r="B22" t="s">
        <v>8314</v>
      </c>
      <c r="C22" s="10">
        <v>6</v>
      </c>
      <c r="D22" s="10">
        <v>0.7</v>
      </c>
      <c r="E22" s="10">
        <v>40</v>
      </c>
    </row>
    <row r="23" spans="1:5">
      <c r="A23" t="s">
        <v>3239</v>
      </c>
      <c r="B23" t="s">
        <v>3240</v>
      </c>
      <c r="C23" s="10">
        <v>6</v>
      </c>
      <c r="D23" s="10">
        <v>0.7</v>
      </c>
      <c r="E23" s="10">
        <v>42</v>
      </c>
    </row>
    <row r="24" spans="1:5">
      <c r="A24" t="s">
        <v>3241</v>
      </c>
      <c r="B24" t="s">
        <v>3242</v>
      </c>
      <c r="C24" s="10">
        <v>6</v>
      </c>
      <c r="D24" s="10">
        <v>0.7</v>
      </c>
      <c r="E24" s="10">
        <v>42</v>
      </c>
    </row>
    <row r="25" spans="1:5">
      <c r="A25" t="s">
        <v>44</v>
      </c>
      <c r="B25" t="s">
        <v>45</v>
      </c>
      <c r="C25" s="10">
        <v>6</v>
      </c>
      <c r="D25" s="10">
        <v>0.7</v>
      </c>
      <c r="E25" s="10">
        <v>40</v>
      </c>
    </row>
    <row r="26" spans="1:5">
      <c r="A26" t="s">
        <v>4937</v>
      </c>
      <c r="B26" t="s">
        <v>4938</v>
      </c>
      <c r="C26" s="10">
        <v>6</v>
      </c>
      <c r="D26" s="10">
        <v>0.7</v>
      </c>
      <c r="E26" s="10">
        <v>38</v>
      </c>
    </row>
    <row r="27" spans="1:5">
      <c r="A27" t="s">
        <v>46</v>
      </c>
      <c r="B27" t="s">
        <v>47</v>
      </c>
      <c r="C27" s="10">
        <v>6</v>
      </c>
      <c r="D27" s="10">
        <v>0.7</v>
      </c>
      <c r="E27" s="10">
        <v>40</v>
      </c>
    </row>
    <row r="28" spans="1:5">
      <c r="A28" t="s">
        <v>1409</v>
      </c>
      <c r="B28" t="s">
        <v>47</v>
      </c>
      <c r="C28" s="10">
        <v>6</v>
      </c>
      <c r="D28" s="10">
        <v>1</v>
      </c>
      <c r="E28" s="10">
        <v>40</v>
      </c>
    </row>
    <row r="29" spans="1:5">
      <c r="A29" t="s">
        <v>4719</v>
      </c>
      <c r="B29" t="s">
        <v>4720</v>
      </c>
      <c r="C29" s="10">
        <v>6</v>
      </c>
      <c r="D29" s="10">
        <v>0.7</v>
      </c>
      <c r="E29" s="10">
        <v>45</v>
      </c>
    </row>
    <row r="30" spans="1:5">
      <c r="A30" t="s">
        <v>9392</v>
      </c>
      <c r="B30" t="s">
        <v>4720</v>
      </c>
      <c r="C30" s="10">
        <v>6</v>
      </c>
      <c r="D30" s="10">
        <v>1</v>
      </c>
      <c r="E30" s="10">
        <v>45</v>
      </c>
    </row>
    <row r="31" spans="1:5">
      <c r="A31" t="s">
        <v>5769</v>
      </c>
      <c r="B31" t="s">
        <v>49</v>
      </c>
      <c r="C31" s="10">
        <v>12</v>
      </c>
      <c r="D31" s="10">
        <v>0.2</v>
      </c>
      <c r="E31" s="10">
        <v>40</v>
      </c>
    </row>
    <row r="32" spans="1:5">
      <c r="A32" t="s">
        <v>48</v>
      </c>
      <c r="B32" t="s">
        <v>49</v>
      </c>
      <c r="C32" s="10">
        <v>6</v>
      </c>
      <c r="D32" s="10">
        <v>0.7</v>
      </c>
      <c r="E32" s="10">
        <v>40</v>
      </c>
    </row>
    <row r="33" spans="1:5">
      <c r="A33" t="s">
        <v>1410</v>
      </c>
      <c r="B33" t="s">
        <v>49</v>
      </c>
      <c r="C33" s="10">
        <v>6</v>
      </c>
      <c r="D33" s="10">
        <v>1</v>
      </c>
      <c r="E33" s="10">
        <v>40</v>
      </c>
    </row>
    <row r="34" spans="1:5">
      <c r="A34" t="s">
        <v>50</v>
      </c>
      <c r="B34" t="s">
        <v>51</v>
      </c>
      <c r="C34" s="10">
        <v>6</v>
      </c>
      <c r="D34" s="10">
        <v>0.7</v>
      </c>
      <c r="E34" s="10">
        <v>40</v>
      </c>
    </row>
    <row r="35" spans="1:5">
      <c r="A35" t="s">
        <v>52</v>
      </c>
      <c r="B35" t="s">
        <v>53</v>
      </c>
      <c r="C35" s="10">
        <v>6</v>
      </c>
      <c r="D35" s="10">
        <v>0.7</v>
      </c>
      <c r="E35" s="10">
        <v>40</v>
      </c>
    </row>
    <row r="36" spans="1:5">
      <c r="A36" t="s">
        <v>5982</v>
      </c>
      <c r="B36" t="s">
        <v>5983</v>
      </c>
      <c r="C36" s="10">
        <v>4</v>
      </c>
      <c r="D36" s="10">
        <v>0.7</v>
      </c>
      <c r="E36" s="10">
        <v>40</v>
      </c>
    </row>
    <row r="37" spans="1:5">
      <c r="A37" t="s">
        <v>54</v>
      </c>
      <c r="B37" t="s">
        <v>55</v>
      </c>
      <c r="C37" s="10">
        <v>6</v>
      </c>
      <c r="D37" s="10">
        <v>0.7</v>
      </c>
      <c r="E37" s="10">
        <v>40</v>
      </c>
    </row>
    <row r="38" spans="1:5">
      <c r="A38" t="s">
        <v>9393</v>
      </c>
      <c r="B38" t="s">
        <v>8315</v>
      </c>
      <c r="C38" s="10">
        <v>6</v>
      </c>
      <c r="D38" s="10">
        <v>0.7</v>
      </c>
      <c r="E38" s="10">
        <v>40</v>
      </c>
    </row>
    <row r="39" spans="1:5">
      <c r="A39" t="s">
        <v>5984</v>
      </c>
      <c r="B39" t="s">
        <v>5985</v>
      </c>
      <c r="C39" s="10">
        <v>3</v>
      </c>
      <c r="D39" s="10">
        <v>0.7</v>
      </c>
      <c r="E39" s="10">
        <v>40</v>
      </c>
    </row>
    <row r="40" spans="1:5">
      <c r="A40" t="s">
        <v>3243</v>
      </c>
      <c r="B40" t="s">
        <v>3244</v>
      </c>
      <c r="C40" s="10">
        <v>6</v>
      </c>
      <c r="D40" s="10">
        <v>0.7</v>
      </c>
      <c r="E40" s="10">
        <v>48</v>
      </c>
    </row>
    <row r="41" spans="1:5">
      <c r="A41" t="s">
        <v>5986</v>
      </c>
      <c r="B41" t="s">
        <v>5987</v>
      </c>
      <c r="C41" s="10">
        <v>3</v>
      </c>
      <c r="D41" s="10">
        <v>0.7</v>
      </c>
      <c r="E41" s="10">
        <v>40</v>
      </c>
    </row>
    <row r="42" spans="1:5">
      <c r="A42" t="s">
        <v>56</v>
      </c>
      <c r="B42" t="s">
        <v>57</v>
      </c>
      <c r="C42" s="10">
        <v>6</v>
      </c>
      <c r="D42" s="10">
        <v>0.7</v>
      </c>
      <c r="E42" s="10">
        <v>40</v>
      </c>
    </row>
    <row r="43" spans="1:5">
      <c r="A43" t="s">
        <v>5988</v>
      </c>
      <c r="B43" t="s">
        <v>5989</v>
      </c>
      <c r="C43" s="10">
        <v>3</v>
      </c>
      <c r="D43" s="10">
        <v>0.7</v>
      </c>
      <c r="E43" s="10">
        <v>40</v>
      </c>
    </row>
    <row r="44" spans="1:5">
      <c r="A44" t="s">
        <v>6084</v>
      </c>
      <c r="B44" t="s">
        <v>5989</v>
      </c>
      <c r="C44" s="10">
        <v>3</v>
      </c>
      <c r="D44" s="10">
        <v>0.7</v>
      </c>
      <c r="E44" s="10">
        <v>43</v>
      </c>
    </row>
    <row r="45" spans="1:5">
      <c r="A45" t="s">
        <v>1697</v>
      </c>
      <c r="B45" t="s">
        <v>1698</v>
      </c>
      <c r="C45" s="10">
        <v>6</v>
      </c>
      <c r="D45" s="10">
        <v>0.5</v>
      </c>
      <c r="E45" s="10">
        <v>43</v>
      </c>
    </row>
    <row r="46" spans="1:5">
      <c r="A46" t="s">
        <v>5326</v>
      </c>
      <c r="B46" t="s">
        <v>5327</v>
      </c>
      <c r="C46" s="10">
        <v>6</v>
      </c>
      <c r="D46" s="10">
        <v>0.7</v>
      </c>
      <c r="E46" s="10">
        <v>43</v>
      </c>
    </row>
    <row r="47" spans="1:5">
      <c r="A47" t="s">
        <v>9394</v>
      </c>
      <c r="B47" t="s">
        <v>8316</v>
      </c>
      <c r="C47" s="10">
        <v>6</v>
      </c>
      <c r="D47" s="10">
        <v>0.7</v>
      </c>
      <c r="E47" s="10">
        <v>60</v>
      </c>
    </row>
    <row r="48" spans="1:5">
      <c r="A48" t="s">
        <v>9395</v>
      </c>
      <c r="B48" t="s">
        <v>8317</v>
      </c>
      <c r="C48" s="10">
        <v>6</v>
      </c>
      <c r="D48" s="10">
        <v>0.7</v>
      </c>
      <c r="E48" s="10">
        <v>60.9</v>
      </c>
    </row>
    <row r="49" spans="1:5">
      <c r="A49" t="s">
        <v>9396</v>
      </c>
      <c r="B49" t="s">
        <v>8318</v>
      </c>
      <c r="C49" s="10">
        <v>6</v>
      </c>
      <c r="D49" s="10">
        <v>0.7</v>
      </c>
      <c r="E49" s="10">
        <v>61.3</v>
      </c>
    </row>
    <row r="50" spans="1:5">
      <c r="A50" t="s">
        <v>3245</v>
      </c>
      <c r="B50" t="s">
        <v>3246</v>
      </c>
      <c r="C50" s="10">
        <v>6</v>
      </c>
      <c r="D50" s="10">
        <v>0.7</v>
      </c>
      <c r="E50" s="10">
        <v>60.8</v>
      </c>
    </row>
    <row r="51" spans="1:5">
      <c r="A51" t="s">
        <v>3247</v>
      </c>
      <c r="B51" t="s">
        <v>3248</v>
      </c>
      <c r="C51" s="10">
        <v>6</v>
      </c>
      <c r="D51" s="10">
        <v>0.7</v>
      </c>
      <c r="E51" s="10">
        <v>62.7</v>
      </c>
    </row>
    <row r="52" spans="1:5">
      <c r="A52" t="s">
        <v>3249</v>
      </c>
      <c r="B52" t="s">
        <v>3250</v>
      </c>
      <c r="C52" s="10">
        <v>6</v>
      </c>
      <c r="D52" s="10">
        <v>0.7</v>
      </c>
      <c r="E52" s="10">
        <v>58.9</v>
      </c>
    </row>
    <row r="53" spans="1:5">
      <c r="A53" t="s">
        <v>3251</v>
      </c>
      <c r="B53" t="s">
        <v>3252</v>
      </c>
      <c r="C53" s="10">
        <v>6</v>
      </c>
      <c r="D53" s="10">
        <v>0.7</v>
      </c>
      <c r="E53" s="10">
        <v>48</v>
      </c>
    </row>
    <row r="54" spans="1:5">
      <c r="A54" t="s">
        <v>5990</v>
      </c>
      <c r="B54" t="s">
        <v>5991</v>
      </c>
      <c r="C54" s="10">
        <v>3</v>
      </c>
      <c r="D54" s="10">
        <v>0.7</v>
      </c>
      <c r="E54" s="10">
        <v>40</v>
      </c>
    </row>
    <row r="55" spans="1:5">
      <c r="A55" t="s">
        <v>9397</v>
      </c>
      <c r="B55" t="s">
        <v>8319</v>
      </c>
      <c r="C55" s="10">
        <v>6</v>
      </c>
      <c r="D55" s="10">
        <v>0.7</v>
      </c>
      <c r="E55" s="10">
        <v>40</v>
      </c>
    </row>
    <row r="56" spans="1:5">
      <c r="A56" t="s">
        <v>3253</v>
      </c>
      <c r="B56" t="s">
        <v>3254</v>
      </c>
      <c r="C56" s="10">
        <v>6</v>
      </c>
      <c r="D56" s="10">
        <v>0.7</v>
      </c>
      <c r="E56" s="10">
        <v>55</v>
      </c>
    </row>
    <row r="57" spans="1:5">
      <c r="A57" t="s">
        <v>3255</v>
      </c>
      <c r="B57" t="s">
        <v>3256</v>
      </c>
      <c r="C57" s="10">
        <v>6</v>
      </c>
      <c r="D57" s="10">
        <v>0.7</v>
      </c>
      <c r="E57" s="10">
        <v>55</v>
      </c>
    </row>
    <row r="58" spans="1:5">
      <c r="A58" t="s">
        <v>9398</v>
      </c>
      <c r="B58" t="s">
        <v>8320</v>
      </c>
      <c r="C58" s="10">
        <v>6</v>
      </c>
      <c r="D58" s="10">
        <v>0.7</v>
      </c>
      <c r="E58" s="10">
        <v>60</v>
      </c>
    </row>
    <row r="59" spans="1:5">
      <c r="A59" t="s">
        <v>3257</v>
      </c>
      <c r="B59" t="s">
        <v>3258</v>
      </c>
      <c r="C59" s="10">
        <v>6</v>
      </c>
      <c r="D59" s="10">
        <v>0.7</v>
      </c>
      <c r="E59" s="10">
        <v>70</v>
      </c>
    </row>
    <row r="60" spans="1:5">
      <c r="A60" t="s">
        <v>6085</v>
      </c>
      <c r="B60" t="s">
        <v>6086</v>
      </c>
      <c r="C60" s="10">
        <v>1</v>
      </c>
      <c r="D60" s="10">
        <v>1</v>
      </c>
      <c r="E60" s="10">
        <v>0</v>
      </c>
    </row>
    <row r="61" spans="1:5">
      <c r="A61" t="s">
        <v>9399</v>
      </c>
      <c r="B61" t="s">
        <v>6958</v>
      </c>
      <c r="C61" s="10">
        <v>12</v>
      </c>
      <c r="D61" s="10">
        <v>1</v>
      </c>
      <c r="E61" s="10">
        <v>40</v>
      </c>
    </row>
    <row r="62" spans="1:5">
      <c r="A62" t="s">
        <v>58</v>
      </c>
      <c r="B62" t="s">
        <v>59</v>
      </c>
      <c r="C62" s="10">
        <v>6</v>
      </c>
      <c r="D62" s="10">
        <v>0.7</v>
      </c>
      <c r="E62" s="10">
        <v>40</v>
      </c>
    </row>
    <row r="63" spans="1:5">
      <c r="A63" t="s">
        <v>5666</v>
      </c>
      <c r="B63" t="s">
        <v>59</v>
      </c>
      <c r="C63" s="10">
        <v>12</v>
      </c>
      <c r="D63" s="10">
        <v>1</v>
      </c>
      <c r="E63" s="10">
        <v>40</v>
      </c>
    </row>
    <row r="64" spans="1:5">
      <c r="A64" t="s">
        <v>9400</v>
      </c>
      <c r="B64" t="s">
        <v>8321</v>
      </c>
      <c r="C64" s="10">
        <v>6</v>
      </c>
      <c r="D64" s="10">
        <v>0.7</v>
      </c>
      <c r="E64" s="10">
        <v>40</v>
      </c>
    </row>
    <row r="65" spans="1:5">
      <c r="A65" t="s">
        <v>3259</v>
      </c>
      <c r="B65" t="s">
        <v>3260</v>
      </c>
      <c r="C65" s="10">
        <v>6</v>
      </c>
      <c r="D65" s="10">
        <v>0.7</v>
      </c>
      <c r="E65" s="10">
        <v>42.3</v>
      </c>
    </row>
    <row r="66" spans="1:5">
      <c r="A66" t="s">
        <v>9401</v>
      </c>
      <c r="B66" t="s">
        <v>8322</v>
      </c>
      <c r="C66" s="10">
        <v>6</v>
      </c>
      <c r="D66" s="10">
        <v>0.7</v>
      </c>
      <c r="E66" s="10">
        <v>35</v>
      </c>
    </row>
    <row r="67" spans="1:5">
      <c r="A67" t="s">
        <v>5667</v>
      </c>
      <c r="B67" t="s">
        <v>5668</v>
      </c>
      <c r="C67" s="10">
        <v>12</v>
      </c>
      <c r="D67" s="10">
        <v>1</v>
      </c>
      <c r="E67" s="10">
        <v>40</v>
      </c>
    </row>
    <row r="68" spans="1:5">
      <c r="A68" t="s">
        <v>60</v>
      </c>
      <c r="B68" t="s">
        <v>61</v>
      </c>
      <c r="C68" s="10">
        <v>6</v>
      </c>
      <c r="D68" s="10">
        <v>0.7</v>
      </c>
      <c r="E68" s="10">
        <v>40</v>
      </c>
    </row>
    <row r="69" spans="1:5">
      <c r="A69" t="s">
        <v>5669</v>
      </c>
      <c r="B69" t="s">
        <v>61</v>
      </c>
      <c r="C69" s="10">
        <v>12</v>
      </c>
      <c r="D69" s="10">
        <v>1</v>
      </c>
      <c r="E69" s="10">
        <v>40</v>
      </c>
    </row>
    <row r="70" spans="1:5">
      <c r="A70" t="s">
        <v>5670</v>
      </c>
      <c r="B70" t="s">
        <v>5671</v>
      </c>
      <c r="C70" s="10">
        <v>12</v>
      </c>
      <c r="D70" s="10">
        <v>1</v>
      </c>
      <c r="E70" s="10">
        <v>40</v>
      </c>
    </row>
    <row r="71" spans="1:5">
      <c r="A71" t="s">
        <v>4939</v>
      </c>
      <c r="B71" t="s">
        <v>4940</v>
      </c>
      <c r="C71" s="10">
        <v>6</v>
      </c>
      <c r="D71" s="10">
        <v>0.7</v>
      </c>
      <c r="E71" s="10">
        <v>38</v>
      </c>
    </row>
    <row r="72" spans="1:5">
      <c r="A72" t="s">
        <v>6800</v>
      </c>
      <c r="B72" t="s">
        <v>4940</v>
      </c>
      <c r="C72" s="10">
        <v>12</v>
      </c>
      <c r="D72" s="10">
        <v>1</v>
      </c>
      <c r="E72" s="10">
        <v>38</v>
      </c>
    </row>
    <row r="73" spans="1:5">
      <c r="A73" t="s">
        <v>4941</v>
      </c>
      <c r="B73" t="s">
        <v>4942</v>
      </c>
      <c r="C73" s="10">
        <v>6</v>
      </c>
      <c r="D73" s="10">
        <v>0.7</v>
      </c>
      <c r="E73" s="10">
        <v>38</v>
      </c>
    </row>
    <row r="74" spans="1:5">
      <c r="A74" t="s">
        <v>4943</v>
      </c>
      <c r="B74" t="s">
        <v>4944</v>
      </c>
      <c r="C74" s="10">
        <v>6</v>
      </c>
      <c r="D74" s="10">
        <v>0.7</v>
      </c>
      <c r="E74" s="10">
        <v>38</v>
      </c>
    </row>
    <row r="75" spans="1:5">
      <c r="A75" t="s">
        <v>62</v>
      </c>
      <c r="B75" t="s">
        <v>63</v>
      </c>
      <c r="C75" s="10">
        <v>6</v>
      </c>
      <c r="D75" s="10">
        <v>0.7</v>
      </c>
      <c r="E75" s="10">
        <v>40</v>
      </c>
    </row>
    <row r="76" spans="1:5">
      <c r="A76" t="s">
        <v>6801</v>
      </c>
      <c r="B76" t="s">
        <v>63</v>
      </c>
      <c r="C76" s="10">
        <v>12</v>
      </c>
      <c r="D76" s="10">
        <v>1</v>
      </c>
      <c r="E76" s="10">
        <v>38</v>
      </c>
    </row>
    <row r="77" spans="1:5">
      <c r="A77" t="s">
        <v>9402</v>
      </c>
      <c r="B77" t="s">
        <v>63</v>
      </c>
      <c r="C77" s="10">
        <v>12</v>
      </c>
      <c r="D77" s="10">
        <v>1</v>
      </c>
      <c r="E77" s="10">
        <v>40</v>
      </c>
    </row>
    <row r="78" spans="1:5">
      <c r="A78" t="s">
        <v>4945</v>
      </c>
      <c r="B78" t="s">
        <v>4946</v>
      </c>
      <c r="C78" s="10">
        <v>6</v>
      </c>
      <c r="D78" s="10">
        <v>0.7</v>
      </c>
      <c r="E78" s="10">
        <v>38</v>
      </c>
    </row>
    <row r="79" spans="1:5">
      <c r="A79" t="s">
        <v>6802</v>
      </c>
      <c r="B79" t="s">
        <v>4946</v>
      </c>
      <c r="C79" s="10">
        <v>12</v>
      </c>
      <c r="D79" s="10">
        <v>1</v>
      </c>
      <c r="E79" s="10">
        <v>38</v>
      </c>
    </row>
    <row r="80" spans="1:5">
      <c r="A80" t="s">
        <v>6803</v>
      </c>
      <c r="B80" t="s">
        <v>6804</v>
      </c>
      <c r="C80" s="10">
        <v>12</v>
      </c>
      <c r="D80" s="10">
        <v>1</v>
      </c>
      <c r="E80" s="10">
        <v>38</v>
      </c>
    </row>
    <row r="81" spans="1:5">
      <c r="A81" t="s">
        <v>4947</v>
      </c>
      <c r="B81" t="s">
        <v>4948</v>
      </c>
      <c r="C81" s="10">
        <v>6</v>
      </c>
      <c r="D81" s="10">
        <v>0.7</v>
      </c>
      <c r="E81" s="10">
        <v>38</v>
      </c>
    </row>
    <row r="82" spans="1:5">
      <c r="A82" t="s">
        <v>5876</v>
      </c>
      <c r="B82" t="s">
        <v>65</v>
      </c>
      <c r="C82" s="10">
        <v>120</v>
      </c>
      <c r="D82" s="10">
        <v>0.05</v>
      </c>
      <c r="E82" s="10">
        <v>40</v>
      </c>
    </row>
    <row r="83" spans="1:5">
      <c r="A83" t="s">
        <v>5877</v>
      </c>
      <c r="B83" t="s">
        <v>65</v>
      </c>
      <c r="C83" s="10">
        <v>192</v>
      </c>
      <c r="D83" s="10">
        <v>0.05</v>
      </c>
      <c r="E83" s="10">
        <v>40</v>
      </c>
    </row>
    <row r="84" spans="1:5">
      <c r="A84" t="s">
        <v>5878</v>
      </c>
      <c r="B84" t="s">
        <v>65</v>
      </c>
      <c r="C84" s="10">
        <v>24</v>
      </c>
      <c r="D84" s="10">
        <v>0.2</v>
      </c>
      <c r="E84" s="10">
        <v>40</v>
      </c>
    </row>
    <row r="85" spans="1:5">
      <c r="A85" t="s">
        <v>9403</v>
      </c>
      <c r="B85" t="s">
        <v>65</v>
      </c>
      <c r="C85" s="10">
        <v>24</v>
      </c>
      <c r="D85" s="10">
        <v>0.35</v>
      </c>
      <c r="E85" s="10">
        <v>40</v>
      </c>
    </row>
    <row r="86" spans="1:5">
      <c r="A86" t="s">
        <v>5770</v>
      </c>
      <c r="B86" t="s">
        <v>65</v>
      </c>
      <c r="C86" s="10">
        <v>12</v>
      </c>
      <c r="D86" s="10">
        <v>0.35</v>
      </c>
      <c r="E86" s="10">
        <v>40</v>
      </c>
    </row>
    <row r="87" spans="1:5">
      <c r="A87" t="s">
        <v>5771</v>
      </c>
      <c r="B87" t="s">
        <v>65</v>
      </c>
      <c r="C87" s="10">
        <v>12</v>
      </c>
      <c r="D87" s="10">
        <v>0.5</v>
      </c>
      <c r="E87" s="10">
        <v>40</v>
      </c>
    </row>
    <row r="88" spans="1:5">
      <c r="A88" t="s">
        <v>64</v>
      </c>
      <c r="B88" t="s">
        <v>65</v>
      </c>
      <c r="C88" s="10">
        <v>6</v>
      </c>
      <c r="D88" s="10">
        <v>0.7</v>
      </c>
      <c r="E88" s="10">
        <v>40</v>
      </c>
    </row>
    <row r="89" spans="1:5">
      <c r="A89" t="s">
        <v>1411</v>
      </c>
      <c r="B89" t="s">
        <v>65</v>
      </c>
      <c r="C89" s="10">
        <v>6</v>
      </c>
      <c r="D89" s="10">
        <v>1</v>
      </c>
      <c r="E89" s="10">
        <v>40</v>
      </c>
    </row>
    <row r="90" spans="1:5">
      <c r="A90" t="s">
        <v>5672</v>
      </c>
      <c r="B90" t="s">
        <v>65</v>
      </c>
      <c r="C90" s="10">
        <v>12</v>
      </c>
      <c r="D90" s="10">
        <v>1</v>
      </c>
      <c r="E90" s="10">
        <v>40</v>
      </c>
    </row>
    <row r="91" spans="1:5">
      <c r="A91" t="s">
        <v>1534</v>
      </c>
      <c r="B91" t="s">
        <v>65</v>
      </c>
      <c r="C91" s="10">
        <v>6</v>
      </c>
      <c r="D91" s="10">
        <v>1.75</v>
      </c>
      <c r="E91" s="10">
        <v>40</v>
      </c>
    </row>
    <row r="92" spans="1:5">
      <c r="A92" t="s">
        <v>5879</v>
      </c>
      <c r="B92" t="s">
        <v>65</v>
      </c>
      <c r="C92" s="10">
        <v>1</v>
      </c>
      <c r="D92" s="10">
        <v>4.5</v>
      </c>
      <c r="E92" s="10">
        <v>40</v>
      </c>
    </row>
    <row r="93" spans="1:5">
      <c r="A93" t="s">
        <v>9404</v>
      </c>
      <c r="B93" t="s">
        <v>8323</v>
      </c>
      <c r="C93" s="10">
        <v>6</v>
      </c>
      <c r="D93" s="10">
        <v>0.7</v>
      </c>
      <c r="E93" s="10">
        <v>40</v>
      </c>
    </row>
    <row r="94" spans="1:5">
      <c r="A94" t="s">
        <v>4949</v>
      </c>
      <c r="B94" t="s">
        <v>4950</v>
      </c>
      <c r="C94" s="10">
        <v>6</v>
      </c>
      <c r="D94" s="10">
        <v>0.7</v>
      </c>
      <c r="E94" s="10">
        <v>38</v>
      </c>
    </row>
    <row r="95" spans="1:5">
      <c r="A95" t="s">
        <v>66</v>
      </c>
      <c r="B95" t="s">
        <v>67</v>
      </c>
      <c r="C95" s="10">
        <v>6</v>
      </c>
      <c r="D95" s="10">
        <v>0.7</v>
      </c>
      <c r="E95" s="10">
        <v>40</v>
      </c>
    </row>
    <row r="96" spans="1:5">
      <c r="A96" t="s">
        <v>68</v>
      </c>
      <c r="B96" t="s">
        <v>69</v>
      </c>
      <c r="C96" s="10">
        <v>6</v>
      </c>
      <c r="D96" s="10">
        <v>0.7</v>
      </c>
      <c r="E96" s="10">
        <v>40</v>
      </c>
    </row>
    <row r="97" spans="1:5">
      <c r="A97" t="s">
        <v>70</v>
      </c>
      <c r="B97" t="s">
        <v>71</v>
      </c>
      <c r="C97" s="10">
        <v>6</v>
      </c>
      <c r="D97" s="10">
        <v>0.7</v>
      </c>
      <c r="E97" s="10">
        <v>40</v>
      </c>
    </row>
    <row r="98" spans="1:5">
      <c r="A98" t="s">
        <v>72</v>
      </c>
      <c r="B98" t="s">
        <v>73</v>
      </c>
      <c r="C98" s="10">
        <v>6</v>
      </c>
      <c r="D98" s="10">
        <v>0.7</v>
      </c>
      <c r="E98" s="10">
        <v>40</v>
      </c>
    </row>
    <row r="99" spans="1:5">
      <c r="A99" t="s">
        <v>9405</v>
      </c>
      <c r="B99" t="s">
        <v>8324</v>
      </c>
      <c r="C99" s="10">
        <v>6</v>
      </c>
      <c r="D99" s="10">
        <v>0.7</v>
      </c>
      <c r="E99" s="10">
        <v>40</v>
      </c>
    </row>
    <row r="100" spans="1:5">
      <c r="A100" t="s">
        <v>74</v>
      </c>
      <c r="B100" t="s">
        <v>75</v>
      </c>
      <c r="C100" s="10">
        <v>6</v>
      </c>
      <c r="D100" s="10">
        <v>0.7</v>
      </c>
      <c r="E100" s="10">
        <v>40</v>
      </c>
    </row>
    <row r="101" spans="1:5">
      <c r="A101" t="s">
        <v>6087</v>
      </c>
      <c r="B101" t="s">
        <v>6088</v>
      </c>
      <c r="C101" s="10">
        <v>24</v>
      </c>
      <c r="D101" s="10">
        <v>0.25</v>
      </c>
      <c r="E101" s="10">
        <v>0</v>
      </c>
    </row>
    <row r="102" spans="1:5">
      <c r="A102" t="s">
        <v>6561</v>
      </c>
      <c r="B102" t="s">
        <v>6088</v>
      </c>
      <c r="C102" s="10">
        <v>12</v>
      </c>
      <c r="D102" s="10">
        <v>0.75</v>
      </c>
      <c r="E102" s="10">
        <v>0</v>
      </c>
    </row>
    <row r="103" spans="1:5">
      <c r="A103" t="s">
        <v>3261</v>
      </c>
      <c r="B103" t="s">
        <v>3262</v>
      </c>
      <c r="C103" s="10">
        <v>6</v>
      </c>
      <c r="D103" s="10">
        <v>0.7</v>
      </c>
      <c r="E103" s="10">
        <v>52</v>
      </c>
    </row>
    <row r="104" spans="1:5">
      <c r="A104" t="s">
        <v>9406</v>
      </c>
      <c r="B104" t="s">
        <v>8325</v>
      </c>
      <c r="C104" s="10">
        <v>6</v>
      </c>
      <c r="D104" s="10">
        <v>1</v>
      </c>
      <c r="E104" s="10">
        <v>0</v>
      </c>
    </row>
    <row r="105" spans="1:5">
      <c r="A105" t="s">
        <v>3263</v>
      </c>
      <c r="B105" t="s">
        <v>3264</v>
      </c>
      <c r="C105" s="10">
        <v>6</v>
      </c>
      <c r="D105" s="10">
        <v>0.7</v>
      </c>
      <c r="E105" s="10">
        <v>44.4</v>
      </c>
    </row>
    <row r="106" spans="1:5">
      <c r="A106" t="s">
        <v>1625</v>
      </c>
      <c r="B106" t="s">
        <v>1626</v>
      </c>
      <c r="C106" s="10">
        <v>6</v>
      </c>
      <c r="D106" s="10">
        <v>2.5</v>
      </c>
      <c r="E106" s="10">
        <v>44.4</v>
      </c>
    </row>
    <row r="107" spans="1:5">
      <c r="A107" t="s">
        <v>1627</v>
      </c>
      <c r="B107" t="s">
        <v>1628</v>
      </c>
      <c r="C107" s="10">
        <v>6</v>
      </c>
      <c r="D107" s="10">
        <v>2.5</v>
      </c>
      <c r="E107" s="10">
        <v>44.4</v>
      </c>
    </row>
    <row r="108" spans="1:5">
      <c r="A108" t="s">
        <v>3265</v>
      </c>
      <c r="B108" t="s">
        <v>3266</v>
      </c>
      <c r="C108" s="10">
        <v>6</v>
      </c>
      <c r="D108" s="10">
        <v>0.7</v>
      </c>
      <c r="E108" s="10">
        <v>44.4</v>
      </c>
    </row>
    <row r="109" spans="1:5">
      <c r="A109" t="s">
        <v>3267</v>
      </c>
      <c r="B109" t="s">
        <v>3268</v>
      </c>
      <c r="C109" s="10">
        <v>6</v>
      </c>
      <c r="D109" s="10">
        <v>0.7</v>
      </c>
      <c r="E109" s="10">
        <v>41.6</v>
      </c>
    </row>
    <row r="110" spans="1:5">
      <c r="A110" t="s">
        <v>9407</v>
      </c>
      <c r="B110" t="s">
        <v>8326</v>
      </c>
      <c r="C110" s="10">
        <v>6</v>
      </c>
      <c r="D110" s="10">
        <v>0.7</v>
      </c>
      <c r="E110" s="10">
        <v>40</v>
      </c>
    </row>
    <row r="111" spans="1:5">
      <c r="A111" t="s">
        <v>76</v>
      </c>
      <c r="B111" t="s">
        <v>77</v>
      </c>
      <c r="C111" s="10">
        <v>6</v>
      </c>
      <c r="D111" s="10">
        <v>0.7</v>
      </c>
      <c r="E111" s="10">
        <v>40</v>
      </c>
    </row>
    <row r="112" spans="1:5">
      <c r="A112" t="s">
        <v>78</v>
      </c>
      <c r="B112" t="s">
        <v>79</v>
      </c>
      <c r="C112" s="10">
        <v>6</v>
      </c>
      <c r="D112" s="10">
        <v>0.7</v>
      </c>
      <c r="E112" s="10">
        <v>40</v>
      </c>
    </row>
    <row r="113" spans="1:5">
      <c r="A113" t="s">
        <v>80</v>
      </c>
      <c r="B113" t="s">
        <v>81</v>
      </c>
      <c r="C113" s="10">
        <v>6</v>
      </c>
      <c r="D113" s="10">
        <v>0.7</v>
      </c>
      <c r="E113" s="10">
        <v>40</v>
      </c>
    </row>
    <row r="114" spans="1:5">
      <c r="A114" t="s">
        <v>3269</v>
      </c>
      <c r="B114" t="s">
        <v>3270</v>
      </c>
      <c r="C114" s="10">
        <v>6</v>
      </c>
      <c r="D114" s="10">
        <v>0.7</v>
      </c>
      <c r="E114" s="10">
        <v>30</v>
      </c>
    </row>
    <row r="115" spans="1:5">
      <c r="A115" t="s">
        <v>3271</v>
      </c>
      <c r="B115" t="s">
        <v>3272</v>
      </c>
      <c r="C115" s="10">
        <v>6</v>
      </c>
      <c r="D115" s="10">
        <v>0.7</v>
      </c>
      <c r="E115" s="10">
        <v>30</v>
      </c>
    </row>
    <row r="116" spans="1:5">
      <c r="A116" t="s">
        <v>4951</v>
      </c>
      <c r="B116" t="s">
        <v>4952</v>
      </c>
      <c r="C116" s="10">
        <v>6</v>
      </c>
      <c r="D116" s="10">
        <v>0.7</v>
      </c>
      <c r="E116" s="10">
        <v>38</v>
      </c>
    </row>
    <row r="117" spans="1:5">
      <c r="A117" t="s">
        <v>4953</v>
      </c>
      <c r="B117" t="s">
        <v>4954</v>
      </c>
      <c r="C117" s="10">
        <v>6</v>
      </c>
      <c r="D117" s="10">
        <v>0.7</v>
      </c>
      <c r="E117" s="10">
        <v>38</v>
      </c>
    </row>
    <row r="118" spans="1:5">
      <c r="A118" t="s">
        <v>6562</v>
      </c>
      <c r="B118" t="s">
        <v>6563</v>
      </c>
      <c r="C118" s="10">
        <v>12</v>
      </c>
      <c r="D118" s="10">
        <v>0.7</v>
      </c>
      <c r="E118" s="10">
        <v>29</v>
      </c>
    </row>
    <row r="119" spans="1:5">
      <c r="A119" t="s">
        <v>6564</v>
      </c>
      <c r="B119" t="s">
        <v>6565</v>
      </c>
      <c r="C119" s="10">
        <v>12</v>
      </c>
      <c r="D119" s="10">
        <v>0.7</v>
      </c>
      <c r="E119" s="10">
        <v>29</v>
      </c>
    </row>
    <row r="120" spans="1:5">
      <c r="A120" t="s">
        <v>6566</v>
      </c>
      <c r="B120" t="s">
        <v>6565</v>
      </c>
      <c r="C120" s="10">
        <v>12</v>
      </c>
      <c r="D120" s="10">
        <v>0.7</v>
      </c>
      <c r="E120" s="10">
        <v>24</v>
      </c>
    </row>
    <row r="121" spans="1:5">
      <c r="A121" t="s">
        <v>3273</v>
      </c>
      <c r="B121" t="s">
        <v>3274</v>
      </c>
      <c r="C121" s="10">
        <v>6</v>
      </c>
      <c r="D121" s="10">
        <v>0.7</v>
      </c>
      <c r="E121" s="10">
        <v>30</v>
      </c>
    </row>
    <row r="122" spans="1:5">
      <c r="A122" t="s">
        <v>3275</v>
      </c>
      <c r="B122" t="s">
        <v>3276</v>
      </c>
      <c r="C122" s="10">
        <v>6</v>
      </c>
      <c r="D122" s="10">
        <v>0.7</v>
      </c>
      <c r="E122" s="10">
        <v>48.9</v>
      </c>
    </row>
    <row r="123" spans="1:5">
      <c r="A123" t="s">
        <v>9408</v>
      </c>
      <c r="B123" t="s">
        <v>8327</v>
      </c>
      <c r="C123" s="10">
        <v>3</v>
      </c>
      <c r="D123" s="10">
        <v>0.7</v>
      </c>
      <c r="E123" s="10">
        <v>40</v>
      </c>
    </row>
    <row r="124" spans="1:5">
      <c r="A124" t="s">
        <v>2896</v>
      </c>
      <c r="B124" t="s">
        <v>2897</v>
      </c>
      <c r="C124" s="10">
        <v>6</v>
      </c>
      <c r="D124" s="10">
        <v>0.75</v>
      </c>
      <c r="E124" s="10">
        <v>13</v>
      </c>
    </row>
    <row r="125" spans="1:5">
      <c r="A125" t="s">
        <v>1699</v>
      </c>
      <c r="B125" t="s">
        <v>1700</v>
      </c>
      <c r="C125" s="10">
        <v>6</v>
      </c>
      <c r="D125" s="10">
        <v>0.5</v>
      </c>
      <c r="E125" s="10">
        <v>50</v>
      </c>
    </row>
    <row r="126" spans="1:5">
      <c r="A126" t="s">
        <v>1701</v>
      </c>
      <c r="B126" t="s">
        <v>1702</v>
      </c>
      <c r="C126" s="10">
        <v>6</v>
      </c>
      <c r="D126" s="10">
        <v>0.5</v>
      </c>
      <c r="E126" s="10">
        <v>50</v>
      </c>
    </row>
    <row r="127" spans="1:5">
      <c r="A127" t="s">
        <v>82</v>
      </c>
      <c r="B127" t="s">
        <v>83</v>
      </c>
      <c r="C127" s="10">
        <v>6</v>
      </c>
      <c r="D127" s="10">
        <v>0.7</v>
      </c>
      <c r="E127" s="10">
        <v>40</v>
      </c>
    </row>
    <row r="128" spans="1:5">
      <c r="A128" t="s">
        <v>1703</v>
      </c>
      <c r="B128" t="s">
        <v>1704</v>
      </c>
      <c r="C128" s="10">
        <v>6</v>
      </c>
      <c r="D128" s="10">
        <v>0.5</v>
      </c>
      <c r="E128" s="10">
        <v>46</v>
      </c>
    </row>
    <row r="129" spans="1:5">
      <c r="A129" t="s">
        <v>1535</v>
      </c>
      <c r="B129" t="s">
        <v>1536</v>
      </c>
      <c r="C129" s="10">
        <v>6</v>
      </c>
      <c r="D129" s="10">
        <v>0.5</v>
      </c>
      <c r="E129" s="10">
        <v>40</v>
      </c>
    </row>
    <row r="130" spans="1:5">
      <c r="A130" t="s">
        <v>1537</v>
      </c>
      <c r="B130" t="s">
        <v>1538</v>
      </c>
      <c r="C130" s="10">
        <v>6</v>
      </c>
      <c r="D130" s="10">
        <v>0.5</v>
      </c>
      <c r="E130" s="10">
        <v>40</v>
      </c>
    </row>
    <row r="131" spans="1:5">
      <c r="A131" t="s">
        <v>9409</v>
      </c>
      <c r="B131" t="s">
        <v>8328</v>
      </c>
      <c r="C131" s="10">
        <v>6</v>
      </c>
      <c r="D131" s="10">
        <v>0.7</v>
      </c>
      <c r="E131" s="10">
        <v>40</v>
      </c>
    </row>
    <row r="132" spans="1:5">
      <c r="A132" t="s">
        <v>1539</v>
      </c>
      <c r="B132" t="s">
        <v>1540</v>
      </c>
      <c r="C132" s="10">
        <v>6</v>
      </c>
      <c r="D132" s="10">
        <v>0.5</v>
      </c>
      <c r="E132" s="10">
        <v>40</v>
      </c>
    </row>
    <row r="133" spans="1:5">
      <c r="A133" t="s">
        <v>84</v>
      </c>
      <c r="B133" t="s">
        <v>85</v>
      </c>
      <c r="C133" s="10">
        <v>6</v>
      </c>
      <c r="D133" s="10">
        <v>0.7</v>
      </c>
      <c r="E133" s="10">
        <v>40</v>
      </c>
    </row>
    <row r="134" spans="1:5">
      <c r="A134" t="s">
        <v>3277</v>
      </c>
      <c r="B134" t="s">
        <v>3278</v>
      </c>
      <c r="C134" s="10">
        <v>6</v>
      </c>
      <c r="D134" s="10">
        <v>0.7</v>
      </c>
      <c r="E134" s="10">
        <v>42</v>
      </c>
    </row>
    <row r="135" spans="1:5">
      <c r="A135" t="s">
        <v>3279</v>
      </c>
      <c r="B135" t="s">
        <v>3280</v>
      </c>
      <c r="C135" s="10">
        <v>6</v>
      </c>
      <c r="D135" s="10">
        <v>0.7</v>
      </c>
      <c r="E135" s="10">
        <v>42</v>
      </c>
    </row>
    <row r="136" spans="1:5">
      <c r="A136" t="s">
        <v>86</v>
      </c>
      <c r="B136" t="s">
        <v>87</v>
      </c>
      <c r="C136" s="10">
        <v>6</v>
      </c>
      <c r="D136" s="10">
        <v>0.7</v>
      </c>
      <c r="E136" s="10">
        <v>40</v>
      </c>
    </row>
    <row r="137" spans="1:5">
      <c r="A137" t="s">
        <v>3281</v>
      </c>
      <c r="B137" t="s">
        <v>3282</v>
      </c>
      <c r="C137" s="10">
        <v>6</v>
      </c>
      <c r="D137" s="10">
        <v>0.7</v>
      </c>
      <c r="E137" s="10">
        <v>20</v>
      </c>
    </row>
    <row r="138" spans="1:5">
      <c r="A138" t="s">
        <v>3283</v>
      </c>
      <c r="B138" t="s">
        <v>3284</v>
      </c>
      <c r="C138" s="10">
        <v>6</v>
      </c>
      <c r="D138" s="10">
        <v>0.7</v>
      </c>
      <c r="E138" s="10">
        <v>16</v>
      </c>
    </row>
    <row r="139" spans="1:5">
      <c r="A139" t="s">
        <v>3285</v>
      </c>
      <c r="B139" t="s">
        <v>3286</v>
      </c>
      <c r="C139" s="10">
        <v>6</v>
      </c>
      <c r="D139" s="10">
        <v>0.7</v>
      </c>
      <c r="E139" s="10">
        <v>16</v>
      </c>
    </row>
    <row r="140" spans="1:5">
      <c r="A140" t="s">
        <v>88</v>
      </c>
      <c r="B140" t="s">
        <v>89</v>
      </c>
      <c r="C140" s="10">
        <v>6</v>
      </c>
      <c r="D140" s="10">
        <v>0.7</v>
      </c>
      <c r="E140" s="10">
        <v>40</v>
      </c>
    </row>
    <row r="141" spans="1:5">
      <c r="A141" t="s">
        <v>1705</v>
      </c>
      <c r="B141" t="s">
        <v>1706</v>
      </c>
      <c r="C141" s="10">
        <v>6</v>
      </c>
      <c r="D141" s="10">
        <v>0.5</v>
      </c>
      <c r="E141" s="10">
        <v>38</v>
      </c>
    </row>
    <row r="142" spans="1:5">
      <c r="A142" t="s">
        <v>90</v>
      </c>
      <c r="B142" t="s">
        <v>91</v>
      </c>
      <c r="C142" s="10">
        <v>6</v>
      </c>
      <c r="D142" s="10">
        <v>0.7</v>
      </c>
      <c r="E142" s="10">
        <v>40</v>
      </c>
    </row>
    <row r="143" spans="1:5">
      <c r="A143" t="s">
        <v>1707</v>
      </c>
      <c r="B143" t="s">
        <v>1708</v>
      </c>
      <c r="C143" s="10">
        <v>6</v>
      </c>
      <c r="D143" s="10">
        <v>0.5</v>
      </c>
      <c r="E143" s="10">
        <v>25</v>
      </c>
    </row>
    <row r="144" spans="1:5">
      <c r="A144" t="s">
        <v>5992</v>
      </c>
      <c r="B144" t="s">
        <v>8329</v>
      </c>
      <c r="C144" s="10">
        <v>4</v>
      </c>
      <c r="D144" s="10">
        <v>0.7</v>
      </c>
      <c r="E144" s="10">
        <v>40</v>
      </c>
    </row>
    <row r="145" spans="1:5">
      <c r="A145" t="s">
        <v>5993</v>
      </c>
      <c r="B145" t="s">
        <v>5994</v>
      </c>
      <c r="C145" s="10">
        <v>4</v>
      </c>
      <c r="D145" s="10">
        <v>0.7</v>
      </c>
      <c r="E145" s="10">
        <v>40</v>
      </c>
    </row>
    <row r="146" spans="1:5">
      <c r="A146" t="s">
        <v>92</v>
      </c>
      <c r="B146" t="s">
        <v>93</v>
      </c>
      <c r="C146" s="10">
        <v>6</v>
      </c>
      <c r="D146" s="10">
        <v>0.7</v>
      </c>
      <c r="E146" s="10">
        <v>40</v>
      </c>
    </row>
    <row r="147" spans="1:5">
      <c r="A147" t="s">
        <v>94</v>
      </c>
      <c r="B147" t="s">
        <v>95</v>
      </c>
      <c r="C147" s="10">
        <v>6</v>
      </c>
      <c r="D147" s="10">
        <v>0.7</v>
      </c>
      <c r="E147" s="10">
        <v>40</v>
      </c>
    </row>
    <row r="148" spans="1:5">
      <c r="A148" t="s">
        <v>96</v>
      </c>
      <c r="B148" t="s">
        <v>97</v>
      </c>
      <c r="C148" s="10">
        <v>6</v>
      </c>
      <c r="D148" s="10">
        <v>0.7</v>
      </c>
      <c r="E148" s="10">
        <v>40</v>
      </c>
    </row>
    <row r="149" spans="1:5">
      <c r="A149" t="s">
        <v>98</v>
      </c>
      <c r="B149" t="s">
        <v>99</v>
      </c>
      <c r="C149" s="10">
        <v>6</v>
      </c>
      <c r="D149" s="10">
        <v>0.7</v>
      </c>
      <c r="E149" s="10">
        <v>40</v>
      </c>
    </row>
    <row r="150" spans="1:5">
      <c r="A150" t="s">
        <v>3287</v>
      </c>
      <c r="B150" t="s">
        <v>3288</v>
      </c>
      <c r="C150" s="10">
        <v>6</v>
      </c>
      <c r="D150" s="10">
        <v>0.7</v>
      </c>
      <c r="E150" s="10">
        <v>20</v>
      </c>
    </row>
    <row r="151" spans="1:5">
      <c r="A151" t="s">
        <v>3289</v>
      </c>
      <c r="B151" t="s">
        <v>3290</v>
      </c>
      <c r="C151" s="10">
        <v>6</v>
      </c>
      <c r="D151" s="10">
        <v>0.7</v>
      </c>
      <c r="E151" s="10">
        <v>20</v>
      </c>
    </row>
    <row r="152" spans="1:5">
      <c r="A152" t="s">
        <v>3291</v>
      </c>
      <c r="B152" t="s">
        <v>3292</v>
      </c>
      <c r="C152" s="10">
        <v>6</v>
      </c>
      <c r="D152" s="10">
        <v>0.7</v>
      </c>
      <c r="E152" s="10">
        <v>20</v>
      </c>
    </row>
    <row r="153" spans="1:5">
      <c r="A153" t="s">
        <v>9410</v>
      </c>
      <c r="B153" t="s">
        <v>8330</v>
      </c>
      <c r="C153" s="10">
        <v>6</v>
      </c>
      <c r="D153" s="10">
        <v>0.7</v>
      </c>
      <c r="E153" s="10">
        <v>21</v>
      </c>
    </row>
    <row r="154" spans="1:5">
      <c r="A154" t="s">
        <v>4955</v>
      </c>
      <c r="B154" t="s">
        <v>4956</v>
      </c>
      <c r="C154" s="10">
        <v>6</v>
      </c>
      <c r="D154" s="10">
        <v>0.7</v>
      </c>
      <c r="E154" s="10">
        <v>38</v>
      </c>
    </row>
    <row r="155" spans="1:5">
      <c r="A155" t="s">
        <v>3293</v>
      </c>
      <c r="B155" t="s">
        <v>3294</v>
      </c>
      <c r="C155" s="10">
        <v>6</v>
      </c>
      <c r="D155" s="10">
        <v>0.7</v>
      </c>
      <c r="E155" s="10">
        <v>28</v>
      </c>
    </row>
    <row r="156" spans="1:5">
      <c r="A156" t="s">
        <v>9411</v>
      </c>
      <c r="B156" t="s">
        <v>8331</v>
      </c>
      <c r="C156" s="10">
        <v>6</v>
      </c>
      <c r="D156" s="10">
        <v>0.7</v>
      </c>
      <c r="E156" s="10">
        <v>28</v>
      </c>
    </row>
    <row r="157" spans="1:5">
      <c r="A157" t="s">
        <v>9412</v>
      </c>
      <c r="B157" t="s">
        <v>8332</v>
      </c>
      <c r="C157" s="10">
        <v>6</v>
      </c>
      <c r="D157" s="10">
        <v>0.7</v>
      </c>
      <c r="E157" s="10">
        <v>28</v>
      </c>
    </row>
    <row r="158" spans="1:5">
      <c r="A158" t="s">
        <v>3295</v>
      </c>
      <c r="B158" t="s">
        <v>1965</v>
      </c>
      <c r="C158" s="10">
        <v>6</v>
      </c>
      <c r="D158" s="10">
        <v>0.7</v>
      </c>
      <c r="E158" s="10">
        <v>23</v>
      </c>
    </row>
    <row r="159" spans="1:5">
      <c r="A159" t="s">
        <v>9413</v>
      </c>
      <c r="B159" t="s">
        <v>1965</v>
      </c>
      <c r="C159" s="10">
        <v>6</v>
      </c>
      <c r="D159" s="10">
        <v>1</v>
      </c>
      <c r="E159" s="10">
        <v>23</v>
      </c>
    </row>
    <row r="160" spans="1:5">
      <c r="A160" t="s">
        <v>6089</v>
      </c>
      <c r="B160" t="s">
        <v>1966</v>
      </c>
      <c r="C160" s="10">
        <v>96</v>
      </c>
      <c r="D160" s="10">
        <v>0.05</v>
      </c>
      <c r="E160" s="10">
        <v>17</v>
      </c>
    </row>
    <row r="161" spans="1:5">
      <c r="A161" t="s">
        <v>9414</v>
      </c>
      <c r="B161" t="s">
        <v>1966</v>
      </c>
      <c r="C161" s="10">
        <v>12</v>
      </c>
      <c r="D161" s="10">
        <v>0.35</v>
      </c>
      <c r="E161" s="10">
        <v>17</v>
      </c>
    </row>
    <row r="162" spans="1:5">
      <c r="A162" t="s">
        <v>3296</v>
      </c>
      <c r="B162" t="s">
        <v>1966</v>
      </c>
      <c r="C162" s="10">
        <v>6</v>
      </c>
      <c r="D162" s="10">
        <v>0.7</v>
      </c>
      <c r="E162" s="10">
        <v>17</v>
      </c>
    </row>
    <row r="163" spans="1:5">
      <c r="A163" t="s">
        <v>1967</v>
      </c>
      <c r="B163" t="s">
        <v>1966</v>
      </c>
      <c r="C163" s="10">
        <v>6</v>
      </c>
      <c r="D163" s="10">
        <v>1</v>
      </c>
      <c r="E163" s="10">
        <v>17</v>
      </c>
    </row>
    <row r="164" spans="1:5">
      <c r="A164" t="s">
        <v>9415</v>
      </c>
      <c r="B164" t="s">
        <v>8333</v>
      </c>
      <c r="C164" s="10">
        <v>6</v>
      </c>
      <c r="D164" s="10">
        <v>0.7</v>
      </c>
      <c r="E164" s="10">
        <v>17</v>
      </c>
    </row>
    <row r="165" spans="1:5">
      <c r="A165" t="s">
        <v>3297</v>
      </c>
      <c r="B165" t="s">
        <v>3298</v>
      </c>
      <c r="C165" s="10">
        <v>6</v>
      </c>
      <c r="D165" s="10">
        <v>0.7</v>
      </c>
      <c r="E165" s="10">
        <v>15.5</v>
      </c>
    </row>
    <row r="166" spans="1:5">
      <c r="A166" t="s">
        <v>9416</v>
      </c>
      <c r="B166" t="s">
        <v>8334</v>
      </c>
      <c r="C166" s="10">
        <v>6</v>
      </c>
      <c r="D166" s="10">
        <v>0.7</v>
      </c>
      <c r="E166" s="10">
        <v>15.5</v>
      </c>
    </row>
    <row r="167" spans="1:5">
      <c r="A167" t="s">
        <v>3299</v>
      </c>
      <c r="B167" t="s">
        <v>3300</v>
      </c>
      <c r="C167" s="10">
        <v>6</v>
      </c>
      <c r="D167" s="10">
        <v>0.7</v>
      </c>
      <c r="E167" s="10">
        <v>42</v>
      </c>
    </row>
    <row r="168" spans="1:5">
      <c r="A168" t="s">
        <v>3301</v>
      </c>
      <c r="B168" t="s">
        <v>3302</v>
      </c>
      <c r="C168" s="10">
        <v>6</v>
      </c>
      <c r="D168" s="10">
        <v>0.7</v>
      </c>
      <c r="E168" s="10">
        <v>51</v>
      </c>
    </row>
    <row r="169" spans="1:5">
      <c r="A169" t="s">
        <v>3303</v>
      </c>
      <c r="B169" t="s">
        <v>3304</v>
      </c>
      <c r="C169" s="10">
        <v>6</v>
      </c>
      <c r="D169" s="10">
        <v>0.7</v>
      </c>
      <c r="E169" s="10">
        <v>30</v>
      </c>
    </row>
    <row r="170" spans="1:5">
      <c r="A170" t="s">
        <v>3305</v>
      </c>
      <c r="B170" t="s">
        <v>8335</v>
      </c>
      <c r="C170" s="10">
        <v>6</v>
      </c>
      <c r="D170" s="10">
        <v>0.7</v>
      </c>
      <c r="E170" s="10">
        <v>61.8</v>
      </c>
    </row>
    <row r="171" spans="1:5">
      <c r="A171" t="s">
        <v>3306</v>
      </c>
      <c r="B171" t="s">
        <v>3307</v>
      </c>
      <c r="C171" s="10">
        <v>6</v>
      </c>
      <c r="D171" s="10">
        <v>0.7</v>
      </c>
      <c r="E171" s="10">
        <v>50</v>
      </c>
    </row>
    <row r="172" spans="1:5">
      <c r="A172" t="s">
        <v>5137</v>
      </c>
      <c r="B172" t="s">
        <v>8336</v>
      </c>
      <c r="C172" s="10">
        <v>6</v>
      </c>
      <c r="D172" s="10">
        <v>0.7</v>
      </c>
      <c r="E172" s="10">
        <v>46</v>
      </c>
    </row>
    <row r="173" spans="1:5">
      <c r="A173" t="s">
        <v>5138</v>
      </c>
      <c r="B173" t="s">
        <v>8337</v>
      </c>
      <c r="C173" s="10">
        <v>6</v>
      </c>
      <c r="D173" s="10">
        <v>0.7</v>
      </c>
      <c r="E173" s="10">
        <v>46</v>
      </c>
    </row>
    <row r="174" spans="1:5">
      <c r="A174" t="s">
        <v>100</v>
      </c>
      <c r="B174" t="s">
        <v>101</v>
      </c>
      <c r="C174" s="10">
        <v>6</v>
      </c>
      <c r="D174" s="10">
        <v>0.7</v>
      </c>
      <c r="E174" s="10">
        <v>40</v>
      </c>
    </row>
    <row r="175" spans="1:5">
      <c r="A175" t="s">
        <v>1412</v>
      </c>
      <c r="B175" t="s">
        <v>1413</v>
      </c>
      <c r="C175" s="10">
        <v>6</v>
      </c>
      <c r="D175" s="10">
        <v>1</v>
      </c>
      <c r="E175" s="10">
        <v>40</v>
      </c>
    </row>
    <row r="176" spans="1:5">
      <c r="A176" t="s">
        <v>5328</v>
      </c>
      <c r="B176" t="s">
        <v>8338</v>
      </c>
      <c r="C176" s="10">
        <v>6</v>
      </c>
      <c r="D176" s="10">
        <v>0.7</v>
      </c>
      <c r="E176" s="10">
        <v>43</v>
      </c>
    </row>
    <row r="177" spans="1:5">
      <c r="A177" t="s">
        <v>5332</v>
      </c>
      <c r="B177" t="s">
        <v>8339</v>
      </c>
      <c r="C177" s="10">
        <v>6</v>
      </c>
      <c r="D177" s="10">
        <v>0.7</v>
      </c>
      <c r="E177" s="10">
        <v>43</v>
      </c>
    </row>
    <row r="178" spans="1:5">
      <c r="A178" t="s">
        <v>5333</v>
      </c>
      <c r="B178" t="s">
        <v>8339</v>
      </c>
      <c r="C178" s="10">
        <v>6</v>
      </c>
      <c r="D178" s="10">
        <v>0.7</v>
      </c>
      <c r="E178" s="10">
        <v>43</v>
      </c>
    </row>
    <row r="179" spans="1:5">
      <c r="A179" t="s">
        <v>9417</v>
      </c>
      <c r="B179" t="s">
        <v>8340</v>
      </c>
      <c r="C179" s="10">
        <v>6</v>
      </c>
      <c r="D179" s="10">
        <v>0.7</v>
      </c>
      <c r="E179" s="10">
        <v>43</v>
      </c>
    </row>
    <row r="180" spans="1:5">
      <c r="A180" t="s">
        <v>9418</v>
      </c>
      <c r="B180" t="s">
        <v>5329</v>
      </c>
      <c r="C180" s="10">
        <v>6</v>
      </c>
      <c r="D180" s="10">
        <v>0.7</v>
      </c>
      <c r="E180" s="10">
        <v>43</v>
      </c>
    </row>
    <row r="181" spans="1:5">
      <c r="A181" t="s">
        <v>5330</v>
      </c>
      <c r="B181" t="s">
        <v>5331</v>
      </c>
      <c r="C181" s="10">
        <v>6</v>
      </c>
      <c r="D181" s="10">
        <v>0.7</v>
      </c>
      <c r="E181" s="10">
        <v>43</v>
      </c>
    </row>
    <row r="182" spans="1:5">
      <c r="A182" t="s">
        <v>5334</v>
      </c>
      <c r="B182" t="s">
        <v>5335</v>
      </c>
      <c r="C182" s="10">
        <v>6</v>
      </c>
      <c r="D182" s="10">
        <v>0.7</v>
      </c>
      <c r="E182" s="10">
        <v>43</v>
      </c>
    </row>
    <row r="183" spans="1:5">
      <c r="A183" t="s">
        <v>102</v>
      </c>
      <c r="B183" t="s">
        <v>103</v>
      </c>
      <c r="C183" s="10">
        <v>6</v>
      </c>
      <c r="D183" s="10">
        <v>0.7</v>
      </c>
      <c r="E183" s="10">
        <v>40</v>
      </c>
    </row>
    <row r="184" spans="1:5">
      <c r="A184" t="s">
        <v>104</v>
      </c>
      <c r="B184" t="s">
        <v>105</v>
      </c>
      <c r="C184" s="10">
        <v>6</v>
      </c>
      <c r="D184" s="10">
        <v>0.7</v>
      </c>
      <c r="E184" s="10">
        <v>40</v>
      </c>
    </row>
    <row r="185" spans="1:5">
      <c r="A185" t="s">
        <v>106</v>
      </c>
      <c r="B185" t="s">
        <v>107</v>
      </c>
      <c r="C185" s="10">
        <v>6</v>
      </c>
      <c r="D185" s="10">
        <v>0.7</v>
      </c>
      <c r="E185" s="10">
        <v>40</v>
      </c>
    </row>
    <row r="186" spans="1:5">
      <c r="A186" t="s">
        <v>9419</v>
      </c>
      <c r="B186" t="s">
        <v>8341</v>
      </c>
      <c r="C186" s="10">
        <v>6</v>
      </c>
      <c r="D186" s="10">
        <v>0.7</v>
      </c>
      <c r="E186" s="10">
        <v>46</v>
      </c>
    </row>
    <row r="187" spans="1:5">
      <c r="A187" t="s">
        <v>9420</v>
      </c>
      <c r="B187" t="s">
        <v>8342</v>
      </c>
      <c r="C187" s="10">
        <v>6</v>
      </c>
      <c r="D187" s="10">
        <v>0.7</v>
      </c>
      <c r="E187" s="10">
        <v>46</v>
      </c>
    </row>
    <row r="188" spans="1:5">
      <c r="A188" t="s">
        <v>108</v>
      </c>
      <c r="B188" t="s">
        <v>109</v>
      </c>
      <c r="C188" s="10">
        <v>6</v>
      </c>
      <c r="D188" s="10">
        <v>0.7</v>
      </c>
      <c r="E188" s="10">
        <v>40</v>
      </c>
    </row>
    <row r="189" spans="1:5">
      <c r="A189" t="s">
        <v>110</v>
      </c>
      <c r="B189" t="s">
        <v>111</v>
      </c>
      <c r="C189" s="10">
        <v>6</v>
      </c>
      <c r="D189" s="10">
        <v>0.7</v>
      </c>
      <c r="E189" s="10">
        <v>40</v>
      </c>
    </row>
    <row r="190" spans="1:5">
      <c r="A190" t="s">
        <v>112</v>
      </c>
      <c r="B190" t="s">
        <v>113</v>
      </c>
      <c r="C190" s="10">
        <v>6</v>
      </c>
      <c r="D190" s="10">
        <v>0.7</v>
      </c>
      <c r="E190" s="10">
        <v>40</v>
      </c>
    </row>
    <row r="191" spans="1:5">
      <c r="A191" t="s">
        <v>3308</v>
      </c>
      <c r="B191" t="s">
        <v>3309</v>
      </c>
      <c r="C191" s="10">
        <v>6</v>
      </c>
      <c r="D191" s="10">
        <v>0.7</v>
      </c>
      <c r="E191" s="10">
        <v>43.3</v>
      </c>
    </row>
    <row r="192" spans="1:5">
      <c r="A192" t="s">
        <v>114</v>
      </c>
      <c r="B192" t="s">
        <v>115</v>
      </c>
      <c r="C192" s="10">
        <v>6</v>
      </c>
      <c r="D192" s="10">
        <v>0.7</v>
      </c>
      <c r="E192" s="10">
        <v>40</v>
      </c>
    </row>
    <row r="193" spans="1:5">
      <c r="A193" t="s">
        <v>116</v>
      </c>
      <c r="B193" t="s">
        <v>117</v>
      </c>
      <c r="C193" s="10">
        <v>6</v>
      </c>
      <c r="D193" s="10">
        <v>0.7</v>
      </c>
      <c r="E193" s="10">
        <v>40</v>
      </c>
    </row>
    <row r="194" spans="1:5">
      <c r="A194" t="s">
        <v>118</v>
      </c>
      <c r="B194" t="s">
        <v>119</v>
      </c>
      <c r="C194" s="10">
        <v>6</v>
      </c>
      <c r="D194" s="10">
        <v>0.7</v>
      </c>
      <c r="E194" s="10">
        <v>40</v>
      </c>
    </row>
    <row r="195" spans="1:5">
      <c r="A195" t="s">
        <v>6567</v>
      </c>
      <c r="B195" t="s">
        <v>6568</v>
      </c>
      <c r="C195" s="10">
        <v>12</v>
      </c>
      <c r="D195" s="10">
        <v>0.2</v>
      </c>
      <c r="E195" s="10">
        <v>44.7</v>
      </c>
    </row>
    <row r="196" spans="1:5">
      <c r="A196" t="s">
        <v>6569</v>
      </c>
      <c r="B196" t="s">
        <v>6570</v>
      </c>
      <c r="C196" s="10">
        <v>12</v>
      </c>
      <c r="D196" s="10">
        <v>0.1</v>
      </c>
      <c r="E196" s="10">
        <v>28</v>
      </c>
    </row>
    <row r="197" spans="1:5">
      <c r="A197" t="s">
        <v>6571</v>
      </c>
      <c r="B197" t="s">
        <v>6572</v>
      </c>
      <c r="C197" s="10">
        <v>12</v>
      </c>
      <c r="D197" s="10">
        <v>0.1</v>
      </c>
      <c r="E197" s="10">
        <v>48</v>
      </c>
    </row>
    <row r="198" spans="1:5">
      <c r="A198" t="s">
        <v>120</v>
      </c>
      <c r="B198" t="s">
        <v>121</v>
      </c>
      <c r="C198" s="10">
        <v>6</v>
      </c>
      <c r="D198" s="10">
        <v>0.7</v>
      </c>
      <c r="E198" s="10">
        <v>40</v>
      </c>
    </row>
    <row r="199" spans="1:5">
      <c r="A199" t="s">
        <v>1968</v>
      </c>
      <c r="B199" t="s">
        <v>1969</v>
      </c>
      <c r="C199" s="10">
        <v>6</v>
      </c>
      <c r="D199" s="10">
        <v>1</v>
      </c>
      <c r="E199" s="10">
        <v>35</v>
      </c>
    </row>
    <row r="200" spans="1:5">
      <c r="A200" t="s">
        <v>1970</v>
      </c>
      <c r="B200" t="s">
        <v>1971</v>
      </c>
      <c r="C200" s="10">
        <v>6</v>
      </c>
      <c r="D200" s="10">
        <v>1</v>
      </c>
      <c r="E200" s="10">
        <v>35</v>
      </c>
    </row>
    <row r="201" spans="1:5">
      <c r="A201" t="s">
        <v>1972</v>
      </c>
      <c r="B201" t="s">
        <v>1973</v>
      </c>
      <c r="C201" s="10">
        <v>6</v>
      </c>
      <c r="D201" s="10">
        <v>1</v>
      </c>
      <c r="E201" s="10">
        <v>28</v>
      </c>
    </row>
    <row r="202" spans="1:5">
      <c r="A202" t="s">
        <v>3002</v>
      </c>
      <c r="B202" t="s">
        <v>3003</v>
      </c>
      <c r="C202" s="10">
        <v>6</v>
      </c>
      <c r="D202" s="10">
        <v>0.75</v>
      </c>
      <c r="E202" s="10">
        <v>12</v>
      </c>
    </row>
    <row r="203" spans="1:5">
      <c r="A203" t="s">
        <v>3117</v>
      </c>
      <c r="B203" t="s">
        <v>3118</v>
      </c>
      <c r="C203" s="10">
        <v>6</v>
      </c>
      <c r="D203" s="10">
        <v>0.75</v>
      </c>
      <c r="E203" s="10">
        <v>12.5</v>
      </c>
    </row>
    <row r="204" spans="1:5">
      <c r="A204" t="s">
        <v>3119</v>
      </c>
      <c r="B204" t="s">
        <v>3120</v>
      </c>
      <c r="C204" s="10">
        <v>6</v>
      </c>
      <c r="D204" s="10">
        <v>0.75</v>
      </c>
      <c r="E204" s="10">
        <v>12.5</v>
      </c>
    </row>
    <row r="205" spans="1:5">
      <c r="A205" t="s">
        <v>1974</v>
      </c>
      <c r="B205" t="s">
        <v>1975</v>
      </c>
      <c r="C205" s="10">
        <v>6</v>
      </c>
      <c r="D205" s="10">
        <v>1</v>
      </c>
      <c r="E205" s="10">
        <v>16.5</v>
      </c>
    </row>
    <row r="206" spans="1:5">
      <c r="A206" t="s">
        <v>4957</v>
      </c>
      <c r="B206" t="s">
        <v>4958</v>
      </c>
      <c r="C206" s="10">
        <v>6</v>
      </c>
      <c r="D206" s="10">
        <v>0.7</v>
      </c>
      <c r="E206" s="10">
        <v>38</v>
      </c>
    </row>
    <row r="207" spans="1:5">
      <c r="A207" t="s">
        <v>4959</v>
      </c>
      <c r="B207" t="s">
        <v>8343</v>
      </c>
      <c r="C207" s="10">
        <v>6</v>
      </c>
      <c r="D207" s="10">
        <v>0.7</v>
      </c>
      <c r="E207" s="10">
        <v>38</v>
      </c>
    </row>
    <row r="208" spans="1:5">
      <c r="A208" t="s">
        <v>4960</v>
      </c>
      <c r="B208" t="s">
        <v>4961</v>
      </c>
      <c r="C208" s="10">
        <v>6</v>
      </c>
      <c r="D208" s="10">
        <v>0.7</v>
      </c>
      <c r="E208" s="10">
        <v>38</v>
      </c>
    </row>
    <row r="209" spans="1:5">
      <c r="A209" t="s">
        <v>4962</v>
      </c>
      <c r="B209" t="s">
        <v>4963</v>
      </c>
      <c r="C209" s="10">
        <v>6</v>
      </c>
      <c r="D209" s="10">
        <v>0.7</v>
      </c>
      <c r="E209" s="10">
        <v>38</v>
      </c>
    </row>
    <row r="210" spans="1:5">
      <c r="A210" t="s">
        <v>4964</v>
      </c>
      <c r="B210" t="s">
        <v>4965</v>
      </c>
      <c r="C210" s="10">
        <v>6</v>
      </c>
      <c r="D210" s="10">
        <v>0.7</v>
      </c>
      <c r="E210" s="10">
        <v>38</v>
      </c>
    </row>
    <row r="211" spans="1:5">
      <c r="A211" t="s">
        <v>4966</v>
      </c>
      <c r="B211" t="s">
        <v>4967</v>
      </c>
      <c r="C211" s="10">
        <v>6</v>
      </c>
      <c r="D211" s="10">
        <v>0.7</v>
      </c>
      <c r="E211" s="10">
        <v>38</v>
      </c>
    </row>
    <row r="212" spans="1:5">
      <c r="A212" t="s">
        <v>9421</v>
      </c>
      <c r="B212" t="s">
        <v>8344</v>
      </c>
      <c r="C212" s="10">
        <v>6</v>
      </c>
      <c r="D212" s="10">
        <v>0.7</v>
      </c>
      <c r="E212" s="10">
        <v>40</v>
      </c>
    </row>
    <row r="213" spans="1:5">
      <c r="A213" t="s">
        <v>5336</v>
      </c>
      <c r="B213" t="s">
        <v>5337</v>
      </c>
      <c r="C213" s="10">
        <v>6</v>
      </c>
      <c r="D213" s="10">
        <v>0.7</v>
      </c>
      <c r="E213" s="10">
        <v>43</v>
      </c>
    </row>
    <row r="214" spans="1:5">
      <c r="A214" t="s">
        <v>122</v>
      </c>
      <c r="B214" t="s">
        <v>123</v>
      </c>
      <c r="C214" s="10">
        <v>6</v>
      </c>
      <c r="D214" s="10">
        <v>0.7</v>
      </c>
      <c r="E214" s="10">
        <v>40</v>
      </c>
    </row>
    <row r="215" spans="1:5">
      <c r="A215" t="s">
        <v>124</v>
      </c>
      <c r="B215" t="s">
        <v>125</v>
      </c>
      <c r="C215" s="10">
        <v>6</v>
      </c>
      <c r="D215" s="10">
        <v>0.7</v>
      </c>
      <c r="E215" s="10">
        <v>40</v>
      </c>
    </row>
    <row r="216" spans="1:5">
      <c r="A216" t="s">
        <v>3310</v>
      </c>
      <c r="B216" t="s">
        <v>3311</v>
      </c>
      <c r="C216" s="10">
        <v>6</v>
      </c>
      <c r="D216" s="10">
        <v>0.7</v>
      </c>
      <c r="E216" s="10">
        <v>14</v>
      </c>
    </row>
    <row r="217" spans="1:5">
      <c r="A217" t="s">
        <v>3312</v>
      </c>
      <c r="B217" t="s">
        <v>1977</v>
      </c>
      <c r="C217" s="10">
        <v>6</v>
      </c>
      <c r="D217" s="10">
        <v>0.7</v>
      </c>
      <c r="E217" s="10">
        <v>11</v>
      </c>
    </row>
    <row r="218" spans="1:5">
      <c r="A218" t="s">
        <v>1976</v>
      </c>
      <c r="B218" t="s">
        <v>1977</v>
      </c>
      <c r="C218" s="10">
        <v>6</v>
      </c>
      <c r="D218" s="10">
        <v>1</v>
      </c>
      <c r="E218" s="10">
        <v>11</v>
      </c>
    </row>
    <row r="219" spans="1:5">
      <c r="A219" t="s">
        <v>6090</v>
      </c>
      <c r="B219" t="s">
        <v>1977</v>
      </c>
      <c r="C219" s="10">
        <v>1</v>
      </c>
      <c r="D219" s="10">
        <v>3</v>
      </c>
      <c r="E219" s="10">
        <v>11</v>
      </c>
    </row>
    <row r="220" spans="1:5">
      <c r="A220" t="s">
        <v>6091</v>
      </c>
      <c r="B220" t="s">
        <v>6092</v>
      </c>
      <c r="C220" s="10">
        <v>24</v>
      </c>
      <c r="D220" s="10">
        <v>200</v>
      </c>
      <c r="E220" s="10">
        <v>9</v>
      </c>
    </row>
    <row r="221" spans="1:5">
      <c r="A221" t="s">
        <v>5338</v>
      </c>
      <c r="B221" t="s">
        <v>5339</v>
      </c>
      <c r="C221" s="10">
        <v>6</v>
      </c>
      <c r="D221" s="10">
        <v>0.7</v>
      </c>
      <c r="E221" s="10">
        <v>43</v>
      </c>
    </row>
    <row r="222" spans="1:5">
      <c r="A222" t="s">
        <v>5340</v>
      </c>
      <c r="B222" t="s">
        <v>5341</v>
      </c>
      <c r="C222" s="10">
        <v>6</v>
      </c>
      <c r="D222" s="10">
        <v>0.7</v>
      </c>
      <c r="E222" s="10">
        <v>43</v>
      </c>
    </row>
    <row r="223" spans="1:5">
      <c r="A223" t="s">
        <v>5342</v>
      </c>
      <c r="B223" t="s">
        <v>8345</v>
      </c>
      <c r="C223" s="10">
        <v>6</v>
      </c>
      <c r="D223" s="10">
        <v>0.7</v>
      </c>
      <c r="E223" s="10">
        <v>43</v>
      </c>
    </row>
    <row r="224" spans="1:5">
      <c r="A224" t="s">
        <v>126</v>
      </c>
      <c r="B224" t="s">
        <v>127</v>
      </c>
      <c r="C224" s="10">
        <v>6</v>
      </c>
      <c r="D224" s="10">
        <v>0.7</v>
      </c>
      <c r="E224" s="10">
        <v>40</v>
      </c>
    </row>
    <row r="225" spans="1:5">
      <c r="A225" t="s">
        <v>9422</v>
      </c>
      <c r="B225" t="s">
        <v>8346</v>
      </c>
      <c r="C225" s="10">
        <v>6</v>
      </c>
      <c r="D225" s="10">
        <v>0.7</v>
      </c>
      <c r="E225" s="10">
        <v>40</v>
      </c>
    </row>
    <row r="226" spans="1:5">
      <c r="A226" t="s">
        <v>9423</v>
      </c>
      <c r="B226" t="s">
        <v>8347</v>
      </c>
      <c r="C226" s="10">
        <v>3</v>
      </c>
      <c r="D226" s="10">
        <v>0.6</v>
      </c>
      <c r="E226" s="10">
        <v>43</v>
      </c>
    </row>
    <row r="227" spans="1:5">
      <c r="A227" t="s">
        <v>5772</v>
      </c>
      <c r="B227" t="s">
        <v>5773</v>
      </c>
      <c r="C227" s="10">
        <v>12</v>
      </c>
      <c r="D227" s="10">
        <v>0.5</v>
      </c>
      <c r="E227" s="10">
        <v>40</v>
      </c>
    </row>
    <row r="228" spans="1:5">
      <c r="A228" t="s">
        <v>5774</v>
      </c>
      <c r="B228" t="s">
        <v>5773</v>
      </c>
      <c r="C228" s="10">
        <v>12</v>
      </c>
      <c r="D228" s="10">
        <v>0.7</v>
      </c>
      <c r="E228" s="10">
        <v>40</v>
      </c>
    </row>
    <row r="229" spans="1:5">
      <c r="A229" t="s">
        <v>128</v>
      </c>
      <c r="B229" t="s">
        <v>129</v>
      </c>
      <c r="C229" s="10">
        <v>6</v>
      </c>
      <c r="D229" s="10">
        <v>0.7</v>
      </c>
      <c r="E229" s="10">
        <v>40</v>
      </c>
    </row>
    <row r="230" spans="1:5">
      <c r="A230" t="s">
        <v>9424</v>
      </c>
      <c r="B230" t="s">
        <v>8348</v>
      </c>
      <c r="C230" s="10">
        <v>12</v>
      </c>
      <c r="D230" s="10">
        <v>0.7</v>
      </c>
      <c r="E230" s="10">
        <v>40</v>
      </c>
    </row>
    <row r="231" spans="1:5">
      <c r="A231" t="s">
        <v>5775</v>
      </c>
      <c r="B231" t="s">
        <v>5776</v>
      </c>
      <c r="C231" s="10">
        <v>12</v>
      </c>
      <c r="D231" s="10">
        <v>0.7</v>
      </c>
      <c r="E231" s="10">
        <v>40</v>
      </c>
    </row>
    <row r="232" spans="1:5">
      <c r="A232" t="s">
        <v>9425</v>
      </c>
      <c r="B232" t="s">
        <v>8349</v>
      </c>
      <c r="C232" s="10">
        <v>12</v>
      </c>
      <c r="D232" s="10">
        <v>0.5</v>
      </c>
      <c r="E232" s="10">
        <v>40</v>
      </c>
    </row>
    <row r="233" spans="1:5">
      <c r="A233" t="s">
        <v>9426</v>
      </c>
      <c r="B233" t="s">
        <v>8349</v>
      </c>
      <c r="C233" s="10">
        <v>12</v>
      </c>
      <c r="D233" s="10">
        <v>0.7</v>
      </c>
      <c r="E233" s="10">
        <v>40</v>
      </c>
    </row>
    <row r="234" spans="1:5">
      <c r="A234" t="s">
        <v>6573</v>
      </c>
      <c r="B234" t="s">
        <v>6574</v>
      </c>
      <c r="C234" s="10">
        <v>12</v>
      </c>
      <c r="D234" s="10">
        <v>0.7</v>
      </c>
      <c r="E234" s="10">
        <v>35</v>
      </c>
    </row>
    <row r="235" spans="1:5">
      <c r="A235" t="s">
        <v>6575</v>
      </c>
      <c r="B235" t="s">
        <v>3313</v>
      </c>
      <c r="C235" s="10">
        <v>12</v>
      </c>
      <c r="D235" s="10">
        <v>0.7</v>
      </c>
      <c r="E235" s="10">
        <v>18</v>
      </c>
    </row>
    <row r="236" spans="1:5">
      <c r="A236" t="s">
        <v>9427</v>
      </c>
      <c r="B236" t="s">
        <v>3313</v>
      </c>
      <c r="C236" s="10">
        <v>6</v>
      </c>
      <c r="D236" s="10">
        <v>0.7</v>
      </c>
      <c r="E236" s="10">
        <v>18</v>
      </c>
    </row>
    <row r="237" spans="1:5">
      <c r="A237" t="s">
        <v>5139</v>
      </c>
      <c r="B237" t="s">
        <v>1978</v>
      </c>
      <c r="C237" s="10">
        <v>6</v>
      </c>
      <c r="D237" s="10">
        <v>0.7</v>
      </c>
      <c r="E237" s="10">
        <v>46</v>
      </c>
    </row>
    <row r="238" spans="1:5">
      <c r="A238" t="s">
        <v>9428</v>
      </c>
      <c r="B238" t="s">
        <v>1978</v>
      </c>
      <c r="C238" s="10">
        <v>6</v>
      </c>
      <c r="D238" s="10">
        <v>1</v>
      </c>
      <c r="E238" s="10">
        <v>46</v>
      </c>
    </row>
    <row r="239" spans="1:5">
      <c r="A239" t="s">
        <v>9429</v>
      </c>
      <c r="B239" t="s">
        <v>8350</v>
      </c>
      <c r="C239" s="10">
        <v>6</v>
      </c>
      <c r="D239" s="10">
        <v>0.7</v>
      </c>
      <c r="E239" s="10">
        <v>46.2</v>
      </c>
    </row>
    <row r="240" spans="1:5">
      <c r="A240" t="s">
        <v>3314</v>
      </c>
      <c r="B240" t="s">
        <v>3315</v>
      </c>
      <c r="C240" s="10">
        <v>6</v>
      </c>
      <c r="D240" s="10">
        <v>0.7</v>
      </c>
      <c r="E240" s="10">
        <v>46.2</v>
      </c>
    </row>
    <row r="241" spans="1:5">
      <c r="A241" t="s">
        <v>3316</v>
      </c>
      <c r="B241" t="s">
        <v>3317</v>
      </c>
      <c r="C241" s="10">
        <v>6</v>
      </c>
      <c r="D241" s="10">
        <v>0.7</v>
      </c>
      <c r="E241" s="10">
        <v>51</v>
      </c>
    </row>
    <row r="242" spans="1:5">
      <c r="A242" t="s">
        <v>6093</v>
      </c>
      <c r="B242" t="s">
        <v>6094</v>
      </c>
      <c r="C242" s="10">
        <v>1</v>
      </c>
      <c r="D242" s="10">
        <v>0.7</v>
      </c>
      <c r="E242" s="10">
        <v>46</v>
      </c>
    </row>
    <row r="243" spans="1:5">
      <c r="A243" t="s">
        <v>9430</v>
      </c>
      <c r="B243" t="s">
        <v>8351</v>
      </c>
      <c r="C243" s="10">
        <v>6</v>
      </c>
      <c r="D243" s="10">
        <v>0.7</v>
      </c>
      <c r="E243" s="10">
        <v>50</v>
      </c>
    </row>
    <row r="244" spans="1:5">
      <c r="A244" t="s">
        <v>3318</v>
      </c>
      <c r="B244" t="s">
        <v>3319</v>
      </c>
      <c r="C244" s="10">
        <v>6</v>
      </c>
      <c r="D244" s="10">
        <v>0.7</v>
      </c>
      <c r="E244" s="10">
        <v>47.4</v>
      </c>
    </row>
    <row r="245" spans="1:5">
      <c r="A245" t="s">
        <v>9431</v>
      </c>
      <c r="B245" t="s">
        <v>1979</v>
      </c>
      <c r="C245" s="10">
        <v>6</v>
      </c>
      <c r="D245" s="10">
        <v>1</v>
      </c>
      <c r="E245" s="10">
        <v>46.6</v>
      </c>
    </row>
    <row r="246" spans="1:5">
      <c r="A246" t="s">
        <v>5140</v>
      </c>
      <c r="B246" t="s">
        <v>5141</v>
      </c>
      <c r="C246" s="10">
        <v>6</v>
      </c>
      <c r="D246" s="10">
        <v>0.7</v>
      </c>
      <c r="E246" s="10">
        <v>46</v>
      </c>
    </row>
    <row r="247" spans="1:5">
      <c r="A247" t="s">
        <v>3320</v>
      </c>
      <c r="B247" t="s">
        <v>3321</v>
      </c>
      <c r="C247" s="10">
        <v>6</v>
      </c>
      <c r="D247" s="10">
        <v>0.7</v>
      </c>
      <c r="E247" s="10">
        <v>57.1</v>
      </c>
    </row>
    <row r="248" spans="1:5">
      <c r="A248" t="s">
        <v>9432</v>
      </c>
      <c r="B248" t="s">
        <v>8352</v>
      </c>
      <c r="C248" s="10">
        <v>6</v>
      </c>
      <c r="D248" s="10">
        <v>0.7</v>
      </c>
      <c r="E248" s="10">
        <v>46</v>
      </c>
    </row>
    <row r="249" spans="1:5">
      <c r="A249" t="s">
        <v>1629</v>
      </c>
      <c r="B249" t="s">
        <v>1630</v>
      </c>
      <c r="C249" s="10">
        <v>6</v>
      </c>
      <c r="D249" s="10">
        <v>0.6</v>
      </c>
      <c r="E249" s="10">
        <v>46.66</v>
      </c>
    </row>
    <row r="250" spans="1:5">
      <c r="A250" t="s">
        <v>1980</v>
      </c>
      <c r="B250" t="s">
        <v>1981</v>
      </c>
      <c r="C250" s="10">
        <v>6</v>
      </c>
      <c r="D250" s="10">
        <v>1</v>
      </c>
      <c r="E250" s="10">
        <v>46</v>
      </c>
    </row>
    <row r="251" spans="1:5">
      <c r="A251" t="s">
        <v>9433</v>
      </c>
      <c r="B251" t="s">
        <v>8353</v>
      </c>
      <c r="C251" s="10">
        <v>6</v>
      </c>
      <c r="D251" s="10">
        <v>0.7</v>
      </c>
      <c r="E251" s="10">
        <v>50.8</v>
      </c>
    </row>
    <row r="252" spans="1:5">
      <c r="A252" t="s">
        <v>3322</v>
      </c>
      <c r="B252" t="s">
        <v>3323</v>
      </c>
      <c r="C252" s="10">
        <v>6</v>
      </c>
      <c r="D252" s="10">
        <v>0.7</v>
      </c>
      <c r="E252" s="10">
        <v>54.2</v>
      </c>
    </row>
    <row r="253" spans="1:5">
      <c r="A253" t="s">
        <v>5142</v>
      </c>
      <c r="B253" t="s">
        <v>5143</v>
      </c>
      <c r="C253" s="10">
        <v>6</v>
      </c>
      <c r="D253" s="10">
        <v>0.7</v>
      </c>
      <c r="E253" s="10">
        <v>46</v>
      </c>
    </row>
    <row r="254" spans="1:5">
      <c r="A254" t="s">
        <v>130</v>
      </c>
      <c r="B254" t="s">
        <v>131</v>
      </c>
      <c r="C254" s="10">
        <v>6</v>
      </c>
      <c r="D254" s="10">
        <v>0.7</v>
      </c>
      <c r="E254" s="10">
        <v>40</v>
      </c>
    </row>
    <row r="255" spans="1:5">
      <c r="A255" t="s">
        <v>1414</v>
      </c>
      <c r="B255" t="s">
        <v>1415</v>
      </c>
      <c r="C255" s="10">
        <v>6</v>
      </c>
      <c r="D255" s="10">
        <v>1</v>
      </c>
      <c r="E255" s="10">
        <v>40</v>
      </c>
    </row>
    <row r="256" spans="1:5">
      <c r="A256" t="s">
        <v>9434</v>
      </c>
      <c r="B256" t="s">
        <v>8354</v>
      </c>
      <c r="C256" s="10">
        <v>6</v>
      </c>
      <c r="D256" s="10">
        <v>0.75</v>
      </c>
      <c r="E256" s="10">
        <v>12.5</v>
      </c>
    </row>
    <row r="257" spans="1:5">
      <c r="A257" t="s">
        <v>3121</v>
      </c>
      <c r="B257" t="s">
        <v>3122</v>
      </c>
      <c r="C257" s="10">
        <v>6</v>
      </c>
      <c r="D257" s="10">
        <v>0.75</v>
      </c>
      <c r="E257" s="10">
        <v>12.5</v>
      </c>
    </row>
    <row r="258" spans="1:5">
      <c r="A258" t="s">
        <v>9435</v>
      </c>
      <c r="B258" t="s">
        <v>8355</v>
      </c>
      <c r="C258" s="10">
        <v>1</v>
      </c>
      <c r="D258" s="10">
        <v>1.5</v>
      </c>
      <c r="E258" s="10">
        <v>12.5</v>
      </c>
    </row>
    <row r="259" spans="1:5">
      <c r="A259" t="s">
        <v>3124</v>
      </c>
      <c r="B259" t="s">
        <v>3123</v>
      </c>
      <c r="C259" s="10">
        <v>6</v>
      </c>
      <c r="D259" s="10">
        <v>0.75</v>
      </c>
      <c r="E259" s="10">
        <v>12.5</v>
      </c>
    </row>
    <row r="260" spans="1:5">
      <c r="A260" t="s">
        <v>9436</v>
      </c>
      <c r="B260" t="s">
        <v>3123</v>
      </c>
      <c r="C260" s="10">
        <v>1</v>
      </c>
      <c r="D260" s="10">
        <v>1.5</v>
      </c>
      <c r="E260" s="10">
        <v>12</v>
      </c>
    </row>
    <row r="261" spans="1:5">
      <c r="A261" t="s">
        <v>9437</v>
      </c>
      <c r="B261" t="s">
        <v>8356</v>
      </c>
      <c r="C261" s="10">
        <v>6</v>
      </c>
      <c r="D261" s="10">
        <v>0.75</v>
      </c>
      <c r="E261" s="10">
        <v>12.5</v>
      </c>
    </row>
    <row r="262" spans="1:5">
      <c r="A262" t="s">
        <v>3125</v>
      </c>
      <c r="B262" t="s">
        <v>3126</v>
      </c>
      <c r="C262" s="10">
        <v>6</v>
      </c>
      <c r="D262" s="10">
        <v>0.75</v>
      </c>
      <c r="E262" s="10">
        <v>12.5</v>
      </c>
    </row>
    <row r="263" spans="1:5">
      <c r="A263" t="s">
        <v>9438</v>
      </c>
      <c r="B263" t="s">
        <v>8357</v>
      </c>
      <c r="C263" s="10">
        <v>6</v>
      </c>
      <c r="D263" s="10">
        <v>0.75</v>
      </c>
      <c r="E263" s="10">
        <v>12.5</v>
      </c>
    </row>
    <row r="264" spans="1:5">
      <c r="A264" t="s">
        <v>9439</v>
      </c>
      <c r="B264" t="s">
        <v>8358</v>
      </c>
      <c r="C264" s="10">
        <v>6</v>
      </c>
      <c r="D264" s="10">
        <v>0.7</v>
      </c>
      <c r="E264" s="10">
        <v>51.5</v>
      </c>
    </row>
    <row r="265" spans="1:5">
      <c r="A265" t="s">
        <v>5144</v>
      </c>
      <c r="B265" t="s">
        <v>5145</v>
      </c>
      <c r="C265" s="10">
        <v>6</v>
      </c>
      <c r="D265" s="10">
        <v>0.7</v>
      </c>
      <c r="E265" s="10">
        <v>46</v>
      </c>
    </row>
    <row r="266" spans="1:5">
      <c r="A266" t="s">
        <v>9440</v>
      </c>
      <c r="B266" t="s">
        <v>8359</v>
      </c>
      <c r="C266" s="10">
        <v>6</v>
      </c>
      <c r="D266" s="10">
        <v>0.7</v>
      </c>
      <c r="E266" s="10">
        <v>46</v>
      </c>
    </row>
    <row r="267" spans="1:5">
      <c r="A267" t="s">
        <v>9441</v>
      </c>
      <c r="B267" t="s">
        <v>8359</v>
      </c>
      <c r="C267" s="10">
        <v>6</v>
      </c>
      <c r="D267" s="10">
        <v>0.7</v>
      </c>
      <c r="E267" s="10">
        <v>46</v>
      </c>
    </row>
    <row r="268" spans="1:5">
      <c r="A268" t="s">
        <v>9442</v>
      </c>
      <c r="B268" t="s">
        <v>8360</v>
      </c>
      <c r="C268" s="10">
        <v>6</v>
      </c>
      <c r="D268" s="10">
        <v>0.7</v>
      </c>
      <c r="E268" s="10">
        <v>46</v>
      </c>
    </row>
    <row r="269" spans="1:5">
      <c r="A269" t="s">
        <v>9443</v>
      </c>
      <c r="B269" t="s">
        <v>8361</v>
      </c>
      <c r="C269" s="10">
        <v>6</v>
      </c>
      <c r="D269" s="10">
        <v>0.7</v>
      </c>
      <c r="E269" s="10">
        <v>46</v>
      </c>
    </row>
    <row r="270" spans="1:5">
      <c r="A270" t="s">
        <v>5880</v>
      </c>
      <c r="B270" t="s">
        <v>5881</v>
      </c>
      <c r="C270" s="10">
        <v>1</v>
      </c>
      <c r="D270" s="10">
        <v>1.2</v>
      </c>
      <c r="E270" s="10">
        <v>40</v>
      </c>
    </row>
    <row r="271" spans="1:5">
      <c r="A271" t="s">
        <v>5146</v>
      </c>
      <c r="B271" t="s">
        <v>5147</v>
      </c>
      <c r="C271" s="10">
        <v>6</v>
      </c>
      <c r="D271" s="10">
        <v>0.7</v>
      </c>
      <c r="E271" s="10">
        <v>46</v>
      </c>
    </row>
    <row r="272" spans="1:5">
      <c r="A272" t="s">
        <v>9444</v>
      </c>
      <c r="B272" t="s">
        <v>8362</v>
      </c>
      <c r="C272" s="10">
        <v>6</v>
      </c>
      <c r="D272" s="10">
        <v>0.7</v>
      </c>
      <c r="E272" s="10">
        <v>46</v>
      </c>
    </row>
    <row r="273" spans="1:5">
      <c r="A273" t="s">
        <v>5148</v>
      </c>
      <c r="B273" t="s">
        <v>5149</v>
      </c>
      <c r="C273" s="10">
        <v>6</v>
      </c>
      <c r="D273" s="10">
        <v>0.7</v>
      </c>
      <c r="E273" s="10">
        <v>46</v>
      </c>
    </row>
    <row r="274" spans="1:5">
      <c r="A274" t="s">
        <v>3324</v>
      </c>
      <c r="B274" t="s">
        <v>3325</v>
      </c>
      <c r="C274" s="10">
        <v>6</v>
      </c>
      <c r="D274" s="10">
        <v>0.7</v>
      </c>
      <c r="E274" s="10">
        <v>50</v>
      </c>
    </row>
    <row r="275" spans="1:5">
      <c r="A275" t="s">
        <v>5343</v>
      </c>
      <c r="B275" t="s">
        <v>5344</v>
      </c>
      <c r="C275" s="10">
        <v>6</v>
      </c>
      <c r="D275" s="10">
        <v>0.7</v>
      </c>
      <c r="E275" s="10">
        <v>43</v>
      </c>
    </row>
    <row r="276" spans="1:5">
      <c r="A276" t="s">
        <v>3326</v>
      </c>
      <c r="B276" t="s">
        <v>3327</v>
      </c>
      <c r="C276" s="10">
        <v>6</v>
      </c>
      <c r="D276" s="10">
        <v>0.7</v>
      </c>
      <c r="E276" s="10">
        <v>17</v>
      </c>
    </row>
    <row r="277" spans="1:5">
      <c r="A277" t="s">
        <v>3328</v>
      </c>
      <c r="B277" t="s">
        <v>3329</v>
      </c>
      <c r="C277" s="10">
        <v>6</v>
      </c>
      <c r="D277" s="10">
        <v>0.7</v>
      </c>
      <c r="E277" s="10">
        <v>56.2</v>
      </c>
    </row>
    <row r="278" spans="1:5">
      <c r="A278" t="s">
        <v>5150</v>
      </c>
      <c r="B278" t="s">
        <v>5151</v>
      </c>
      <c r="C278" s="10">
        <v>6</v>
      </c>
      <c r="D278" s="10">
        <v>0.7</v>
      </c>
      <c r="E278" s="10">
        <v>46</v>
      </c>
    </row>
    <row r="279" spans="1:5">
      <c r="A279" t="s">
        <v>9445</v>
      </c>
      <c r="B279" t="s">
        <v>8363</v>
      </c>
      <c r="C279" s="10">
        <v>6</v>
      </c>
      <c r="D279" s="10">
        <v>0.7</v>
      </c>
      <c r="E279" s="10">
        <v>50</v>
      </c>
    </row>
    <row r="280" spans="1:5">
      <c r="A280" t="s">
        <v>9446</v>
      </c>
      <c r="B280" t="s">
        <v>8364</v>
      </c>
      <c r="C280" s="10">
        <v>6</v>
      </c>
      <c r="D280" s="10">
        <v>0.7</v>
      </c>
      <c r="E280" s="10">
        <v>50</v>
      </c>
    </row>
    <row r="281" spans="1:5">
      <c r="A281" t="s">
        <v>3330</v>
      </c>
      <c r="B281" t="s">
        <v>3331</v>
      </c>
      <c r="C281" s="10">
        <v>6</v>
      </c>
      <c r="D281" s="10">
        <v>0.7</v>
      </c>
      <c r="E281" s="10">
        <v>56.2</v>
      </c>
    </row>
    <row r="282" spans="1:5">
      <c r="A282" t="s">
        <v>5345</v>
      </c>
      <c r="B282" t="s">
        <v>5346</v>
      </c>
      <c r="C282" s="10">
        <v>6</v>
      </c>
      <c r="D282" s="10">
        <v>0.7</v>
      </c>
      <c r="E282" s="10">
        <v>43</v>
      </c>
    </row>
    <row r="283" spans="1:5">
      <c r="A283" t="s">
        <v>5777</v>
      </c>
      <c r="B283" t="s">
        <v>5778</v>
      </c>
      <c r="C283" s="10">
        <v>12</v>
      </c>
      <c r="D283" s="10">
        <v>0.7</v>
      </c>
      <c r="E283" s="10">
        <v>40</v>
      </c>
    </row>
    <row r="284" spans="1:5">
      <c r="A284" t="s">
        <v>3332</v>
      </c>
      <c r="B284" t="s">
        <v>3333</v>
      </c>
      <c r="C284" s="10">
        <v>6</v>
      </c>
      <c r="D284" s="10">
        <v>0.7</v>
      </c>
      <c r="E284" s="10">
        <v>50</v>
      </c>
    </row>
    <row r="285" spans="1:5">
      <c r="A285" t="s">
        <v>3334</v>
      </c>
      <c r="B285" t="s">
        <v>3335</v>
      </c>
      <c r="C285" s="10">
        <v>6</v>
      </c>
      <c r="D285" s="10">
        <v>0.7</v>
      </c>
      <c r="E285" s="10">
        <v>55.8</v>
      </c>
    </row>
    <row r="286" spans="1:5">
      <c r="A286" t="s">
        <v>3336</v>
      </c>
      <c r="B286" t="s">
        <v>3337</v>
      </c>
      <c r="C286" s="10">
        <v>6</v>
      </c>
      <c r="D286" s="10">
        <v>0.7</v>
      </c>
      <c r="E286" s="10">
        <v>24</v>
      </c>
    </row>
    <row r="287" spans="1:5">
      <c r="A287" t="s">
        <v>5995</v>
      </c>
      <c r="B287" t="s">
        <v>5996</v>
      </c>
      <c r="C287" s="10">
        <v>3</v>
      </c>
      <c r="D287" s="10">
        <v>0.7</v>
      </c>
      <c r="E287" s="10">
        <v>40</v>
      </c>
    </row>
    <row r="288" spans="1:5">
      <c r="A288" t="s">
        <v>9447</v>
      </c>
      <c r="B288" t="s">
        <v>8365</v>
      </c>
      <c r="C288" s="10">
        <v>3</v>
      </c>
      <c r="D288" s="10">
        <v>0.7</v>
      </c>
      <c r="E288" s="10">
        <v>40</v>
      </c>
    </row>
    <row r="289" spans="1:5">
      <c r="A289" t="s">
        <v>5997</v>
      </c>
      <c r="B289" t="s">
        <v>5998</v>
      </c>
      <c r="C289" s="10">
        <v>3</v>
      </c>
      <c r="D289" s="10">
        <v>0.7</v>
      </c>
      <c r="E289" s="10">
        <v>40</v>
      </c>
    </row>
    <row r="290" spans="1:5">
      <c r="A290" t="s">
        <v>9448</v>
      </c>
      <c r="B290" t="s">
        <v>8366</v>
      </c>
      <c r="C290" s="10">
        <v>6</v>
      </c>
      <c r="D290" s="10">
        <v>0.7</v>
      </c>
      <c r="E290" s="10">
        <v>15</v>
      </c>
    </row>
    <row r="291" spans="1:5">
      <c r="A291" t="s">
        <v>4968</v>
      </c>
      <c r="B291" t="s">
        <v>4969</v>
      </c>
      <c r="C291" s="10">
        <v>6</v>
      </c>
      <c r="D291" s="10">
        <v>0.7</v>
      </c>
      <c r="E291" s="10">
        <v>38</v>
      </c>
    </row>
    <row r="292" spans="1:5">
      <c r="A292" t="s">
        <v>1982</v>
      </c>
      <c r="B292" t="s">
        <v>1983</v>
      </c>
      <c r="C292" s="10">
        <v>6</v>
      </c>
      <c r="D292" s="10">
        <v>1</v>
      </c>
      <c r="E292" s="10">
        <v>36</v>
      </c>
    </row>
    <row r="293" spans="1:5">
      <c r="A293" t="s">
        <v>3338</v>
      </c>
      <c r="B293" t="s">
        <v>3339</v>
      </c>
      <c r="C293" s="10">
        <v>6</v>
      </c>
      <c r="D293" s="10">
        <v>0.7</v>
      </c>
      <c r="E293" s="10">
        <v>36</v>
      </c>
    </row>
    <row r="294" spans="1:5">
      <c r="A294" t="s">
        <v>2448</v>
      </c>
      <c r="B294" t="s">
        <v>2449</v>
      </c>
      <c r="C294" s="10">
        <v>6</v>
      </c>
      <c r="D294" s="10">
        <v>0.75</v>
      </c>
      <c r="E294" s="10">
        <v>13.5</v>
      </c>
    </row>
    <row r="295" spans="1:5">
      <c r="A295" t="s">
        <v>2450</v>
      </c>
      <c r="B295" t="s">
        <v>2451</v>
      </c>
      <c r="C295" s="10">
        <v>6</v>
      </c>
      <c r="D295" s="10">
        <v>0.75</v>
      </c>
      <c r="E295" s="10">
        <v>11</v>
      </c>
    </row>
    <row r="296" spans="1:5">
      <c r="A296" t="s">
        <v>2452</v>
      </c>
      <c r="B296" t="s">
        <v>2453</v>
      </c>
      <c r="C296" s="10">
        <v>6</v>
      </c>
      <c r="D296" s="10">
        <v>0.75</v>
      </c>
      <c r="E296" s="10">
        <v>11</v>
      </c>
    </row>
    <row r="297" spans="1:5">
      <c r="A297" t="s">
        <v>6095</v>
      </c>
      <c r="B297" t="s">
        <v>6096</v>
      </c>
      <c r="C297" s="10">
        <v>1</v>
      </c>
      <c r="D297" s="10">
        <v>3</v>
      </c>
      <c r="E297" s="10">
        <v>11</v>
      </c>
    </row>
    <row r="298" spans="1:5">
      <c r="A298" t="s">
        <v>2454</v>
      </c>
      <c r="B298" t="s">
        <v>2455</v>
      </c>
      <c r="C298" s="10">
        <v>6</v>
      </c>
      <c r="D298" s="10">
        <v>0.75</v>
      </c>
      <c r="E298" s="10">
        <v>9.5</v>
      </c>
    </row>
    <row r="299" spans="1:5">
      <c r="A299" t="s">
        <v>2456</v>
      </c>
      <c r="B299" t="s">
        <v>2457</v>
      </c>
      <c r="C299" s="10">
        <v>6</v>
      </c>
      <c r="D299" s="10">
        <v>0.75</v>
      </c>
      <c r="E299" s="10">
        <v>11</v>
      </c>
    </row>
    <row r="300" spans="1:5">
      <c r="A300" t="s">
        <v>132</v>
      </c>
      <c r="B300" t="s">
        <v>133</v>
      </c>
      <c r="C300" s="10">
        <v>6</v>
      </c>
      <c r="D300" s="10">
        <v>0.7</v>
      </c>
      <c r="E300" s="10">
        <v>40</v>
      </c>
    </row>
    <row r="301" spans="1:5">
      <c r="A301" t="s">
        <v>3340</v>
      </c>
      <c r="B301" t="s">
        <v>3341</v>
      </c>
      <c r="C301" s="10">
        <v>6</v>
      </c>
      <c r="D301" s="10">
        <v>0.7</v>
      </c>
      <c r="E301" s="10">
        <v>35.200000000000003</v>
      </c>
    </row>
    <row r="302" spans="1:5">
      <c r="A302" t="s">
        <v>3342</v>
      </c>
      <c r="B302" t="s">
        <v>3343</v>
      </c>
      <c r="C302" s="10">
        <v>6</v>
      </c>
      <c r="D302" s="10">
        <v>0.7</v>
      </c>
      <c r="E302" s="10">
        <v>35.200000000000003</v>
      </c>
    </row>
    <row r="303" spans="1:5">
      <c r="A303" t="s">
        <v>3344</v>
      </c>
      <c r="B303" t="s">
        <v>3345</v>
      </c>
      <c r="C303" s="10">
        <v>6</v>
      </c>
      <c r="D303" s="10">
        <v>0.7</v>
      </c>
      <c r="E303" s="10">
        <v>35.200000000000003</v>
      </c>
    </row>
    <row r="304" spans="1:5">
      <c r="A304" t="s">
        <v>3346</v>
      </c>
      <c r="B304" t="s">
        <v>3347</v>
      </c>
      <c r="C304" s="10">
        <v>6</v>
      </c>
      <c r="D304" s="10">
        <v>0.7</v>
      </c>
      <c r="E304" s="10">
        <v>35.200000000000003</v>
      </c>
    </row>
    <row r="305" spans="1:5">
      <c r="A305" t="s">
        <v>3348</v>
      </c>
      <c r="B305" t="s">
        <v>3349</v>
      </c>
      <c r="C305" s="10">
        <v>6</v>
      </c>
      <c r="D305" s="10">
        <v>0.7</v>
      </c>
      <c r="E305" s="10">
        <v>35.200000000000003</v>
      </c>
    </row>
    <row r="306" spans="1:5">
      <c r="A306" t="s">
        <v>3350</v>
      </c>
      <c r="B306" t="s">
        <v>3351</v>
      </c>
      <c r="C306" s="10">
        <v>6</v>
      </c>
      <c r="D306" s="10">
        <v>0.7</v>
      </c>
      <c r="E306" s="10">
        <v>35.200000000000003</v>
      </c>
    </row>
    <row r="307" spans="1:5">
      <c r="A307" t="s">
        <v>3352</v>
      </c>
      <c r="B307" t="s">
        <v>3353</v>
      </c>
      <c r="C307" s="10">
        <v>6</v>
      </c>
      <c r="D307" s="10">
        <v>0.7</v>
      </c>
      <c r="E307" s="10">
        <v>35.200000000000003</v>
      </c>
    </row>
    <row r="308" spans="1:5">
      <c r="A308" t="s">
        <v>134</v>
      </c>
      <c r="B308" t="s">
        <v>135</v>
      </c>
      <c r="C308" s="10">
        <v>6</v>
      </c>
      <c r="D308" s="10">
        <v>0.7</v>
      </c>
      <c r="E308" s="10">
        <v>40</v>
      </c>
    </row>
    <row r="309" spans="1:5">
      <c r="A309" t="s">
        <v>136</v>
      </c>
      <c r="B309" t="s">
        <v>137</v>
      </c>
      <c r="C309" s="10">
        <v>6</v>
      </c>
      <c r="D309" s="10">
        <v>0.7</v>
      </c>
      <c r="E309" s="10">
        <v>40</v>
      </c>
    </row>
    <row r="310" spans="1:5">
      <c r="A310" t="s">
        <v>9449</v>
      </c>
      <c r="B310" t="s">
        <v>137</v>
      </c>
      <c r="C310" s="10">
        <v>12</v>
      </c>
      <c r="D310" s="10">
        <v>1</v>
      </c>
      <c r="E310" s="10">
        <v>40</v>
      </c>
    </row>
    <row r="311" spans="1:5">
      <c r="A311" t="s">
        <v>6805</v>
      </c>
      <c r="B311" t="s">
        <v>6806</v>
      </c>
      <c r="C311" s="10">
        <v>12</v>
      </c>
      <c r="D311" s="10">
        <v>1</v>
      </c>
      <c r="E311" s="10">
        <v>43</v>
      </c>
    </row>
    <row r="312" spans="1:5">
      <c r="A312" t="s">
        <v>5347</v>
      </c>
      <c r="B312" t="s">
        <v>5348</v>
      </c>
      <c r="C312" s="10">
        <v>6</v>
      </c>
      <c r="D312" s="10">
        <v>0.7</v>
      </c>
      <c r="E312" s="10">
        <v>43</v>
      </c>
    </row>
    <row r="313" spans="1:5">
      <c r="A313" t="s">
        <v>5349</v>
      </c>
      <c r="B313" t="s">
        <v>5350</v>
      </c>
      <c r="C313" s="10">
        <v>6</v>
      </c>
      <c r="D313" s="10">
        <v>0.7</v>
      </c>
      <c r="E313" s="10">
        <v>43</v>
      </c>
    </row>
    <row r="314" spans="1:5">
      <c r="A314" t="s">
        <v>138</v>
      </c>
      <c r="B314" t="s">
        <v>139</v>
      </c>
      <c r="C314" s="10">
        <v>6</v>
      </c>
      <c r="D314" s="10">
        <v>0.7</v>
      </c>
      <c r="E314" s="10">
        <v>40</v>
      </c>
    </row>
    <row r="315" spans="1:5">
      <c r="A315" t="s">
        <v>3354</v>
      </c>
      <c r="B315" t="s">
        <v>1985</v>
      </c>
      <c r="C315" s="10">
        <v>6</v>
      </c>
      <c r="D315" s="10">
        <v>0.7</v>
      </c>
      <c r="E315" s="10">
        <v>29</v>
      </c>
    </row>
    <row r="316" spans="1:5">
      <c r="A316" t="s">
        <v>1984</v>
      </c>
      <c r="B316" t="s">
        <v>1985</v>
      </c>
      <c r="C316" s="10">
        <v>6</v>
      </c>
      <c r="D316" s="10">
        <v>1</v>
      </c>
      <c r="E316" s="10">
        <v>29</v>
      </c>
    </row>
    <row r="317" spans="1:5">
      <c r="A317" t="s">
        <v>3355</v>
      </c>
      <c r="B317" t="s">
        <v>3356</v>
      </c>
      <c r="C317" s="10">
        <v>6</v>
      </c>
      <c r="D317" s="10">
        <v>0.7</v>
      </c>
      <c r="E317" s="10">
        <v>42</v>
      </c>
    </row>
    <row r="318" spans="1:5">
      <c r="A318" t="s">
        <v>6097</v>
      </c>
      <c r="B318" t="s">
        <v>3356</v>
      </c>
      <c r="C318" s="10">
        <v>3</v>
      </c>
      <c r="D318" s="10">
        <v>1.75</v>
      </c>
      <c r="E318" s="10">
        <v>42</v>
      </c>
    </row>
    <row r="319" spans="1:5">
      <c r="A319" t="s">
        <v>3004</v>
      </c>
      <c r="B319" t="s">
        <v>3005</v>
      </c>
      <c r="C319" s="10">
        <v>6</v>
      </c>
      <c r="D319" s="10">
        <v>0.75</v>
      </c>
      <c r="E319" s="10">
        <v>12</v>
      </c>
    </row>
    <row r="320" spans="1:5">
      <c r="A320" t="s">
        <v>3006</v>
      </c>
      <c r="B320" t="s">
        <v>3007</v>
      </c>
      <c r="C320" s="10">
        <v>6</v>
      </c>
      <c r="D320" s="10">
        <v>0.75</v>
      </c>
      <c r="E320" s="10">
        <v>12</v>
      </c>
    </row>
    <row r="321" spans="1:5">
      <c r="A321" t="s">
        <v>9450</v>
      </c>
      <c r="B321" t="s">
        <v>8367</v>
      </c>
      <c r="C321" s="10">
        <v>6</v>
      </c>
      <c r="D321" s="10">
        <v>0.75</v>
      </c>
      <c r="E321" s="10">
        <v>12</v>
      </c>
    </row>
    <row r="322" spans="1:5">
      <c r="A322" t="s">
        <v>3008</v>
      </c>
      <c r="B322" t="s">
        <v>3009</v>
      </c>
      <c r="C322" s="10">
        <v>6</v>
      </c>
      <c r="D322" s="10">
        <v>0.75</v>
      </c>
      <c r="E322" s="10">
        <v>12</v>
      </c>
    </row>
    <row r="323" spans="1:5">
      <c r="A323" t="s">
        <v>140</v>
      </c>
      <c r="B323" t="s">
        <v>141</v>
      </c>
      <c r="C323" s="10">
        <v>6</v>
      </c>
      <c r="D323" s="10">
        <v>0.7</v>
      </c>
      <c r="E323" s="10">
        <v>40</v>
      </c>
    </row>
    <row r="324" spans="1:5">
      <c r="A324" t="s">
        <v>142</v>
      </c>
      <c r="B324" t="s">
        <v>143</v>
      </c>
      <c r="C324" s="10">
        <v>6</v>
      </c>
      <c r="D324" s="10">
        <v>0.7</v>
      </c>
      <c r="E324" s="10">
        <v>40</v>
      </c>
    </row>
    <row r="325" spans="1:5">
      <c r="A325" t="s">
        <v>144</v>
      </c>
      <c r="B325" t="s">
        <v>145</v>
      </c>
      <c r="C325" s="10">
        <v>6</v>
      </c>
      <c r="D325" s="10">
        <v>0.7</v>
      </c>
      <c r="E325" s="10">
        <v>40</v>
      </c>
    </row>
    <row r="326" spans="1:5">
      <c r="A326" t="s">
        <v>146</v>
      </c>
      <c r="B326" t="s">
        <v>147</v>
      </c>
      <c r="C326" s="10">
        <v>6</v>
      </c>
      <c r="D326" s="10">
        <v>0.7</v>
      </c>
      <c r="E326" s="10">
        <v>40</v>
      </c>
    </row>
    <row r="327" spans="1:5">
      <c r="A327" t="s">
        <v>6576</v>
      </c>
      <c r="B327" t="s">
        <v>6577</v>
      </c>
      <c r="C327" s="10">
        <v>12</v>
      </c>
      <c r="D327" s="10">
        <v>275</v>
      </c>
      <c r="E327" s="10">
        <v>4</v>
      </c>
    </row>
    <row r="328" spans="1:5">
      <c r="A328" t="s">
        <v>6578</v>
      </c>
      <c r="B328" t="s">
        <v>6579</v>
      </c>
      <c r="C328" s="10">
        <v>12</v>
      </c>
      <c r="D328" s="10">
        <v>275</v>
      </c>
      <c r="E328" s="10">
        <v>4</v>
      </c>
    </row>
    <row r="329" spans="1:5">
      <c r="A329" t="s">
        <v>6580</v>
      </c>
      <c r="B329" t="s">
        <v>6581</v>
      </c>
      <c r="C329" s="10">
        <v>12</v>
      </c>
      <c r="D329" s="10">
        <v>0.2</v>
      </c>
      <c r="E329" s="10">
        <v>12.5</v>
      </c>
    </row>
    <row r="330" spans="1:5">
      <c r="A330" t="s">
        <v>148</v>
      </c>
      <c r="B330" t="s">
        <v>149</v>
      </c>
      <c r="C330" s="10">
        <v>6</v>
      </c>
      <c r="D330" s="10">
        <v>0.7</v>
      </c>
      <c r="E330" s="10">
        <v>40</v>
      </c>
    </row>
    <row r="331" spans="1:5">
      <c r="A331" t="s">
        <v>6582</v>
      </c>
      <c r="B331" t="s">
        <v>1632</v>
      </c>
      <c r="C331" s="10">
        <v>12</v>
      </c>
      <c r="D331" s="10">
        <v>0.2</v>
      </c>
      <c r="E331" s="10">
        <v>37.5</v>
      </c>
    </row>
    <row r="332" spans="1:5">
      <c r="A332" t="s">
        <v>1631</v>
      </c>
      <c r="B332" t="s">
        <v>1632</v>
      </c>
      <c r="C332" s="10">
        <v>6</v>
      </c>
      <c r="D332" s="10">
        <v>0.35</v>
      </c>
      <c r="E332" s="10">
        <v>37.5</v>
      </c>
    </row>
    <row r="333" spans="1:5">
      <c r="A333" t="s">
        <v>6583</v>
      </c>
      <c r="B333" t="s">
        <v>1632</v>
      </c>
      <c r="C333" s="10">
        <v>12</v>
      </c>
      <c r="D333" s="10">
        <v>0.5</v>
      </c>
      <c r="E333" s="10">
        <v>37.5</v>
      </c>
    </row>
    <row r="334" spans="1:5">
      <c r="A334" t="s">
        <v>9451</v>
      </c>
      <c r="B334" t="s">
        <v>1632</v>
      </c>
      <c r="C334" s="10">
        <v>6</v>
      </c>
      <c r="D334" s="10">
        <v>0.7</v>
      </c>
      <c r="E334" s="10">
        <v>37.5</v>
      </c>
    </row>
    <row r="335" spans="1:5">
      <c r="A335" t="s">
        <v>4816</v>
      </c>
      <c r="B335" t="s">
        <v>1632</v>
      </c>
      <c r="C335" s="10">
        <v>6</v>
      </c>
      <c r="D335" s="10">
        <v>0.7</v>
      </c>
      <c r="E335" s="10">
        <v>37.5</v>
      </c>
    </row>
    <row r="336" spans="1:5">
      <c r="A336" t="s">
        <v>1986</v>
      </c>
      <c r="B336" t="s">
        <v>1632</v>
      </c>
      <c r="C336" s="10">
        <v>6</v>
      </c>
      <c r="D336" s="10">
        <v>1</v>
      </c>
      <c r="E336" s="10">
        <v>37.5</v>
      </c>
    </row>
    <row r="337" spans="1:5">
      <c r="A337" t="s">
        <v>1633</v>
      </c>
      <c r="B337" t="s">
        <v>1632</v>
      </c>
      <c r="C337" s="10">
        <v>6</v>
      </c>
      <c r="D337" s="10">
        <v>1.5</v>
      </c>
      <c r="E337" s="10">
        <v>37.5</v>
      </c>
    </row>
    <row r="338" spans="1:5">
      <c r="A338" t="s">
        <v>6098</v>
      </c>
      <c r="B338" t="s">
        <v>1632</v>
      </c>
      <c r="C338" s="10">
        <v>1</v>
      </c>
      <c r="D338" s="10">
        <v>3</v>
      </c>
      <c r="E338" s="10">
        <v>37.5</v>
      </c>
    </row>
    <row r="339" spans="1:5">
      <c r="A339" t="s">
        <v>5882</v>
      </c>
      <c r="B339" t="s">
        <v>5883</v>
      </c>
      <c r="C339" s="10">
        <v>60</v>
      </c>
      <c r="D339" s="10">
        <v>0.05</v>
      </c>
      <c r="E339" s="10">
        <v>40</v>
      </c>
    </row>
    <row r="340" spans="1:5">
      <c r="A340" t="s">
        <v>150</v>
      </c>
      <c r="B340" t="s">
        <v>151</v>
      </c>
      <c r="C340" s="10">
        <v>6</v>
      </c>
      <c r="D340" s="10">
        <v>0.7</v>
      </c>
      <c r="E340" s="10">
        <v>40</v>
      </c>
    </row>
    <row r="341" spans="1:5">
      <c r="A341" t="s">
        <v>5673</v>
      </c>
      <c r="B341" t="s">
        <v>151</v>
      </c>
      <c r="C341" s="10">
        <v>12</v>
      </c>
      <c r="D341" s="10">
        <v>1</v>
      </c>
      <c r="E341" s="10">
        <v>40</v>
      </c>
    </row>
    <row r="342" spans="1:5">
      <c r="A342" t="s">
        <v>152</v>
      </c>
      <c r="B342" t="s">
        <v>153</v>
      </c>
      <c r="C342" s="10">
        <v>6</v>
      </c>
      <c r="D342" s="10">
        <v>0.7</v>
      </c>
      <c r="E342" s="10">
        <v>40</v>
      </c>
    </row>
    <row r="343" spans="1:5">
      <c r="A343" t="s">
        <v>5674</v>
      </c>
      <c r="B343" t="s">
        <v>153</v>
      </c>
      <c r="C343" s="10">
        <v>12</v>
      </c>
      <c r="D343" s="10">
        <v>1</v>
      </c>
      <c r="E343" s="10">
        <v>40</v>
      </c>
    </row>
    <row r="344" spans="1:5">
      <c r="A344" t="s">
        <v>3357</v>
      </c>
      <c r="B344" t="s">
        <v>3358</v>
      </c>
      <c r="C344" s="10">
        <v>6</v>
      </c>
      <c r="D344" s="10">
        <v>0.7</v>
      </c>
      <c r="E344" s="10">
        <v>32</v>
      </c>
    </row>
    <row r="345" spans="1:5">
      <c r="A345" t="s">
        <v>3359</v>
      </c>
      <c r="B345" t="s">
        <v>3360</v>
      </c>
      <c r="C345" s="10">
        <v>6</v>
      </c>
      <c r="D345" s="10">
        <v>0.7</v>
      </c>
      <c r="E345" s="10">
        <v>15</v>
      </c>
    </row>
    <row r="346" spans="1:5">
      <c r="A346" t="s">
        <v>1541</v>
      </c>
      <c r="B346" t="s">
        <v>1542</v>
      </c>
      <c r="C346" s="10">
        <v>6</v>
      </c>
      <c r="D346" s="10">
        <v>0.3</v>
      </c>
      <c r="E346" s="10">
        <v>40</v>
      </c>
    </row>
    <row r="347" spans="1:5">
      <c r="A347" t="s">
        <v>154</v>
      </c>
      <c r="B347" t="s">
        <v>155</v>
      </c>
      <c r="C347" s="10">
        <v>6</v>
      </c>
      <c r="D347" s="10">
        <v>0.7</v>
      </c>
      <c r="E347" s="10">
        <v>40</v>
      </c>
    </row>
    <row r="348" spans="1:5">
      <c r="A348" t="s">
        <v>156</v>
      </c>
      <c r="B348" t="s">
        <v>157</v>
      </c>
      <c r="C348" s="10">
        <v>6</v>
      </c>
      <c r="D348" s="10">
        <v>0.7</v>
      </c>
      <c r="E348" s="10">
        <v>40</v>
      </c>
    </row>
    <row r="349" spans="1:5">
      <c r="A349" t="s">
        <v>158</v>
      </c>
      <c r="B349" t="s">
        <v>159</v>
      </c>
      <c r="C349" s="10">
        <v>6</v>
      </c>
      <c r="D349" s="10">
        <v>0.7</v>
      </c>
      <c r="E349" s="10">
        <v>40</v>
      </c>
    </row>
    <row r="350" spans="1:5">
      <c r="A350" t="s">
        <v>5999</v>
      </c>
      <c r="B350" t="s">
        <v>6000</v>
      </c>
      <c r="C350" s="10">
        <v>3</v>
      </c>
      <c r="D350" s="10">
        <v>0.7</v>
      </c>
      <c r="E350" s="10">
        <v>40</v>
      </c>
    </row>
    <row r="351" spans="1:5">
      <c r="A351" t="s">
        <v>9452</v>
      </c>
      <c r="B351" t="s">
        <v>8368</v>
      </c>
      <c r="C351" s="10">
        <v>6</v>
      </c>
      <c r="D351" s="10">
        <v>1</v>
      </c>
      <c r="E351" s="10">
        <v>40</v>
      </c>
    </row>
    <row r="352" spans="1:5">
      <c r="A352" t="s">
        <v>3361</v>
      </c>
      <c r="B352" t="s">
        <v>3362</v>
      </c>
      <c r="C352" s="10">
        <v>6</v>
      </c>
      <c r="D352" s="10">
        <v>0.7</v>
      </c>
      <c r="E352" s="10">
        <v>44.5</v>
      </c>
    </row>
    <row r="353" spans="1:5">
      <c r="A353" t="s">
        <v>3363</v>
      </c>
      <c r="B353" t="s">
        <v>1988</v>
      </c>
      <c r="C353" s="10">
        <v>6</v>
      </c>
      <c r="D353" s="10">
        <v>0.7</v>
      </c>
      <c r="E353" s="10">
        <v>32</v>
      </c>
    </row>
    <row r="354" spans="1:5">
      <c r="A354" t="s">
        <v>1987</v>
      </c>
      <c r="B354" t="s">
        <v>1988</v>
      </c>
      <c r="C354" s="10">
        <v>6</v>
      </c>
      <c r="D354" s="10">
        <v>1</v>
      </c>
      <c r="E354" s="10">
        <v>32</v>
      </c>
    </row>
    <row r="355" spans="1:5">
      <c r="A355" t="s">
        <v>3364</v>
      </c>
      <c r="B355" t="s">
        <v>3365</v>
      </c>
      <c r="C355" s="10">
        <v>6</v>
      </c>
      <c r="D355" s="10">
        <v>0.7</v>
      </c>
      <c r="E355" s="10">
        <v>32</v>
      </c>
    </row>
    <row r="356" spans="1:5">
      <c r="A356" t="s">
        <v>3366</v>
      </c>
      <c r="B356" t="s">
        <v>3367</v>
      </c>
      <c r="C356" s="10">
        <v>6</v>
      </c>
      <c r="D356" s="10">
        <v>0.7</v>
      </c>
      <c r="E356" s="10">
        <v>14.9</v>
      </c>
    </row>
    <row r="357" spans="1:5">
      <c r="A357" t="s">
        <v>9453</v>
      </c>
      <c r="B357" t="s">
        <v>8369</v>
      </c>
      <c r="C357" s="10">
        <v>6</v>
      </c>
      <c r="D357" s="10">
        <v>0.7</v>
      </c>
      <c r="E357" s="10">
        <v>35</v>
      </c>
    </row>
    <row r="358" spans="1:5">
      <c r="A358" t="s">
        <v>3368</v>
      </c>
      <c r="B358" t="s">
        <v>3369</v>
      </c>
      <c r="C358" s="10">
        <v>6</v>
      </c>
      <c r="D358" s="10">
        <v>0.7</v>
      </c>
      <c r="E358" s="10">
        <v>14.9</v>
      </c>
    </row>
    <row r="359" spans="1:5">
      <c r="A359" t="s">
        <v>3370</v>
      </c>
      <c r="B359" t="s">
        <v>1635</v>
      </c>
      <c r="C359" s="10">
        <v>6</v>
      </c>
      <c r="D359" s="10">
        <v>0.7</v>
      </c>
      <c r="E359" s="10">
        <v>32</v>
      </c>
    </row>
    <row r="360" spans="1:5">
      <c r="A360" t="s">
        <v>1989</v>
      </c>
      <c r="B360" t="s">
        <v>1635</v>
      </c>
      <c r="C360" s="10">
        <v>6</v>
      </c>
      <c r="D360" s="10">
        <v>1</v>
      </c>
      <c r="E360" s="10">
        <v>32</v>
      </c>
    </row>
    <row r="361" spans="1:5">
      <c r="A361" t="s">
        <v>1634</v>
      </c>
      <c r="B361" t="s">
        <v>1635</v>
      </c>
      <c r="C361" s="10">
        <v>6</v>
      </c>
      <c r="D361" s="10">
        <v>1.5</v>
      </c>
      <c r="E361" s="10">
        <v>32</v>
      </c>
    </row>
    <row r="362" spans="1:5">
      <c r="A362" t="s">
        <v>6584</v>
      </c>
      <c r="B362" t="s">
        <v>6585</v>
      </c>
      <c r="C362" s="10">
        <v>12</v>
      </c>
      <c r="D362" s="10">
        <v>0.2</v>
      </c>
      <c r="E362" s="10">
        <v>12.5</v>
      </c>
    </row>
    <row r="363" spans="1:5">
      <c r="A363" t="s">
        <v>3371</v>
      </c>
      <c r="B363" t="s">
        <v>1637</v>
      </c>
      <c r="C363" s="10">
        <v>6</v>
      </c>
      <c r="D363" s="10">
        <v>0.7</v>
      </c>
      <c r="E363" s="10">
        <v>35</v>
      </c>
    </row>
    <row r="364" spans="1:5">
      <c r="A364" t="s">
        <v>1990</v>
      </c>
      <c r="B364" t="s">
        <v>1637</v>
      </c>
      <c r="C364" s="10">
        <v>6</v>
      </c>
      <c r="D364" s="10">
        <v>1</v>
      </c>
      <c r="E364" s="10">
        <v>35</v>
      </c>
    </row>
    <row r="365" spans="1:5">
      <c r="A365" t="s">
        <v>1636</v>
      </c>
      <c r="B365" t="s">
        <v>1637</v>
      </c>
      <c r="C365" s="10">
        <v>6</v>
      </c>
      <c r="D365" s="10">
        <v>1.5</v>
      </c>
      <c r="E365" s="10">
        <v>35</v>
      </c>
    </row>
    <row r="366" spans="1:5">
      <c r="A366" t="s">
        <v>6586</v>
      </c>
      <c r="B366" t="s">
        <v>6587</v>
      </c>
      <c r="C366" s="10">
        <v>12</v>
      </c>
      <c r="D366" s="10">
        <v>0.2</v>
      </c>
      <c r="E366" s="10">
        <v>12.5</v>
      </c>
    </row>
    <row r="367" spans="1:5">
      <c r="A367" t="s">
        <v>3372</v>
      </c>
      <c r="B367" t="s">
        <v>3373</v>
      </c>
      <c r="C367" s="10">
        <v>6</v>
      </c>
      <c r="D367" s="10">
        <v>0.7</v>
      </c>
      <c r="E367" s="10">
        <v>32</v>
      </c>
    </row>
    <row r="368" spans="1:5">
      <c r="A368" t="s">
        <v>1991</v>
      </c>
      <c r="B368" t="s">
        <v>1992</v>
      </c>
      <c r="C368" s="10">
        <v>6</v>
      </c>
      <c r="D368" s="10">
        <v>1</v>
      </c>
      <c r="E368" s="10">
        <v>31</v>
      </c>
    </row>
    <row r="369" spans="1:5">
      <c r="A369" t="s">
        <v>1543</v>
      </c>
      <c r="B369" t="s">
        <v>1417</v>
      </c>
      <c r="C369" s="10">
        <v>6</v>
      </c>
      <c r="D369" s="10">
        <v>0.5</v>
      </c>
      <c r="E369" s="10">
        <v>40</v>
      </c>
    </row>
    <row r="370" spans="1:5">
      <c r="A370" t="s">
        <v>1416</v>
      </c>
      <c r="B370" t="s">
        <v>1417</v>
      </c>
      <c r="C370" s="10">
        <v>6</v>
      </c>
      <c r="D370" s="10">
        <v>1</v>
      </c>
      <c r="E370" s="10">
        <v>40</v>
      </c>
    </row>
    <row r="371" spans="1:5">
      <c r="A371" t="s">
        <v>3374</v>
      </c>
      <c r="B371" t="s">
        <v>3375</v>
      </c>
      <c r="C371" s="10">
        <v>6</v>
      </c>
      <c r="D371" s="10">
        <v>0.7</v>
      </c>
      <c r="E371" s="10">
        <v>17</v>
      </c>
    </row>
    <row r="372" spans="1:5">
      <c r="A372" t="s">
        <v>1709</v>
      </c>
      <c r="B372" t="s">
        <v>1710</v>
      </c>
      <c r="C372" s="10">
        <v>6</v>
      </c>
      <c r="D372" s="10">
        <v>0.5</v>
      </c>
      <c r="E372" s="10">
        <v>15.7</v>
      </c>
    </row>
    <row r="373" spans="1:5">
      <c r="A373" t="s">
        <v>6588</v>
      </c>
      <c r="B373" t="s">
        <v>6589</v>
      </c>
      <c r="C373" s="10">
        <v>12</v>
      </c>
      <c r="D373" s="10">
        <v>0.7</v>
      </c>
      <c r="E373" s="10">
        <v>15.7</v>
      </c>
    </row>
    <row r="374" spans="1:5">
      <c r="A374" t="s">
        <v>3376</v>
      </c>
      <c r="B374" t="s">
        <v>3377</v>
      </c>
      <c r="C374" s="10">
        <v>6</v>
      </c>
      <c r="D374" s="10">
        <v>0.7</v>
      </c>
      <c r="E374" s="10">
        <v>17</v>
      </c>
    </row>
    <row r="375" spans="1:5">
      <c r="A375" t="s">
        <v>3378</v>
      </c>
      <c r="B375" t="s">
        <v>3379</v>
      </c>
      <c r="C375" s="10">
        <v>6</v>
      </c>
      <c r="D375" s="10">
        <v>0.7</v>
      </c>
      <c r="E375" s="10">
        <v>17</v>
      </c>
    </row>
    <row r="376" spans="1:5">
      <c r="A376" t="s">
        <v>6807</v>
      </c>
      <c r="B376" t="s">
        <v>3379</v>
      </c>
      <c r="C376" s="10">
        <v>12</v>
      </c>
      <c r="D376" s="10">
        <v>1</v>
      </c>
      <c r="E376" s="10">
        <v>17</v>
      </c>
    </row>
    <row r="377" spans="1:5">
      <c r="A377" t="s">
        <v>6099</v>
      </c>
      <c r="B377" t="s">
        <v>1639</v>
      </c>
      <c r="C377" s="10">
        <v>24</v>
      </c>
      <c r="D377" s="10">
        <v>0.2</v>
      </c>
      <c r="E377" s="10">
        <v>17</v>
      </c>
    </row>
    <row r="378" spans="1:5">
      <c r="A378" t="s">
        <v>6590</v>
      </c>
      <c r="B378" t="s">
        <v>1639</v>
      </c>
      <c r="C378" s="10">
        <v>12</v>
      </c>
      <c r="D378" s="10">
        <v>0.35</v>
      </c>
      <c r="E378" s="10">
        <v>17</v>
      </c>
    </row>
    <row r="379" spans="1:5">
      <c r="A379" t="s">
        <v>3380</v>
      </c>
      <c r="B379" t="s">
        <v>1639</v>
      </c>
      <c r="C379" s="10">
        <v>6</v>
      </c>
      <c r="D379" s="10">
        <v>0.7</v>
      </c>
      <c r="E379" s="10">
        <v>17</v>
      </c>
    </row>
    <row r="380" spans="1:5">
      <c r="A380" t="s">
        <v>1993</v>
      </c>
      <c r="B380" t="s">
        <v>1639</v>
      </c>
      <c r="C380" s="10">
        <v>6</v>
      </c>
      <c r="D380" s="10">
        <v>1</v>
      </c>
      <c r="E380" s="10">
        <v>17</v>
      </c>
    </row>
    <row r="381" spans="1:5">
      <c r="A381" t="s">
        <v>6808</v>
      </c>
      <c r="B381" t="s">
        <v>1639</v>
      </c>
      <c r="C381" s="10">
        <v>12</v>
      </c>
      <c r="D381" s="10">
        <v>1</v>
      </c>
      <c r="E381" s="10">
        <v>17</v>
      </c>
    </row>
    <row r="382" spans="1:5">
      <c r="A382" t="s">
        <v>1638</v>
      </c>
      <c r="B382" t="s">
        <v>1639</v>
      </c>
      <c r="C382" s="10">
        <v>6</v>
      </c>
      <c r="D382" s="10">
        <v>1.5</v>
      </c>
      <c r="E382" s="10">
        <v>17</v>
      </c>
    </row>
    <row r="383" spans="1:5">
      <c r="A383" t="s">
        <v>6100</v>
      </c>
      <c r="B383" t="s">
        <v>6101</v>
      </c>
      <c r="C383" s="10">
        <v>80</v>
      </c>
      <c r="D383" s="10">
        <v>0.05</v>
      </c>
      <c r="E383" s="10">
        <v>17</v>
      </c>
    </row>
    <row r="384" spans="1:5">
      <c r="A384" t="s">
        <v>3381</v>
      </c>
      <c r="B384" t="s">
        <v>3382</v>
      </c>
      <c r="C384" s="10">
        <v>6</v>
      </c>
      <c r="D384" s="10">
        <v>0.7</v>
      </c>
      <c r="E384" s="10">
        <v>17</v>
      </c>
    </row>
    <row r="385" spans="1:5">
      <c r="A385" t="s">
        <v>6809</v>
      </c>
      <c r="B385" t="s">
        <v>3382</v>
      </c>
      <c r="C385" s="10">
        <v>12</v>
      </c>
      <c r="D385" s="10">
        <v>1</v>
      </c>
      <c r="E385" s="10">
        <v>17</v>
      </c>
    </row>
    <row r="386" spans="1:5">
      <c r="A386" t="s">
        <v>3383</v>
      </c>
      <c r="B386" t="s">
        <v>3384</v>
      </c>
      <c r="C386" s="10">
        <v>6</v>
      </c>
      <c r="D386" s="10">
        <v>0.7</v>
      </c>
      <c r="E386" s="10">
        <v>17</v>
      </c>
    </row>
    <row r="387" spans="1:5">
      <c r="A387" t="s">
        <v>1711</v>
      </c>
      <c r="B387" t="s">
        <v>1712</v>
      </c>
      <c r="C387" s="10">
        <v>6</v>
      </c>
      <c r="D387" s="10">
        <v>0.5</v>
      </c>
      <c r="E387" s="10">
        <v>38.200000000000003</v>
      </c>
    </row>
    <row r="388" spans="1:5">
      <c r="A388" t="s">
        <v>5152</v>
      </c>
      <c r="B388" t="s">
        <v>5153</v>
      </c>
      <c r="C388" s="10">
        <v>6</v>
      </c>
      <c r="D388" s="10">
        <v>0.7</v>
      </c>
      <c r="E388" s="10">
        <v>46</v>
      </c>
    </row>
    <row r="389" spans="1:5">
      <c r="A389" t="s">
        <v>5154</v>
      </c>
      <c r="B389" t="s">
        <v>5155</v>
      </c>
      <c r="C389" s="10">
        <v>6</v>
      </c>
      <c r="D389" s="10">
        <v>0.7</v>
      </c>
      <c r="E389" s="10">
        <v>46</v>
      </c>
    </row>
    <row r="390" spans="1:5">
      <c r="A390" t="s">
        <v>5156</v>
      </c>
      <c r="B390" t="s">
        <v>5157</v>
      </c>
      <c r="C390" s="10">
        <v>6</v>
      </c>
      <c r="D390" s="10">
        <v>0.7</v>
      </c>
      <c r="E390" s="10">
        <v>46</v>
      </c>
    </row>
    <row r="391" spans="1:5">
      <c r="A391" t="s">
        <v>3385</v>
      </c>
      <c r="B391" t="s">
        <v>3386</v>
      </c>
      <c r="C391" s="10">
        <v>6</v>
      </c>
      <c r="D391" s="10">
        <v>0.7</v>
      </c>
      <c r="E391" s="10">
        <v>64</v>
      </c>
    </row>
    <row r="392" spans="1:5">
      <c r="A392" t="s">
        <v>5158</v>
      </c>
      <c r="B392" t="s">
        <v>5159</v>
      </c>
      <c r="C392" s="10">
        <v>6</v>
      </c>
      <c r="D392" s="10">
        <v>0.7</v>
      </c>
      <c r="E392" s="10">
        <v>46</v>
      </c>
    </row>
    <row r="393" spans="1:5">
      <c r="A393" t="s">
        <v>9454</v>
      </c>
      <c r="B393" t="s">
        <v>8370</v>
      </c>
      <c r="C393" s="10">
        <v>6</v>
      </c>
      <c r="D393" s="10">
        <v>0.7</v>
      </c>
      <c r="E393" s="10">
        <v>50</v>
      </c>
    </row>
    <row r="394" spans="1:5">
      <c r="A394" t="s">
        <v>3387</v>
      </c>
      <c r="B394" t="s">
        <v>3388</v>
      </c>
      <c r="C394" s="10">
        <v>6</v>
      </c>
      <c r="D394" s="10">
        <v>0.7</v>
      </c>
      <c r="E394" s="10">
        <v>53</v>
      </c>
    </row>
    <row r="395" spans="1:5">
      <c r="A395" t="s">
        <v>9455</v>
      </c>
      <c r="B395" t="s">
        <v>8371</v>
      </c>
      <c r="C395" s="10">
        <v>6</v>
      </c>
      <c r="D395" s="10">
        <v>0.7</v>
      </c>
      <c r="E395" s="10">
        <v>40</v>
      </c>
    </row>
    <row r="396" spans="1:5">
      <c r="A396" t="s">
        <v>9456</v>
      </c>
      <c r="B396" t="s">
        <v>8372</v>
      </c>
      <c r="C396" s="10">
        <v>6</v>
      </c>
      <c r="D396" s="10">
        <v>0.7</v>
      </c>
      <c r="E396" s="10">
        <v>40</v>
      </c>
    </row>
    <row r="397" spans="1:5">
      <c r="A397" t="s">
        <v>9457</v>
      </c>
      <c r="B397" t="s">
        <v>8373</v>
      </c>
      <c r="C397" s="10">
        <v>6</v>
      </c>
      <c r="D397" s="10">
        <v>0.7</v>
      </c>
      <c r="E397" s="10">
        <v>40</v>
      </c>
    </row>
    <row r="398" spans="1:5">
      <c r="A398" t="s">
        <v>160</v>
      </c>
      <c r="B398" t="s">
        <v>161</v>
      </c>
      <c r="C398" s="10">
        <v>6</v>
      </c>
      <c r="D398" s="10">
        <v>0.7</v>
      </c>
      <c r="E398" s="10">
        <v>40</v>
      </c>
    </row>
    <row r="399" spans="1:5">
      <c r="A399" t="s">
        <v>9458</v>
      </c>
      <c r="B399" t="s">
        <v>8374</v>
      </c>
      <c r="C399" s="10">
        <v>6</v>
      </c>
      <c r="D399" s="10">
        <v>0.7</v>
      </c>
      <c r="E399" s="10">
        <v>40</v>
      </c>
    </row>
    <row r="400" spans="1:5">
      <c r="A400" t="s">
        <v>5884</v>
      </c>
      <c r="B400" t="s">
        <v>163</v>
      </c>
      <c r="C400" s="10">
        <v>120</v>
      </c>
      <c r="D400" s="10">
        <v>0.05</v>
      </c>
      <c r="E400" s="10">
        <v>40</v>
      </c>
    </row>
    <row r="401" spans="1:5">
      <c r="A401" t="s">
        <v>5779</v>
      </c>
      <c r="B401" t="s">
        <v>163</v>
      </c>
      <c r="C401" s="10">
        <v>12</v>
      </c>
      <c r="D401" s="10">
        <v>0.35</v>
      </c>
      <c r="E401" s="10">
        <v>40</v>
      </c>
    </row>
    <row r="402" spans="1:5">
      <c r="A402" t="s">
        <v>162</v>
      </c>
      <c r="B402" t="s">
        <v>163</v>
      </c>
      <c r="C402" s="10">
        <v>6</v>
      </c>
      <c r="D402" s="10">
        <v>0.7</v>
      </c>
      <c r="E402" s="10">
        <v>40</v>
      </c>
    </row>
    <row r="403" spans="1:5">
      <c r="A403" t="s">
        <v>5675</v>
      </c>
      <c r="B403" t="s">
        <v>163</v>
      </c>
      <c r="C403" s="10">
        <v>12</v>
      </c>
      <c r="D403" s="10">
        <v>1</v>
      </c>
      <c r="E403" s="10">
        <v>40</v>
      </c>
    </row>
    <row r="404" spans="1:5">
      <c r="A404" t="s">
        <v>1418</v>
      </c>
      <c r="B404" t="s">
        <v>163</v>
      </c>
      <c r="C404" s="10">
        <v>6</v>
      </c>
      <c r="D404" s="10">
        <v>1</v>
      </c>
      <c r="E404" s="10">
        <v>40</v>
      </c>
    </row>
    <row r="405" spans="1:5">
      <c r="A405" t="s">
        <v>5885</v>
      </c>
      <c r="B405" t="s">
        <v>5886</v>
      </c>
      <c r="C405" s="10">
        <v>120</v>
      </c>
      <c r="D405" s="10">
        <v>0.05</v>
      </c>
      <c r="E405" s="10">
        <v>40</v>
      </c>
    </row>
    <row r="406" spans="1:5">
      <c r="A406" t="s">
        <v>164</v>
      </c>
      <c r="B406" t="s">
        <v>165</v>
      </c>
      <c r="C406" s="10">
        <v>6</v>
      </c>
      <c r="D406" s="10">
        <v>0.7</v>
      </c>
      <c r="E406" s="10">
        <v>40</v>
      </c>
    </row>
    <row r="407" spans="1:5">
      <c r="A407" t="s">
        <v>166</v>
      </c>
      <c r="B407" t="s">
        <v>167</v>
      </c>
      <c r="C407" s="10">
        <v>6</v>
      </c>
      <c r="D407" s="10">
        <v>0.7</v>
      </c>
      <c r="E407" s="10">
        <v>40</v>
      </c>
    </row>
    <row r="408" spans="1:5">
      <c r="A408" t="s">
        <v>5160</v>
      </c>
      <c r="B408" t="s">
        <v>5161</v>
      </c>
      <c r="C408" s="10">
        <v>6</v>
      </c>
      <c r="D408" s="10">
        <v>0.7</v>
      </c>
      <c r="E408" s="10">
        <v>46</v>
      </c>
    </row>
    <row r="409" spans="1:5">
      <c r="A409" t="s">
        <v>4721</v>
      </c>
      <c r="B409" t="s">
        <v>4722</v>
      </c>
      <c r="C409" s="10">
        <v>6</v>
      </c>
      <c r="D409" s="10">
        <v>0.7</v>
      </c>
      <c r="E409" s="10">
        <v>45</v>
      </c>
    </row>
    <row r="410" spans="1:5">
      <c r="A410" t="s">
        <v>4723</v>
      </c>
      <c r="B410" t="s">
        <v>4724</v>
      </c>
      <c r="C410" s="10">
        <v>6</v>
      </c>
      <c r="D410" s="10">
        <v>0.7</v>
      </c>
      <c r="E410" s="10">
        <v>45</v>
      </c>
    </row>
    <row r="411" spans="1:5">
      <c r="A411" t="s">
        <v>5351</v>
      </c>
      <c r="B411" t="s">
        <v>5352</v>
      </c>
      <c r="C411" s="10">
        <v>6</v>
      </c>
      <c r="D411" s="10">
        <v>0.7</v>
      </c>
      <c r="E411" s="10">
        <v>43</v>
      </c>
    </row>
    <row r="412" spans="1:5">
      <c r="A412" t="s">
        <v>9459</v>
      </c>
      <c r="B412" t="s">
        <v>8375</v>
      </c>
      <c r="C412" s="10">
        <v>6</v>
      </c>
      <c r="D412" s="10">
        <v>0.7</v>
      </c>
      <c r="E412" s="10">
        <v>40</v>
      </c>
    </row>
    <row r="413" spans="1:5">
      <c r="A413" t="s">
        <v>168</v>
      </c>
      <c r="B413" t="s">
        <v>169</v>
      </c>
      <c r="C413" s="10">
        <v>6</v>
      </c>
      <c r="D413" s="10">
        <v>0.7</v>
      </c>
      <c r="E413" s="10">
        <v>40</v>
      </c>
    </row>
    <row r="414" spans="1:5">
      <c r="A414" t="s">
        <v>3389</v>
      </c>
      <c r="B414" t="s">
        <v>3390</v>
      </c>
      <c r="C414" s="10">
        <v>6</v>
      </c>
      <c r="D414" s="10">
        <v>0.7</v>
      </c>
      <c r="E414" s="10">
        <v>47.8</v>
      </c>
    </row>
    <row r="415" spans="1:5">
      <c r="A415" t="s">
        <v>5353</v>
      </c>
      <c r="B415" t="s">
        <v>5354</v>
      </c>
      <c r="C415" s="10">
        <v>6</v>
      </c>
      <c r="D415" s="10">
        <v>0.7</v>
      </c>
      <c r="E415" s="10">
        <v>43</v>
      </c>
    </row>
    <row r="416" spans="1:5">
      <c r="A416" t="s">
        <v>3391</v>
      </c>
      <c r="B416" t="s">
        <v>3392</v>
      </c>
      <c r="C416" s="10">
        <v>6</v>
      </c>
      <c r="D416" s="10">
        <v>0.7</v>
      </c>
      <c r="E416" s="10">
        <v>48.3</v>
      </c>
    </row>
    <row r="417" spans="1:5">
      <c r="A417" t="s">
        <v>9460</v>
      </c>
      <c r="B417" t="s">
        <v>8376</v>
      </c>
      <c r="C417" s="10">
        <v>6</v>
      </c>
      <c r="D417" s="10">
        <v>0.7</v>
      </c>
      <c r="E417" s="10">
        <v>43</v>
      </c>
    </row>
    <row r="418" spans="1:5">
      <c r="A418" t="s">
        <v>3393</v>
      </c>
      <c r="B418" t="s">
        <v>3394</v>
      </c>
      <c r="C418" s="10">
        <v>6</v>
      </c>
      <c r="D418" s="10">
        <v>0.7</v>
      </c>
      <c r="E418" s="10">
        <v>47.6</v>
      </c>
    </row>
    <row r="419" spans="1:5">
      <c r="A419" t="s">
        <v>9461</v>
      </c>
      <c r="B419" t="s">
        <v>8377</v>
      </c>
      <c r="C419" s="10">
        <v>3</v>
      </c>
      <c r="D419" s="10">
        <v>0.7</v>
      </c>
      <c r="E419" s="10">
        <v>47.8</v>
      </c>
    </row>
    <row r="420" spans="1:5">
      <c r="A420" t="s">
        <v>9462</v>
      </c>
      <c r="B420" t="s">
        <v>8378</v>
      </c>
      <c r="C420" s="10">
        <v>1</v>
      </c>
      <c r="D420" s="10">
        <v>0.7</v>
      </c>
      <c r="E420" s="10">
        <v>46</v>
      </c>
    </row>
    <row r="421" spans="1:5">
      <c r="A421" t="s">
        <v>5355</v>
      </c>
      <c r="B421" t="s">
        <v>5356</v>
      </c>
      <c r="C421" s="10">
        <v>6</v>
      </c>
      <c r="D421" s="10">
        <v>0.7</v>
      </c>
      <c r="E421" s="10">
        <v>43</v>
      </c>
    </row>
    <row r="422" spans="1:5">
      <c r="A422" t="s">
        <v>1713</v>
      </c>
      <c r="B422" t="s">
        <v>1714</v>
      </c>
      <c r="C422" s="10">
        <v>6</v>
      </c>
      <c r="D422" s="10">
        <v>0.5</v>
      </c>
      <c r="E422" s="10">
        <v>22</v>
      </c>
    </row>
    <row r="423" spans="1:5">
      <c r="A423" t="s">
        <v>170</v>
      </c>
      <c r="B423" t="s">
        <v>171</v>
      </c>
      <c r="C423" s="10">
        <v>6</v>
      </c>
      <c r="D423" s="10">
        <v>0.7</v>
      </c>
      <c r="E423" s="10">
        <v>40</v>
      </c>
    </row>
    <row r="424" spans="1:5">
      <c r="A424" t="s">
        <v>9463</v>
      </c>
      <c r="B424" t="s">
        <v>8379</v>
      </c>
      <c r="C424" s="10">
        <v>6</v>
      </c>
      <c r="D424" s="10">
        <v>0.75</v>
      </c>
      <c r="E424" s="10">
        <v>13</v>
      </c>
    </row>
    <row r="425" spans="1:5">
      <c r="A425" t="s">
        <v>2458</v>
      </c>
      <c r="B425" t="s">
        <v>2459</v>
      </c>
      <c r="C425" s="10">
        <v>6</v>
      </c>
      <c r="D425" s="10">
        <v>0.75</v>
      </c>
      <c r="E425" s="10">
        <v>13.5</v>
      </c>
    </row>
    <row r="426" spans="1:5">
      <c r="A426" t="s">
        <v>2460</v>
      </c>
      <c r="B426" t="s">
        <v>2461</v>
      </c>
      <c r="C426" s="10">
        <v>6</v>
      </c>
      <c r="D426" s="10">
        <v>0.75</v>
      </c>
      <c r="E426" s="10">
        <v>14</v>
      </c>
    </row>
    <row r="427" spans="1:5">
      <c r="A427" t="s">
        <v>2462</v>
      </c>
      <c r="B427" t="s">
        <v>2463</v>
      </c>
      <c r="C427" s="10">
        <v>6</v>
      </c>
      <c r="D427" s="10">
        <v>0.75</v>
      </c>
      <c r="E427" s="10">
        <v>14</v>
      </c>
    </row>
    <row r="428" spans="1:5">
      <c r="A428" t="s">
        <v>2464</v>
      </c>
      <c r="B428" t="s">
        <v>2465</v>
      </c>
      <c r="C428" s="10">
        <v>6</v>
      </c>
      <c r="D428" s="10">
        <v>0.75</v>
      </c>
      <c r="E428" s="10">
        <v>14.5</v>
      </c>
    </row>
    <row r="429" spans="1:5">
      <c r="A429" t="s">
        <v>6591</v>
      </c>
      <c r="B429" t="s">
        <v>6592</v>
      </c>
      <c r="C429" s="10">
        <v>12</v>
      </c>
      <c r="D429" s="10">
        <v>0.7</v>
      </c>
      <c r="E429" s="10">
        <v>37.5</v>
      </c>
    </row>
    <row r="430" spans="1:5">
      <c r="A430" t="s">
        <v>4817</v>
      </c>
      <c r="B430" t="s">
        <v>4818</v>
      </c>
      <c r="C430" s="10">
        <v>6</v>
      </c>
      <c r="D430" s="10">
        <v>0.7</v>
      </c>
      <c r="E430" s="10">
        <v>37.5</v>
      </c>
    </row>
    <row r="431" spans="1:5">
      <c r="A431" t="s">
        <v>4819</v>
      </c>
      <c r="B431" t="s">
        <v>4820</v>
      </c>
      <c r="C431" s="10">
        <v>6</v>
      </c>
      <c r="D431" s="10">
        <v>0.7</v>
      </c>
      <c r="E431" s="10">
        <v>37.5</v>
      </c>
    </row>
    <row r="432" spans="1:5">
      <c r="A432" t="s">
        <v>9464</v>
      </c>
      <c r="B432" t="s">
        <v>8380</v>
      </c>
      <c r="C432" s="10">
        <v>6</v>
      </c>
      <c r="D432" s="10">
        <v>0.7</v>
      </c>
      <c r="E432" s="10">
        <v>37.5</v>
      </c>
    </row>
    <row r="433" spans="1:5">
      <c r="A433" t="s">
        <v>4970</v>
      </c>
      <c r="B433" t="s">
        <v>4971</v>
      </c>
      <c r="C433" s="10">
        <v>6</v>
      </c>
      <c r="D433" s="10">
        <v>0.7</v>
      </c>
      <c r="E433" s="10">
        <v>38</v>
      </c>
    </row>
    <row r="434" spans="1:5">
      <c r="A434" t="s">
        <v>4972</v>
      </c>
      <c r="B434" t="s">
        <v>4973</v>
      </c>
      <c r="C434" s="10">
        <v>6</v>
      </c>
      <c r="D434" s="10">
        <v>0.7</v>
      </c>
      <c r="E434" s="10">
        <v>38</v>
      </c>
    </row>
    <row r="435" spans="1:5">
      <c r="A435" t="s">
        <v>4974</v>
      </c>
      <c r="B435" t="s">
        <v>4973</v>
      </c>
      <c r="C435" s="10">
        <v>6</v>
      </c>
      <c r="D435" s="10">
        <v>0.7</v>
      </c>
      <c r="E435" s="10">
        <v>38</v>
      </c>
    </row>
    <row r="436" spans="1:5">
      <c r="A436" t="s">
        <v>172</v>
      </c>
      <c r="B436" t="s">
        <v>173</v>
      </c>
      <c r="C436" s="10">
        <v>6</v>
      </c>
      <c r="D436" s="10">
        <v>0.7</v>
      </c>
      <c r="E436" s="10">
        <v>40</v>
      </c>
    </row>
    <row r="437" spans="1:5">
      <c r="A437" t="s">
        <v>4975</v>
      </c>
      <c r="B437" t="s">
        <v>4976</v>
      </c>
      <c r="C437" s="10">
        <v>6</v>
      </c>
      <c r="D437" s="10">
        <v>0.7</v>
      </c>
      <c r="E437" s="10">
        <v>38</v>
      </c>
    </row>
    <row r="438" spans="1:5">
      <c r="A438" t="s">
        <v>174</v>
      </c>
      <c r="B438" t="s">
        <v>175</v>
      </c>
      <c r="C438" s="10">
        <v>6</v>
      </c>
      <c r="D438" s="10">
        <v>0.7</v>
      </c>
      <c r="E438" s="10">
        <v>40</v>
      </c>
    </row>
    <row r="439" spans="1:5">
      <c r="A439" t="s">
        <v>6102</v>
      </c>
      <c r="B439" t="s">
        <v>6103</v>
      </c>
      <c r="C439" s="10">
        <v>3</v>
      </c>
      <c r="D439" s="10">
        <v>0.7</v>
      </c>
      <c r="E439" s="10">
        <v>43</v>
      </c>
    </row>
    <row r="440" spans="1:5">
      <c r="A440" t="s">
        <v>3395</v>
      </c>
      <c r="B440" t="s">
        <v>3396</v>
      </c>
      <c r="C440" s="10">
        <v>6</v>
      </c>
      <c r="D440" s="10">
        <v>0.7</v>
      </c>
      <c r="E440" s="10">
        <v>33</v>
      </c>
    </row>
    <row r="441" spans="1:5">
      <c r="A441" t="s">
        <v>3397</v>
      </c>
      <c r="B441" t="s">
        <v>3398</v>
      </c>
      <c r="C441" s="10">
        <v>6</v>
      </c>
      <c r="D441" s="10">
        <v>0.7</v>
      </c>
      <c r="E441" s="10">
        <v>35</v>
      </c>
    </row>
    <row r="442" spans="1:5">
      <c r="A442" t="s">
        <v>9465</v>
      </c>
      <c r="B442" t="s">
        <v>8381</v>
      </c>
      <c r="C442" s="10">
        <v>3</v>
      </c>
      <c r="D442" s="10">
        <v>0.7</v>
      </c>
      <c r="E442" s="10">
        <v>40</v>
      </c>
    </row>
    <row r="443" spans="1:5">
      <c r="A443" t="s">
        <v>9466</v>
      </c>
      <c r="B443" t="s">
        <v>8382</v>
      </c>
      <c r="C443" s="10">
        <v>6</v>
      </c>
      <c r="D443" s="10">
        <v>0.7</v>
      </c>
      <c r="E443" s="10">
        <v>40</v>
      </c>
    </row>
    <row r="444" spans="1:5">
      <c r="A444" t="s">
        <v>9467</v>
      </c>
      <c r="B444" t="s">
        <v>8383</v>
      </c>
      <c r="C444" s="10">
        <v>6</v>
      </c>
      <c r="D444" s="10">
        <v>0.7</v>
      </c>
      <c r="E444" s="10">
        <v>40</v>
      </c>
    </row>
    <row r="445" spans="1:5">
      <c r="A445" t="s">
        <v>176</v>
      </c>
      <c r="B445" t="s">
        <v>177</v>
      </c>
      <c r="C445" s="10">
        <v>6</v>
      </c>
      <c r="D445" s="10">
        <v>0.7</v>
      </c>
      <c r="E445" s="10">
        <v>40</v>
      </c>
    </row>
    <row r="446" spans="1:5">
      <c r="A446" t="s">
        <v>1640</v>
      </c>
      <c r="B446" t="s">
        <v>1641</v>
      </c>
      <c r="C446" s="10">
        <v>6</v>
      </c>
      <c r="D446" s="10">
        <v>0.35</v>
      </c>
      <c r="E446" s="10">
        <v>43.3</v>
      </c>
    </row>
    <row r="447" spans="1:5">
      <c r="A447" t="s">
        <v>3399</v>
      </c>
      <c r="B447" t="s">
        <v>1641</v>
      </c>
      <c r="C447" s="10">
        <v>6</v>
      </c>
      <c r="D447" s="10">
        <v>0.7</v>
      </c>
      <c r="E447" s="10">
        <v>43.3</v>
      </c>
    </row>
    <row r="448" spans="1:5">
      <c r="A448" t="s">
        <v>3400</v>
      </c>
      <c r="B448" t="s">
        <v>1995</v>
      </c>
      <c r="C448" s="10">
        <v>6</v>
      </c>
      <c r="D448" s="10">
        <v>0.7</v>
      </c>
      <c r="E448" s="10">
        <v>16</v>
      </c>
    </row>
    <row r="449" spans="1:5">
      <c r="A449" t="s">
        <v>1994</v>
      </c>
      <c r="B449" t="s">
        <v>1995</v>
      </c>
      <c r="C449" s="10">
        <v>6</v>
      </c>
      <c r="D449" s="10">
        <v>1</v>
      </c>
      <c r="E449" s="10">
        <v>16</v>
      </c>
    </row>
    <row r="450" spans="1:5">
      <c r="A450" t="s">
        <v>9468</v>
      </c>
      <c r="B450" t="s">
        <v>8384</v>
      </c>
      <c r="C450" s="10">
        <v>6</v>
      </c>
      <c r="D450" s="10">
        <v>0.7</v>
      </c>
      <c r="E450" s="10">
        <v>46</v>
      </c>
    </row>
    <row r="451" spans="1:5">
      <c r="A451" t="s">
        <v>5162</v>
      </c>
      <c r="B451" t="s">
        <v>5163</v>
      </c>
      <c r="C451" s="10">
        <v>6</v>
      </c>
      <c r="D451" s="10">
        <v>0.7</v>
      </c>
      <c r="E451" s="10">
        <v>46</v>
      </c>
    </row>
    <row r="452" spans="1:5">
      <c r="A452" t="s">
        <v>9469</v>
      </c>
      <c r="B452" t="s">
        <v>8385</v>
      </c>
      <c r="C452" s="10">
        <v>6</v>
      </c>
      <c r="D452" s="10">
        <v>0.75</v>
      </c>
      <c r="E452" s="10">
        <v>12</v>
      </c>
    </row>
    <row r="453" spans="1:5">
      <c r="A453" t="s">
        <v>5887</v>
      </c>
      <c r="B453" t="s">
        <v>5888</v>
      </c>
      <c r="C453" s="10">
        <v>120</v>
      </c>
      <c r="D453" s="10">
        <v>0.05</v>
      </c>
      <c r="E453" s="10">
        <v>40</v>
      </c>
    </row>
    <row r="454" spans="1:5">
      <c r="A454" t="s">
        <v>9470</v>
      </c>
      <c r="B454" t="s">
        <v>8386</v>
      </c>
      <c r="C454" s="10">
        <v>6</v>
      </c>
      <c r="D454" s="10">
        <v>0.7</v>
      </c>
      <c r="E454" s="10">
        <v>37.5</v>
      </c>
    </row>
    <row r="455" spans="1:5">
      <c r="A455" t="s">
        <v>4821</v>
      </c>
      <c r="B455" t="s">
        <v>4822</v>
      </c>
      <c r="C455" s="10">
        <v>6</v>
      </c>
      <c r="D455" s="10">
        <v>0.7</v>
      </c>
      <c r="E455" s="10">
        <v>37.5</v>
      </c>
    </row>
    <row r="456" spans="1:5">
      <c r="A456" t="s">
        <v>5780</v>
      </c>
      <c r="B456" t="s">
        <v>179</v>
      </c>
      <c r="C456" s="10">
        <v>12</v>
      </c>
      <c r="D456" s="10">
        <v>0.7</v>
      </c>
      <c r="E456" s="10">
        <v>40</v>
      </c>
    </row>
    <row r="457" spans="1:5">
      <c r="A457" t="s">
        <v>178</v>
      </c>
      <c r="B457" t="s">
        <v>179</v>
      </c>
      <c r="C457" s="10">
        <v>6</v>
      </c>
      <c r="D457" s="10">
        <v>0.7</v>
      </c>
      <c r="E457" s="10">
        <v>40</v>
      </c>
    </row>
    <row r="458" spans="1:5">
      <c r="A458" t="s">
        <v>5676</v>
      </c>
      <c r="B458" t="s">
        <v>179</v>
      </c>
      <c r="C458" s="10">
        <v>12</v>
      </c>
      <c r="D458" s="10">
        <v>1</v>
      </c>
      <c r="E458" s="10">
        <v>40</v>
      </c>
    </row>
    <row r="459" spans="1:5">
      <c r="A459" t="s">
        <v>4725</v>
      </c>
      <c r="B459" t="s">
        <v>4726</v>
      </c>
      <c r="C459" s="10">
        <v>6</v>
      </c>
      <c r="D459" s="10">
        <v>0.7</v>
      </c>
      <c r="E459" s="10">
        <v>45</v>
      </c>
    </row>
    <row r="460" spans="1:5">
      <c r="A460" t="s">
        <v>4823</v>
      </c>
      <c r="B460" t="s">
        <v>4824</v>
      </c>
      <c r="C460" s="10">
        <v>6</v>
      </c>
      <c r="D460" s="10">
        <v>0.7</v>
      </c>
      <c r="E460" s="10">
        <v>37.5</v>
      </c>
    </row>
    <row r="461" spans="1:5">
      <c r="A461" t="s">
        <v>9471</v>
      </c>
      <c r="B461" t="s">
        <v>8387</v>
      </c>
      <c r="C461" s="10">
        <v>10</v>
      </c>
      <c r="D461" s="10">
        <v>0.5</v>
      </c>
      <c r="E461" s="10">
        <v>5.2</v>
      </c>
    </row>
    <row r="462" spans="1:5">
      <c r="A462" t="s">
        <v>9472</v>
      </c>
      <c r="B462" t="s">
        <v>8388</v>
      </c>
      <c r="C462" s="10">
        <v>3</v>
      </c>
      <c r="D462" s="10">
        <v>0.6</v>
      </c>
      <c r="E462" s="10">
        <v>41</v>
      </c>
    </row>
    <row r="463" spans="1:5">
      <c r="A463" t="s">
        <v>5781</v>
      </c>
      <c r="B463" t="s">
        <v>5678</v>
      </c>
      <c r="C463" s="10">
        <v>12</v>
      </c>
      <c r="D463" s="10">
        <v>0.7</v>
      </c>
      <c r="E463" s="10">
        <v>40</v>
      </c>
    </row>
    <row r="464" spans="1:5">
      <c r="A464" t="s">
        <v>5677</v>
      </c>
      <c r="B464" t="s">
        <v>5678</v>
      </c>
      <c r="C464" s="10">
        <v>12</v>
      </c>
      <c r="D464" s="10">
        <v>1</v>
      </c>
      <c r="E464" s="10">
        <v>40</v>
      </c>
    </row>
    <row r="465" spans="1:5">
      <c r="A465" t="s">
        <v>9473</v>
      </c>
      <c r="B465" t="s">
        <v>8389</v>
      </c>
      <c r="C465" s="10">
        <v>6</v>
      </c>
      <c r="D465" s="10">
        <v>0.75</v>
      </c>
      <c r="E465" s="10">
        <v>18</v>
      </c>
    </row>
    <row r="466" spans="1:5">
      <c r="A466" t="s">
        <v>9474</v>
      </c>
      <c r="B466" t="s">
        <v>8390</v>
      </c>
      <c r="C466" s="10">
        <v>6</v>
      </c>
      <c r="D466" s="10">
        <v>0.7</v>
      </c>
      <c r="E466" s="10">
        <v>40</v>
      </c>
    </row>
    <row r="467" spans="1:5">
      <c r="A467" t="s">
        <v>9475</v>
      </c>
      <c r="B467" t="s">
        <v>8391</v>
      </c>
      <c r="C467" s="10">
        <v>6</v>
      </c>
      <c r="D467" s="10">
        <v>0.7</v>
      </c>
      <c r="E467" s="10">
        <v>40</v>
      </c>
    </row>
    <row r="468" spans="1:5">
      <c r="A468" t="s">
        <v>180</v>
      </c>
      <c r="B468" t="s">
        <v>181</v>
      </c>
      <c r="C468" s="10">
        <v>6</v>
      </c>
      <c r="D468" s="10">
        <v>0.7</v>
      </c>
      <c r="E468" s="10">
        <v>40</v>
      </c>
    </row>
    <row r="469" spans="1:5">
      <c r="A469" t="s">
        <v>9476</v>
      </c>
      <c r="B469" t="s">
        <v>181</v>
      </c>
      <c r="C469" s="10">
        <v>6</v>
      </c>
      <c r="D469" s="10">
        <v>1</v>
      </c>
      <c r="E469" s="10">
        <v>40</v>
      </c>
    </row>
    <row r="470" spans="1:5">
      <c r="A470" t="s">
        <v>9477</v>
      </c>
      <c r="B470" t="s">
        <v>8392</v>
      </c>
      <c r="C470" s="10">
        <v>6</v>
      </c>
      <c r="D470" s="10">
        <v>0.7</v>
      </c>
      <c r="E470" s="10">
        <v>40</v>
      </c>
    </row>
    <row r="471" spans="1:5">
      <c r="A471" t="s">
        <v>9478</v>
      </c>
      <c r="B471" t="s">
        <v>8393</v>
      </c>
      <c r="C471" s="10">
        <v>6</v>
      </c>
      <c r="D471" s="10">
        <v>0.7</v>
      </c>
      <c r="E471" s="10">
        <v>40</v>
      </c>
    </row>
    <row r="472" spans="1:5">
      <c r="A472" t="s">
        <v>9479</v>
      </c>
      <c r="B472" t="s">
        <v>182</v>
      </c>
      <c r="C472" s="10">
        <v>6</v>
      </c>
      <c r="D472" s="10">
        <v>0.7</v>
      </c>
      <c r="E472" s="10">
        <v>40</v>
      </c>
    </row>
    <row r="473" spans="1:5">
      <c r="A473" t="s">
        <v>9480</v>
      </c>
      <c r="B473" t="s">
        <v>8394</v>
      </c>
      <c r="C473" s="10">
        <v>6</v>
      </c>
      <c r="D473" s="10">
        <v>0.7</v>
      </c>
      <c r="E473" s="10">
        <v>40</v>
      </c>
    </row>
    <row r="474" spans="1:5">
      <c r="A474" t="s">
        <v>9481</v>
      </c>
      <c r="B474" t="s">
        <v>8395</v>
      </c>
      <c r="C474" s="10">
        <v>6</v>
      </c>
      <c r="D474" s="10">
        <v>0.7</v>
      </c>
      <c r="E474" s="10">
        <v>40</v>
      </c>
    </row>
    <row r="475" spans="1:5">
      <c r="A475" t="s">
        <v>5889</v>
      </c>
      <c r="B475" t="s">
        <v>184</v>
      </c>
      <c r="C475" s="10">
        <v>60</v>
      </c>
      <c r="D475" s="10">
        <v>0.05</v>
      </c>
      <c r="E475" s="10">
        <v>40</v>
      </c>
    </row>
    <row r="476" spans="1:5">
      <c r="A476" t="s">
        <v>5782</v>
      </c>
      <c r="B476" t="s">
        <v>184</v>
      </c>
      <c r="C476" s="10">
        <v>12</v>
      </c>
      <c r="D476" s="10">
        <v>0.2</v>
      </c>
      <c r="E476" s="10">
        <v>40</v>
      </c>
    </row>
    <row r="477" spans="1:5">
      <c r="A477" t="s">
        <v>183</v>
      </c>
      <c r="B477" t="s">
        <v>184</v>
      </c>
      <c r="C477" s="10">
        <v>6</v>
      </c>
      <c r="D477" s="10">
        <v>0.7</v>
      </c>
      <c r="E477" s="10">
        <v>40</v>
      </c>
    </row>
    <row r="478" spans="1:5">
      <c r="A478" t="s">
        <v>1419</v>
      </c>
      <c r="B478" t="s">
        <v>184</v>
      </c>
      <c r="C478" s="10">
        <v>6</v>
      </c>
      <c r="D478" s="10">
        <v>1</v>
      </c>
      <c r="E478" s="10">
        <v>40</v>
      </c>
    </row>
    <row r="479" spans="1:5">
      <c r="A479" t="s">
        <v>1544</v>
      </c>
      <c r="B479" t="s">
        <v>184</v>
      </c>
      <c r="C479" s="10">
        <v>6</v>
      </c>
      <c r="D479" s="10">
        <v>1.75</v>
      </c>
      <c r="E479" s="10">
        <v>40</v>
      </c>
    </row>
    <row r="480" spans="1:5">
      <c r="A480" t="s">
        <v>5890</v>
      </c>
      <c r="B480" t="s">
        <v>184</v>
      </c>
      <c r="C480" s="10">
        <v>1</v>
      </c>
      <c r="D480" s="10">
        <v>3</v>
      </c>
      <c r="E480" s="10">
        <v>40</v>
      </c>
    </row>
    <row r="481" spans="1:5">
      <c r="A481" t="s">
        <v>5891</v>
      </c>
      <c r="B481" t="s">
        <v>184</v>
      </c>
      <c r="C481" s="10">
        <v>1</v>
      </c>
      <c r="D481" s="10">
        <v>3</v>
      </c>
      <c r="E481" s="10">
        <v>40</v>
      </c>
    </row>
    <row r="482" spans="1:5">
      <c r="A482" t="s">
        <v>5892</v>
      </c>
      <c r="B482" t="s">
        <v>184</v>
      </c>
      <c r="C482" s="10">
        <v>1</v>
      </c>
      <c r="D482" s="10">
        <v>6</v>
      </c>
      <c r="E482" s="10">
        <v>40</v>
      </c>
    </row>
    <row r="483" spans="1:5">
      <c r="A483" t="s">
        <v>5893</v>
      </c>
      <c r="B483" t="s">
        <v>184</v>
      </c>
      <c r="C483" s="10">
        <v>1</v>
      </c>
      <c r="D483" s="10">
        <v>6</v>
      </c>
      <c r="E483" s="10">
        <v>40</v>
      </c>
    </row>
    <row r="484" spans="1:5">
      <c r="A484" t="s">
        <v>9482</v>
      </c>
      <c r="B484" t="s">
        <v>8396</v>
      </c>
      <c r="C484" s="10">
        <v>6</v>
      </c>
      <c r="D484" s="10">
        <v>0.7</v>
      </c>
      <c r="E484" s="10">
        <v>40</v>
      </c>
    </row>
    <row r="485" spans="1:5">
      <c r="A485" t="s">
        <v>9483</v>
      </c>
      <c r="B485" t="s">
        <v>8396</v>
      </c>
      <c r="C485" s="10">
        <v>6</v>
      </c>
      <c r="D485" s="10">
        <v>1</v>
      </c>
      <c r="E485" s="10">
        <v>40</v>
      </c>
    </row>
    <row r="486" spans="1:5">
      <c r="A486" t="s">
        <v>185</v>
      </c>
      <c r="B486" t="s">
        <v>186</v>
      </c>
      <c r="C486" s="10">
        <v>6</v>
      </c>
      <c r="D486" s="10">
        <v>0.7</v>
      </c>
      <c r="E486" s="10">
        <v>40</v>
      </c>
    </row>
    <row r="487" spans="1:5">
      <c r="A487" t="s">
        <v>1420</v>
      </c>
      <c r="B487" t="s">
        <v>186</v>
      </c>
      <c r="C487" s="10">
        <v>6</v>
      </c>
      <c r="D487" s="10">
        <v>1</v>
      </c>
      <c r="E487" s="10">
        <v>40</v>
      </c>
    </row>
    <row r="488" spans="1:5">
      <c r="A488" t="s">
        <v>6900</v>
      </c>
      <c r="B488" t="s">
        <v>1422</v>
      </c>
      <c r="C488" s="10">
        <v>6</v>
      </c>
      <c r="D488" s="10">
        <v>0.7</v>
      </c>
      <c r="E488" s="10">
        <v>40</v>
      </c>
    </row>
    <row r="489" spans="1:5">
      <c r="A489" t="s">
        <v>1421</v>
      </c>
      <c r="B489" t="s">
        <v>1422</v>
      </c>
      <c r="C489" s="10">
        <v>6</v>
      </c>
      <c r="D489" s="10">
        <v>1</v>
      </c>
      <c r="E489" s="10">
        <v>40</v>
      </c>
    </row>
    <row r="490" spans="1:5">
      <c r="A490" t="s">
        <v>9484</v>
      </c>
      <c r="B490" t="s">
        <v>187</v>
      </c>
      <c r="C490" s="10">
        <v>6</v>
      </c>
      <c r="D490" s="10">
        <v>0.7</v>
      </c>
      <c r="E490" s="10">
        <v>40</v>
      </c>
    </row>
    <row r="491" spans="1:5">
      <c r="A491" t="s">
        <v>1423</v>
      </c>
      <c r="B491" t="s">
        <v>187</v>
      </c>
      <c r="C491" s="10">
        <v>6</v>
      </c>
      <c r="D491" s="10">
        <v>1</v>
      </c>
      <c r="E491" s="10">
        <v>40</v>
      </c>
    </row>
    <row r="492" spans="1:5">
      <c r="A492" t="s">
        <v>188</v>
      </c>
      <c r="B492" t="s">
        <v>189</v>
      </c>
      <c r="C492" s="10">
        <v>6</v>
      </c>
      <c r="D492" s="10">
        <v>0.7</v>
      </c>
      <c r="E492" s="10">
        <v>40</v>
      </c>
    </row>
    <row r="493" spans="1:5">
      <c r="A493" t="s">
        <v>1424</v>
      </c>
      <c r="B493" t="s">
        <v>189</v>
      </c>
      <c r="C493" s="10">
        <v>6</v>
      </c>
      <c r="D493" s="10">
        <v>1</v>
      </c>
      <c r="E493" s="10">
        <v>40</v>
      </c>
    </row>
    <row r="494" spans="1:5">
      <c r="A494" t="s">
        <v>190</v>
      </c>
      <c r="B494" t="s">
        <v>191</v>
      </c>
      <c r="C494" s="10">
        <v>6</v>
      </c>
      <c r="D494" s="10">
        <v>0.7</v>
      </c>
      <c r="E494" s="10">
        <v>40</v>
      </c>
    </row>
    <row r="495" spans="1:5">
      <c r="A495" t="s">
        <v>1996</v>
      </c>
      <c r="B495" t="s">
        <v>1997</v>
      </c>
      <c r="C495" s="10">
        <v>6</v>
      </c>
      <c r="D495" s="10">
        <v>1</v>
      </c>
      <c r="E495" s="10">
        <v>43</v>
      </c>
    </row>
    <row r="496" spans="1:5">
      <c r="A496" t="s">
        <v>5357</v>
      </c>
      <c r="B496" t="s">
        <v>5358</v>
      </c>
      <c r="C496" s="10">
        <v>6</v>
      </c>
      <c r="D496" s="10">
        <v>0.7</v>
      </c>
      <c r="E496" s="10">
        <v>43</v>
      </c>
    </row>
    <row r="497" spans="1:5">
      <c r="A497" t="s">
        <v>5164</v>
      </c>
      <c r="B497" t="s">
        <v>5165</v>
      </c>
      <c r="C497" s="10">
        <v>6</v>
      </c>
      <c r="D497" s="10">
        <v>0.7</v>
      </c>
      <c r="E497" s="10">
        <v>46</v>
      </c>
    </row>
    <row r="498" spans="1:5">
      <c r="A498" t="s">
        <v>9485</v>
      </c>
      <c r="B498" t="s">
        <v>8397</v>
      </c>
      <c r="C498" s="10">
        <v>6</v>
      </c>
      <c r="D498" s="10">
        <v>0.7</v>
      </c>
      <c r="E498" s="10">
        <v>43</v>
      </c>
    </row>
    <row r="499" spans="1:5">
      <c r="A499" t="s">
        <v>5166</v>
      </c>
      <c r="B499" t="s">
        <v>5167</v>
      </c>
      <c r="C499" s="10">
        <v>6</v>
      </c>
      <c r="D499" s="10">
        <v>0.7</v>
      </c>
      <c r="E499" s="10">
        <v>46</v>
      </c>
    </row>
    <row r="500" spans="1:5">
      <c r="A500" t="s">
        <v>9486</v>
      </c>
      <c r="B500" t="s">
        <v>8398</v>
      </c>
      <c r="C500" s="10">
        <v>6</v>
      </c>
      <c r="D500" s="10">
        <v>0.7</v>
      </c>
      <c r="E500" s="10">
        <v>46</v>
      </c>
    </row>
    <row r="501" spans="1:5">
      <c r="A501" t="s">
        <v>5359</v>
      </c>
      <c r="B501" t="s">
        <v>5360</v>
      </c>
      <c r="C501" s="10">
        <v>6</v>
      </c>
      <c r="D501" s="10">
        <v>0.7</v>
      </c>
      <c r="E501" s="10">
        <v>43</v>
      </c>
    </row>
    <row r="502" spans="1:5">
      <c r="A502" t="s">
        <v>9487</v>
      </c>
      <c r="B502" t="s">
        <v>8399</v>
      </c>
      <c r="C502" s="10">
        <v>6</v>
      </c>
      <c r="D502" s="10">
        <v>0.7</v>
      </c>
      <c r="E502" s="10">
        <v>53</v>
      </c>
    </row>
    <row r="503" spans="1:5">
      <c r="A503" t="s">
        <v>9488</v>
      </c>
      <c r="B503" t="s">
        <v>8400</v>
      </c>
      <c r="C503" s="10">
        <v>6</v>
      </c>
      <c r="D503" s="10">
        <v>0.7</v>
      </c>
      <c r="E503" s="10">
        <v>53.2</v>
      </c>
    </row>
    <row r="504" spans="1:5">
      <c r="A504" t="s">
        <v>5168</v>
      </c>
      <c r="B504" t="s">
        <v>5169</v>
      </c>
      <c r="C504" s="10">
        <v>6</v>
      </c>
      <c r="D504" s="10">
        <v>0.7</v>
      </c>
      <c r="E504" s="10">
        <v>46</v>
      </c>
    </row>
    <row r="505" spans="1:5">
      <c r="A505" t="s">
        <v>9489</v>
      </c>
      <c r="B505" t="s">
        <v>8401</v>
      </c>
      <c r="C505" s="10">
        <v>4</v>
      </c>
      <c r="D505" s="10">
        <v>0.7</v>
      </c>
      <c r="E505" s="10">
        <v>46.8</v>
      </c>
    </row>
    <row r="506" spans="1:5">
      <c r="A506" t="s">
        <v>9490</v>
      </c>
      <c r="B506" t="s">
        <v>8402</v>
      </c>
      <c r="C506" s="10">
        <v>6</v>
      </c>
      <c r="D506" s="10">
        <v>0.7</v>
      </c>
      <c r="E506" s="10">
        <v>53.7</v>
      </c>
    </row>
    <row r="507" spans="1:5">
      <c r="A507" t="s">
        <v>9491</v>
      </c>
      <c r="B507" t="s">
        <v>8403</v>
      </c>
      <c r="C507" s="10">
        <v>4</v>
      </c>
      <c r="D507" s="10">
        <v>0.7</v>
      </c>
      <c r="E507" s="10">
        <v>46</v>
      </c>
    </row>
    <row r="508" spans="1:5">
      <c r="A508" t="s">
        <v>6104</v>
      </c>
      <c r="B508" t="s">
        <v>6105</v>
      </c>
      <c r="C508" s="10">
        <v>2</v>
      </c>
      <c r="D508" s="10">
        <v>0.7</v>
      </c>
      <c r="E508" s="10">
        <v>46</v>
      </c>
    </row>
    <row r="509" spans="1:5">
      <c r="A509" t="s">
        <v>9492</v>
      </c>
      <c r="B509" t="s">
        <v>8404</v>
      </c>
      <c r="C509" s="10">
        <v>6</v>
      </c>
      <c r="D509" s="10">
        <v>0.7</v>
      </c>
      <c r="E509" s="10">
        <v>46</v>
      </c>
    </row>
    <row r="510" spans="1:5">
      <c r="A510" t="s">
        <v>1998</v>
      </c>
      <c r="B510" t="s">
        <v>1999</v>
      </c>
      <c r="C510" s="10">
        <v>6</v>
      </c>
      <c r="D510" s="10">
        <v>1</v>
      </c>
      <c r="E510" s="10">
        <v>46</v>
      </c>
    </row>
    <row r="511" spans="1:5">
      <c r="A511" t="s">
        <v>8309</v>
      </c>
      <c r="B511" t="s">
        <v>8405</v>
      </c>
      <c r="C511" s="10">
        <v>6</v>
      </c>
      <c r="D511" s="10">
        <v>1</v>
      </c>
      <c r="E511" s="10">
        <v>46</v>
      </c>
    </row>
    <row r="512" spans="1:5">
      <c r="A512" t="s">
        <v>9493</v>
      </c>
      <c r="B512" t="s">
        <v>8406</v>
      </c>
      <c r="C512" s="10">
        <v>6</v>
      </c>
      <c r="D512" s="10">
        <v>0.7</v>
      </c>
      <c r="E512" s="10">
        <v>52.8</v>
      </c>
    </row>
    <row r="513" spans="1:5">
      <c r="A513" t="s">
        <v>9494</v>
      </c>
      <c r="B513" t="s">
        <v>8407</v>
      </c>
      <c r="C513" s="10">
        <v>6</v>
      </c>
      <c r="D513" s="10">
        <v>1</v>
      </c>
      <c r="E513" s="10">
        <v>46</v>
      </c>
    </row>
    <row r="514" spans="1:5">
      <c r="A514" t="s">
        <v>5361</v>
      </c>
      <c r="B514" t="s">
        <v>5362</v>
      </c>
      <c r="C514" s="10">
        <v>6</v>
      </c>
      <c r="D514" s="10">
        <v>0.7</v>
      </c>
      <c r="E514" s="10">
        <v>43</v>
      </c>
    </row>
    <row r="515" spans="1:5">
      <c r="A515" t="s">
        <v>9495</v>
      </c>
      <c r="B515" t="s">
        <v>8408</v>
      </c>
      <c r="C515" s="10">
        <v>3</v>
      </c>
      <c r="D515" s="10">
        <v>0.7</v>
      </c>
      <c r="E515" s="10">
        <v>43</v>
      </c>
    </row>
    <row r="516" spans="1:5">
      <c r="A516" t="s">
        <v>9496</v>
      </c>
      <c r="B516" t="s">
        <v>8409</v>
      </c>
      <c r="C516" s="10">
        <v>6</v>
      </c>
      <c r="D516" s="10">
        <v>0.7</v>
      </c>
      <c r="E516" s="10">
        <v>46</v>
      </c>
    </row>
    <row r="517" spans="1:5">
      <c r="A517" t="s">
        <v>5363</v>
      </c>
      <c r="B517" t="s">
        <v>5364</v>
      </c>
      <c r="C517" s="10">
        <v>6</v>
      </c>
      <c r="D517" s="10">
        <v>0.7</v>
      </c>
      <c r="E517" s="10">
        <v>43</v>
      </c>
    </row>
    <row r="518" spans="1:5">
      <c r="A518" t="s">
        <v>3401</v>
      </c>
      <c r="B518" t="s">
        <v>2001</v>
      </c>
      <c r="C518" s="10">
        <v>6</v>
      </c>
      <c r="D518" s="10">
        <v>0.7</v>
      </c>
      <c r="E518" s="10">
        <v>18</v>
      </c>
    </row>
    <row r="519" spans="1:5">
      <c r="A519" t="s">
        <v>3402</v>
      </c>
      <c r="B519" t="s">
        <v>2001</v>
      </c>
      <c r="C519" s="10">
        <v>6</v>
      </c>
      <c r="D519" s="10">
        <v>0.7</v>
      </c>
      <c r="E519" s="10">
        <v>18</v>
      </c>
    </row>
    <row r="520" spans="1:5">
      <c r="A520" t="s">
        <v>2000</v>
      </c>
      <c r="B520" t="s">
        <v>2001</v>
      </c>
      <c r="C520" s="10">
        <v>6</v>
      </c>
      <c r="D520" s="10">
        <v>1</v>
      </c>
      <c r="E520" s="10">
        <v>18</v>
      </c>
    </row>
    <row r="521" spans="1:5">
      <c r="A521" t="s">
        <v>6593</v>
      </c>
      <c r="B521" t="s">
        <v>6594</v>
      </c>
      <c r="C521" s="10">
        <v>12</v>
      </c>
      <c r="D521" s="10">
        <v>0.2</v>
      </c>
      <c r="E521" s="10">
        <v>18</v>
      </c>
    </row>
    <row r="522" spans="1:5">
      <c r="A522" t="s">
        <v>3403</v>
      </c>
      <c r="B522" t="s">
        <v>3404</v>
      </c>
      <c r="C522" s="10">
        <v>6</v>
      </c>
      <c r="D522" s="10">
        <v>0.7</v>
      </c>
      <c r="E522" s="10">
        <v>17</v>
      </c>
    </row>
    <row r="523" spans="1:5">
      <c r="A523" t="s">
        <v>9497</v>
      </c>
      <c r="B523" t="s">
        <v>8410</v>
      </c>
      <c r="C523" s="10">
        <v>6</v>
      </c>
      <c r="D523" s="10">
        <v>0.7</v>
      </c>
      <c r="E523" s="10">
        <v>15</v>
      </c>
    </row>
    <row r="524" spans="1:5">
      <c r="A524" t="s">
        <v>3405</v>
      </c>
      <c r="B524" t="s">
        <v>3406</v>
      </c>
      <c r="C524" s="10">
        <v>6</v>
      </c>
      <c r="D524" s="10">
        <v>0.7</v>
      </c>
      <c r="E524" s="10">
        <v>18</v>
      </c>
    </row>
    <row r="525" spans="1:5">
      <c r="A525" t="s">
        <v>9498</v>
      </c>
      <c r="B525" t="s">
        <v>8411</v>
      </c>
      <c r="C525" s="10">
        <v>6</v>
      </c>
      <c r="D525" s="10">
        <v>0.7</v>
      </c>
      <c r="E525" s="10">
        <v>17</v>
      </c>
    </row>
    <row r="526" spans="1:5">
      <c r="A526" t="s">
        <v>3407</v>
      </c>
      <c r="B526" t="s">
        <v>3408</v>
      </c>
      <c r="C526" s="10">
        <v>6</v>
      </c>
      <c r="D526" s="10">
        <v>0.7</v>
      </c>
      <c r="E526" s="10">
        <v>15</v>
      </c>
    </row>
    <row r="527" spans="1:5">
      <c r="A527" t="s">
        <v>3409</v>
      </c>
      <c r="B527" t="s">
        <v>3410</v>
      </c>
      <c r="C527" s="10">
        <v>6</v>
      </c>
      <c r="D527" s="10">
        <v>0.7</v>
      </c>
      <c r="E527" s="10">
        <v>15</v>
      </c>
    </row>
    <row r="528" spans="1:5">
      <c r="A528" t="s">
        <v>3411</v>
      </c>
      <c r="B528" t="s">
        <v>3412</v>
      </c>
      <c r="C528" s="10">
        <v>6</v>
      </c>
      <c r="D528" s="10">
        <v>0.7</v>
      </c>
      <c r="E528" s="10">
        <v>15</v>
      </c>
    </row>
    <row r="529" spans="1:5">
      <c r="A529" t="s">
        <v>3413</v>
      </c>
      <c r="B529" t="s">
        <v>3414</v>
      </c>
      <c r="C529" s="10">
        <v>6</v>
      </c>
      <c r="D529" s="10">
        <v>0.7</v>
      </c>
      <c r="E529" s="10">
        <v>16</v>
      </c>
    </row>
    <row r="530" spans="1:5">
      <c r="A530" t="s">
        <v>9499</v>
      </c>
      <c r="B530" t="s">
        <v>3414</v>
      </c>
      <c r="C530" s="10">
        <v>6</v>
      </c>
      <c r="D530" s="10">
        <v>1</v>
      </c>
      <c r="E530" s="10">
        <v>16</v>
      </c>
    </row>
    <row r="531" spans="1:5">
      <c r="A531" t="s">
        <v>3415</v>
      </c>
      <c r="B531" t="s">
        <v>3416</v>
      </c>
      <c r="C531" s="10">
        <v>6</v>
      </c>
      <c r="D531" s="10">
        <v>0.7</v>
      </c>
      <c r="E531" s="10">
        <v>32</v>
      </c>
    </row>
    <row r="532" spans="1:5">
      <c r="A532" t="s">
        <v>3417</v>
      </c>
      <c r="B532" t="s">
        <v>3418</v>
      </c>
      <c r="C532" s="10">
        <v>6</v>
      </c>
      <c r="D532" s="10">
        <v>0.7</v>
      </c>
      <c r="E532" s="10">
        <v>16</v>
      </c>
    </row>
    <row r="533" spans="1:5">
      <c r="A533" t="s">
        <v>3419</v>
      </c>
      <c r="B533" t="s">
        <v>3420</v>
      </c>
      <c r="C533" s="10">
        <v>6</v>
      </c>
      <c r="D533" s="10">
        <v>0.7</v>
      </c>
      <c r="E533" s="10">
        <v>15</v>
      </c>
    </row>
    <row r="534" spans="1:5">
      <c r="A534" t="s">
        <v>3421</v>
      </c>
      <c r="B534" t="s">
        <v>3422</v>
      </c>
      <c r="C534" s="10">
        <v>6</v>
      </c>
      <c r="D534" s="10">
        <v>0.7</v>
      </c>
      <c r="E534" s="10">
        <v>17</v>
      </c>
    </row>
    <row r="535" spans="1:5">
      <c r="A535" t="s">
        <v>3423</v>
      </c>
      <c r="B535" t="s">
        <v>3424</v>
      </c>
      <c r="C535" s="10">
        <v>6</v>
      </c>
      <c r="D535" s="10">
        <v>0.7</v>
      </c>
      <c r="E535" s="10">
        <v>16</v>
      </c>
    </row>
    <row r="536" spans="1:5">
      <c r="A536" t="s">
        <v>3425</v>
      </c>
      <c r="B536" t="s">
        <v>3426</v>
      </c>
      <c r="C536" s="10">
        <v>6</v>
      </c>
      <c r="D536" s="10">
        <v>0.7</v>
      </c>
      <c r="E536" s="10">
        <v>43.3</v>
      </c>
    </row>
    <row r="537" spans="1:5">
      <c r="A537" t="s">
        <v>3427</v>
      </c>
      <c r="B537" t="s">
        <v>3428</v>
      </c>
      <c r="C537" s="10">
        <v>6</v>
      </c>
      <c r="D537" s="10">
        <v>0.7</v>
      </c>
      <c r="E537" s="10">
        <v>18</v>
      </c>
    </row>
    <row r="538" spans="1:5">
      <c r="A538" t="s">
        <v>9500</v>
      </c>
      <c r="B538" t="s">
        <v>8412</v>
      </c>
      <c r="C538" s="10">
        <v>6</v>
      </c>
      <c r="D538" s="10">
        <v>0.7</v>
      </c>
      <c r="E538" s="10">
        <v>18</v>
      </c>
    </row>
    <row r="539" spans="1:5">
      <c r="A539" t="s">
        <v>3429</v>
      </c>
      <c r="B539" t="s">
        <v>3430</v>
      </c>
      <c r="C539" s="10">
        <v>6</v>
      </c>
      <c r="D539" s="10">
        <v>0.7</v>
      </c>
      <c r="E539" s="10">
        <v>18</v>
      </c>
    </row>
    <row r="540" spans="1:5">
      <c r="A540" t="s">
        <v>3431</v>
      </c>
      <c r="B540" t="s">
        <v>2003</v>
      </c>
      <c r="C540" s="10">
        <v>6</v>
      </c>
      <c r="D540" s="10">
        <v>0.7</v>
      </c>
      <c r="E540" s="10">
        <v>18</v>
      </c>
    </row>
    <row r="541" spans="1:5">
      <c r="A541" t="s">
        <v>2002</v>
      </c>
      <c r="B541" t="s">
        <v>2003</v>
      </c>
      <c r="C541" s="10">
        <v>6</v>
      </c>
      <c r="D541" s="10">
        <v>1</v>
      </c>
      <c r="E541" s="10">
        <v>18</v>
      </c>
    </row>
    <row r="542" spans="1:5">
      <c r="A542" t="s">
        <v>9501</v>
      </c>
      <c r="B542" t="s">
        <v>8413</v>
      </c>
      <c r="C542" s="10">
        <v>6</v>
      </c>
      <c r="D542" s="10">
        <v>0.75</v>
      </c>
      <c r="E542" s="10">
        <v>19</v>
      </c>
    </row>
    <row r="543" spans="1:5">
      <c r="A543" t="s">
        <v>2466</v>
      </c>
      <c r="B543" t="s">
        <v>2467</v>
      </c>
      <c r="C543" s="10">
        <v>6</v>
      </c>
      <c r="D543" s="10">
        <v>0.75</v>
      </c>
      <c r="E543" s="10">
        <v>18</v>
      </c>
    </row>
    <row r="544" spans="1:5">
      <c r="A544" t="s">
        <v>2468</v>
      </c>
      <c r="B544" t="s">
        <v>2469</v>
      </c>
      <c r="C544" s="10">
        <v>6</v>
      </c>
      <c r="D544" s="10">
        <v>0.75</v>
      </c>
      <c r="E544" s="10">
        <v>17</v>
      </c>
    </row>
    <row r="545" spans="1:5">
      <c r="A545" t="s">
        <v>9502</v>
      </c>
      <c r="B545" t="s">
        <v>8414</v>
      </c>
      <c r="C545" s="10">
        <v>1</v>
      </c>
      <c r="D545" s="10">
        <v>0.75</v>
      </c>
      <c r="E545" s="10">
        <v>12.5</v>
      </c>
    </row>
    <row r="546" spans="1:5">
      <c r="A546" t="s">
        <v>3432</v>
      </c>
      <c r="B546" t="s">
        <v>3433</v>
      </c>
      <c r="C546" s="10">
        <v>6</v>
      </c>
      <c r="D546" s="10">
        <v>0.7</v>
      </c>
      <c r="E546" s="10">
        <v>18</v>
      </c>
    </row>
    <row r="547" spans="1:5">
      <c r="A547" t="s">
        <v>6595</v>
      </c>
      <c r="B547" t="s">
        <v>4728</v>
      </c>
      <c r="C547" s="10">
        <v>12</v>
      </c>
      <c r="D547" s="10">
        <v>0.35</v>
      </c>
      <c r="E547" s="10">
        <v>45</v>
      </c>
    </row>
    <row r="548" spans="1:5">
      <c r="A548" t="s">
        <v>6596</v>
      </c>
      <c r="B548" t="s">
        <v>4728</v>
      </c>
      <c r="C548" s="10">
        <v>12</v>
      </c>
      <c r="D548" s="10">
        <v>0.5</v>
      </c>
      <c r="E548" s="10">
        <v>45</v>
      </c>
    </row>
    <row r="549" spans="1:5">
      <c r="A549" t="s">
        <v>4727</v>
      </c>
      <c r="B549" t="s">
        <v>4728</v>
      </c>
      <c r="C549" s="10">
        <v>6</v>
      </c>
      <c r="D549" s="10">
        <v>0.7</v>
      </c>
      <c r="E549" s="10">
        <v>45</v>
      </c>
    </row>
    <row r="550" spans="1:5">
      <c r="A550" t="s">
        <v>3434</v>
      </c>
      <c r="B550" t="s">
        <v>3435</v>
      </c>
      <c r="C550" s="10">
        <v>6</v>
      </c>
      <c r="D550" s="10">
        <v>0.7</v>
      </c>
      <c r="E550" s="10">
        <v>15</v>
      </c>
    </row>
    <row r="551" spans="1:5">
      <c r="A551" t="s">
        <v>9503</v>
      </c>
      <c r="B551" t="s">
        <v>8415</v>
      </c>
      <c r="C551" s="10">
        <v>6</v>
      </c>
      <c r="D551" s="10">
        <v>0.75</v>
      </c>
      <c r="E551" s="10">
        <v>12</v>
      </c>
    </row>
    <row r="552" spans="1:5">
      <c r="A552" t="s">
        <v>6106</v>
      </c>
      <c r="B552" t="s">
        <v>6107</v>
      </c>
      <c r="C552" s="10">
        <v>24</v>
      </c>
      <c r="D552" s="10">
        <v>0.33</v>
      </c>
      <c r="E552" s="10">
        <v>4.5999999999999996</v>
      </c>
    </row>
    <row r="553" spans="1:5">
      <c r="A553" t="s">
        <v>6108</v>
      </c>
      <c r="B553" t="s">
        <v>6109</v>
      </c>
      <c r="C553" s="10">
        <v>24</v>
      </c>
      <c r="D553" s="10">
        <v>0.33</v>
      </c>
      <c r="E553" s="10">
        <v>7.2</v>
      </c>
    </row>
    <row r="554" spans="1:5">
      <c r="A554" t="s">
        <v>6110</v>
      </c>
      <c r="B554" t="s">
        <v>6109</v>
      </c>
      <c r="C554" s="10">
        <v>24</v>
      </c>
      <c r="D554" s="10">
        <v>0.33</v>
      </c>
      <c r="E554" s="10">
        <v>7.2</v>
      </c>
    </row>
    <row r="555" spans="1:5">
      <c r="A555" t="s">
        <v>6597</v>
      </c>
      <c r="B555" t="s">
        <v>6598</v>
      </c>
      <c r="C555" s="10">
        <v>12</v>
      </c>
      <c r="D555" s="10">
        <v>0.5</v>
      </c>
      <c r="E555" s="10">
        <v>22</v>
      </c>
    </row>
    <row r="556" spans="1:5">
      <c r="A556" t="s">
        <v>6599</v>
      </c>
      <c r="B556" t="s">
        <v>6600</v>
      </c>
      <c r="C556" s="10">
        <v>12</v>
      </c>
      <c r="D556" s="10">
        <v>0.2</v>
      </c>
      <c r="E556" s="10">
        <v>39</v>
      </c>
    </row>
    <row r="557" spans="1:5">
      <c r="A557" t="s">
        <v>6601</v>
      </c>
      <c r="B557" t="s">
        <v>6602</v>
      </c>
      <c r="C557" s="10">
        <v>12</v>
      </c>
      <c r="D557" s="10">
        <v>0.2</v>
      </c>
      <c r="E557" s="10">
        <v>44</v>
      </c>
    </row>
    <row r="558" spans="1:5">
      <c r="A558" t="s">
        <v>6603</v>
      </c>
      <c r="B558" t="s">
        <v>6604</v>
      </c>
      <c r="C558" s="10">
        <v>12</v>
      </c>
      <c r="D558" s="10">
        <v>0.2</v>
      </c>
      <c r="E558" s="10">
        <v>44</v>
      </c>
    </row>
    <row r="559" spans="1:5">
      <c r="A559" t="s">
        <v>6605</v>
      </c>
      <c r="B559" t="s">
        <v>6606</v>
      </c>
      <c r="C559" s="10">
        <v>12</v>
      </c>
      <c r="D559" s="10">
        <v>0.2</v>
      </c>
      <c r="E559" s="10">
        <v>39</v>
      </c>
    </row>
    <row r="560" spans="1:5">
      <c r="A560" t="s">
        <v>9504</v>
      </c>
      <c r="B560" t="s">
        <v>8416</v>
      </c>
      <c r="C560" s="10">
        <v>12</v>
      </c>
      <c r="D560" s="10">
        <v>0.5</v>
      </c>
      <c r="E560" s="10">
        <v>22</v>
      </c>
    </row>
    <row r="561" spans="1:5">
      <c r="A561" t="s">
        <v>6607</v>
      </c>
      <c r="B561" t="s">
        <v>6608</v>
      </c>
      <c r="C561" s="10">
        <v>12</v>
      </c>
      <c r="D561" s="10">
        <v>0.5</v>
      </c>
      <c r="E561" s="10">
        <v>18</v>
      </c>
    </row>
    <row r="562" spans="1:5">
      <c r="A562" t="s">
        <v>6609</v>
      </c>
      <c r="B562" t="s">
        <v>6610</v>
      </c>
      <c r="C562" s="10">
        <v>12</v>
      </c>
      <c r="D562" s="10">
        <v>0.2</v>
      </c>
      <c r="E562" s="10">
        <v>44</v>
      </c>
    </row>
    <row r="563" spans="1:5">
      <c r="A563" t="s">
        <v>6611</v>
      </c>
      <c r="B563" t="s">
        <v>6612</v>
      </c>
      <c r="C563" s="10">
        <v>12</v>
      </c>
      <c r="D563" s="10">
        <v>0.2</v>
      </c>
      <c r="E563" s="10">
        <v>39</v>
      </c>
    </row>
    <row r="564" spans="1:5">
      <c r="A564" t="s">
        <v>6613</v>
      </c>
      <c r="B564" t="s">
        <v>6614</v>
      </c>
      <c r="C564" s="10">
        <v>12</v>
      </c>
      <c r="D564" s="10">
        <v>0.2</v>
      </c>
      <c r="E564" s="10">
        <v>39</v>
      </c>
    </row>
    <row r="565" spans="1:5">
      <c r="A565" t="s">
        <v>6615</v>
      </c>
      <c r="B565" t="s">
        <v>6616</v>
      </c>
      <c r="C565" s="10">
        <v>12</v>
      </c>
      <c r="D565" s="10">
        <v>0.2</v>
      </c>
      <c r="E565" s="10">
        <v>39</v>
      </c>
    </row>
    <row r="566" spans="1:5">
      <c r="A566" t="s">
        <v>6617</v>
      </c>
      <c r="B566" t="s">
        <v>6618</v>
      </c>
      <c r="C566" s="10">
        <v>12</v>
      </c>
      <c r="D566" s="10">
        <v>0.5</v>
      </c>
      <c r="E566" s="10">
        <v>22</v>
      </c>
    </row>
    <row r="567" spans="1:5">
      <c r="A567" t="s">
        <v>6619</v>
      </c>
      <c r="B567" t="s">
        <v>6620</v>
      </c>
      <c r="C567" s="10">
        <v>12</v>
      </c>
      <c r="D567" s="10">
        <v>0.5</v>
      </c>
      <c r="E567" s="10">
        <v>22</v>
      </c>
    </row>
    <row r="568" spans="1:5">
      <c r="A568" t="s">
        <v>192</v>
      </c>
      <c r="B568" t="s">
        <v>193</v>
      </c>
      <c r="C568" s="10">
        <v>6</v>
      </c>
      <c r="D568" s="10">
        <v>0.7</v>
      </c>
      <c r="E568" s="10">
        <v>40</v>
      </c>
    </row>
    <row r="569" spans="1:5">
      <c r="A569" t="s">
        <v>1425</v>
      </c>
      <c r="B569" t="s">
        <v>193</v>
      </c>
      <c r="C569" s="10">
        <v>6</v>
      </c>
      <c r="D569" s="10">
        <v>1</v>
      </c>
      <c r="E569" s="10">
        <v>40</v>
      </c>
    </row>
    <row r="570" spans="1:5">
      <c r="A570" t="s">
        <v>5679</v>
      </c>
      <c r="B570" t="s">
        <v>193</v>
      </c>
      <c r="C570" s="10">
        <v>12</v>
      </c>
      <c r="D570" s="10">
        <v>1</v>
      </c>
      <c r="E570" s="10">
        <v>40</v>
      </c>
    </row>
    <row r="571" spans="1:5">
      <c r="A571" t="s">
        <v>194</v>
      </c>
      <c r="B571" t="s">
        <v>195</v>
      </c>
      <c r="C571" s="10">
        <v>6</v>
      </c>
      <c r="D571" s="10">
        <v>0.7</v>
      </c>
      <c r="E571" s="10">
        <v>40</v>
      </c>
    </row>
    <row r="572" spans="1:5">
      <c r="A572" t="s">
        <v>196</v>
      </c>
      <c r="B572" t="s">
        <v>197</v>
      </c>
      <c r="C572" s="10">
        <v>6</v>
      </c>
      <c r="D572" s="10">
        <v>0.7</v>
      </c>
      <c r="E572" s="10">
        <v>40</v>
      </c>
    </row>
    <row r="573" spans="1:5">
      <c r="A573" t="s">
        <v>3436</v>
      </c>
      <c r="B573" t="s">
        <v>3437</v>
      </c>
      <c r="C573" s="10">
        <v>6</v>
      </c>
      <c r="D573" s="10">
        <v>0.7</v>
      </c>
      <c r="E573" s="10">
        <v>46.3</v>
      </c>
    </row>
    <row r="574" spans="1:5">
      <c r="A574" t="s">
        <v>3438</v>
      </c>
      <c r="B574" t="s">
        <v>3439</v>
      </c>
      <c r="C574" s="10">
        <v>6</v>
      </c>
      <c r="D574" s="10">
        <v>0.7</v>
      </c>
      <c r="E574" s="10">
        <v>46.3</v>
      </c>
    </row>
    <row r="575" spans="1:5">
      <c r="A575" t="s">
        <v>9505</v>
      </c>
      <c r="B575" t="s">
        <v>8417</v>
      </c>
      <c r="C575" s="10">
        <v>6</v>
      </c>
      <c r="D575" s="10">
        <v>0.7</v>
      </c>
      <c r="E575" s="10">
        <v>46.3</v>
      </c>
    </row>
    <row r="576" spans="1:5">
      <c r="A576" t="s">
        <v>9506</v>
      </c>
      <c r="B576" t="s">
        <v>8418</v>
      </c>
      <c r="C576" s="10">
        <v>6</v>
      </c>
      <c r="D576" s="10">
        <v>0.7</v>
      </c>
      <c r="E576" s="10">
        <v>50</v>
      </c>
    </row>
    <row r="577" spans="1:5">
      <c r="A577" t="s">
        <v>3440</v>
      </c>
      <c r="B577" t="s">
        <v>3441</v>
      </c>
      <c r="C577" s="10">
        <v>6</v>
      </c>
      <c r="D577" s="10">
        <v>0.7</v>
      </c>
      <c r="E577" s="10">
        <v>50</v>
      </c>
    </row>
    <row r="578" spans="1:5">
      <c r="A578" t="s">
        <v>9507</v>
      </c>
      <c r="B578" t="s">
        <v>8419</v>
      </c>
      <c r="C578" s="10">
        <v>6</v>
      </c>
      <c r="D578" s="10">
        <v>0.7</v>
      </c>
      <c r="E578" s="10">
        <v>50</v>
      </c>
    </row>
    <row r="579" spans="1:5">
      <c r="A579" t="s">
        <v>3442</v>
      </c>
      <c r="B579" t="s">
        <v>3443</v>
      </c>
      <c r="C579" s="10">
        <v>6</v>
      </c>
      <c r="D579" s="10">
        <v>0.7</v>
      </c>
      <c r="E579" s="10">
        <v>50</v>
      </c>
    </row>
    <row r="580" spans="1:5">
      <c r="A580" t="s">
        <v>3444</v>
      </c>
      <c r="B580" t="s">
        <v>3445</v>
      </c>
      <c r="C580" s="10">
        <v>6</v>
      </c>
      <c r="D580" s="10">
        <v>0.7</v>
      </c>
      <c r="E580" s="10">
        <v>50</v>
      </c>
    </row>
    <row r="581" spans="1:5">
      <c r="A581" t="s">
        <v>3446</v>
      </c>
      <c r="B581" t="s">
        <v>3447</v>
      </c>
      <c r="C581" s="10">
        <v>6</v>
      </c>
      <c r="D581" s="10">
        <v>0.7</v>
      </c>
      <c r="E581" s="10">
        <v>50</v>
      </c>
    </row>
    <row r="582" spans="1:5">
      <c r="A582" t="s">
        <v>3448</v>
      </c>
      <c r="B582" t="s">
        <v>3449</v>
      </c>
      <c r="C582" s="10">
        <v>6</v>
      </c>
      <c r="D582" s="10">
        <v>0.7</v>
      </c>
      <c r="E582" s="10">
        <v>50</v>
      </c>
    </row>
    <row r="583" spans="1:5">
      <c r="A583" t="s">
        <v>9508</v>
      </c>
      <c r="B583" t="s">
        <v>8420</v>
      </c>
      <c r="C583" s="10">
        <v>6</v>
      </c>
      <c r="D583" s="10">
        <v>0.7</v>
      </c>
      <c r="E583" s="10">
        <v>50</v>
      </c>
    </row>
    <row r="584" spans="1:5">
      <c r="A584" t="s">
        <v>198</v>
      </c>
      <c r="B584" t="s">
        <v>199</v>
      </c>
      <c r="C584" s="10">
        <v>6</v>
      </c>
      <c r="D584" s="10">
        <v>0.7</v>
      </c>
      <c r="E584" s="10">
        <v>40</v>
      </c>
    </row>
    <row r="585" spans="1:5">
      <c r="A585" t="s">
        <v>200</v>
      </c>
      <c r="B585" t="s">
        <v>201</v>
      </c>
      <c r="C585" s="10">
        <v>6</v>
      </c>
      <c r="D585" s="10">
        <v>0.7</v>
      </c>
      <c r="E585" s="10">
        <v>40</v>
      </c>
    </row>
    <row r="586" spans="1:5">
      <c r="A586" t="s">
        <v>202</v>
      </c>
      <c r="B586" t="s">
        <v>203</v>
      </c>
      <c r="C586" s="10">
        <v>6</v>
      </c>
      <c r="D586" s="10">
        <v>0.7</v>
      </c>
      <c r="E586" s="10">
        <v>40</v>
      </c>
    </row>
    <row r="587" spans="1:5">
      <c r="A587" t="s">
        <v>3450</v>
      </c>
      <c r="B587" t="s">
        <v>3451</v>
      </c>
      <c r="C587" s="10">
        <v>6</v>
      </c>
      <c r="D587" s="10">
        <v>0.7</v>
      </c>
      <c r="E587" s="10">
        <v>35</v>
      </c>
    </row>
    <row r="588" spans="1:5">
      <c r="A588" t="s">
        <v>204</v>
      </c>
      <c r="B588" t="s">
        <v>205</v>
      </c>
      <c r="C588" s="10">
        <v>6</v>
      </c>
      <c r="D588" s="10">
        <v>0.7</v>
      </c>
      <c r="E588" s="10">
        <v>40</v>
      </c>
    </row>
    <row r="589" spans="1:5">
      <c r="A589" t="s">
        <v>6111</v>
      </c>
      <c r="B589" t="s">
        <v>1643</v>
      </c>
      <c r="C589" s="10">
        <v>144</v>
      </c>
      <c r="D589" s="10">
        <v>0.05</v>
      </c>
      <c r="E589" s="10">
        <v>42.3</v>
      </c>
    </row>
    <row r="590" spans="1:5">
      <c r="A590" t="s">
        <v>1715</v>
      </c>
      <c r="B590" t="s">
        <v>1643</v>
      </c>
      <c r="C590" s="10">
        <v>6</v>
      </c>
      <c r="D590" s="10">
        <v>0.5</v>
      </c>
      <c r="E590" s="10">
        <v>42.3</v>
      </c>
    </row>
    <row r="591" spans="1:5">
      <c r="A591" t="s">
        <v>1642</v>
      </c>
      <c r="B591" t="s">
        <v>1643</v>
      </c>
      <c r="C591" s="10">
        <v>6</v>
      </c>
      <c r="D591" s="10">
        <v>375</v>
      </c>
      <c r="E591" s="10">
        <v>42.3</v>
      </c>
    </row>
    <row r="592" spans="1:5">
      <c r="A592" t="s">
        <v>206</v>
      </c>
      <c r="B592" t="s">
        <v>207</v>
      </c>
      <c r="C592" s="10">
        <v>6</v>
      </c>
      <c r="D592" s="10">
        <v>0.7</v>
      </c>
      <c r="E592" s="10">
        <v>40</v>
      </c>
    </row>
    <row r="593" spans="1:5">
      <c r="A593" t="s">
        <v>5680</v>
      </c>
      <c r="B593" t="s">
        <v>207</v>
      </c>
      <c r="C593" s="10">
        <v>12</v>
      </c>
      <c r="D593" s="10">
        <v>1</v>
      </c>
      <c r="E593" s="10">
        <v>40</v>
      </c>
    </row>
    <row r="594" spans="1:5">
      <c r="A594" t="s">
        <v>5682</v>
      </c>
      <c r="B594" t="s">
        <v>5681</v>
      </c>
      <c r="C594" s="10">
        <v>12</v>
      </c>
      <c r="D594" s="10">
        <v>1</v>
      </c>
      <c r="E594" s="10">
        <v>40</v>
      </c>
    </row>
    <row r="595" spans="1:5">
      <c r="A595" t="s">
        <v>9509</v>
      </c>
      <c r="B595" t="s">
        <v>2004</v>
      </c>
      <c r="C595" s="10">
        <v>6</v>
      </c>
      <c r="D595" s="10">
        <v>1</v>
      </c>
      <c r="E595" s="10">
        <v>35</v>
      </c>
    </row>
    <row r="596" spans="1:5">
      <c r="A596" t="s">
        <v>6810</v>
      </c>
      <c r="B596" t="s">
        <v>2004</v>
      </c>
      <c r="C596" s="10">
        <v>12</v>
      </c>
      <c r="D596" s="10">
        <v>1</v>
      </c>
      <c r="E596" s="10">
        <v>35</v>
      </c>
    </row>
    <row r="597" spans="1:5">
      <c r="A597" t="s">
        <v>208</v>
      </c>
      <c r="B597" t="s">
        <v>209</v>
      </c>
      <c r="C597" s="10">
        <v>6</v>
      </c>
      <c r="D597" s="10">
        <v>0.7</v>
      </c>
      <c r="E597" s="10">
        <v>40</v>
      </c>
    </row>
    <row r="598" spans="1:5">
      <c r="A598" t="s">
        <v>210</v>
      </c>
      <c r="B598" t="s">
        <v>211</v>
      </c>
      <c r="C598" s="10">
        <v>6</v>
      </c>
      <c r="D598" s="10">
        <v>0.7</v>
      </c>
      <c r="E598" s="10">
        <v>40</v>
      </c>
    </row>
    <row r="599" spans="1:5">
      <c r="A599" t="s">
        <v>9510</v>
      </c>
      <c r="B599" t="s">
        <v>8421</v>
      </c>
      <c r="C599" s="10">
        <v>6</v>
      </c>
      <c r="D599" s="10">
        <v>0.7</v>
      </c>
      <c r="E599" s="10">
        <v>60</v>
      </c>
    </row>
    <row r="600" spans="1:5">
      <c r="A600" t="s">
        <v>9511</v>
      </c>
      <c r="B600" t="s">
        <v>8422</v>
      </c>
      <c r="C600" s="10">
        <v>6</v>
      </c>
      <c r="D600" s="10">
        <v>0.7</v>
      </c>
      <c r="E600" s="10">
        <v>40</v>
      </c>
    </row>
    <row r="601" spans="1:5">
      <c r="A601" t="s">
        <v>3452</v>
      </c>
      <c r="B601" t="s">
        <v>3453</v>
      </c>
      <c r="C601" s="10">
        <v>6</v>
      </c>
      <c r="D601" s="10">
        <v>0.7</v>
      </c>
      <c r="E601" s="10">
        <v>60</v>
      </c>
    </row>
    <row r="602" spans="1:5">
      <c r="A602" t="s">
        <v>9512</v>
      </c>
      <c r="B602" t="s">
        <v>8423</v>
      </c>
      <c r="C602" s="10">
        <v>6</v>
      </c>
      <c r="D602" s="10">
        <v>0.7</v>
      </c>
      <c r="E602" s="10">
        <v>46.7</v>
      </c>
    </row>
    <row r="603" spans="1:5">
      <c r="A603" t="s">
        <v>9513</v>
      </c>
      <c r="B603" t="s">
        <v>8424</v>
      </c>
      <c r="C603" s="10">
        <v>6</v>
      </c>
      <c r="D603" s="10">
        <v>0.7</v>
      </c>
      <c r="E603" s="10">
        <v>40</v>
      </c>
    </row>
    <row r="604" spans="1:5">
      <c r="A604" t="s">
        <v>9514</v>
      </c>
      <c r="B604" t="s">
        <v>8425</v>
      </c>
      <c r="C604" s="10">
        <v>6</v>
      </c>
      <c r="D604" s="10">
        <v>0.7</v>
      </c>
      <c r="E604" s="10">
        <v>46.7</v>
      </c>
    </row>
    <row r="605" spans="1:5">
      <c r="A605" t="s">
        <v>5365</v>
      </c>
      <c r="B605" t="s">
        <v>5366</v>
      </c>
      <c r="C605" s="10">
        <v>6</v>
      </c>
      <c r="D605" s="10">
        <v>0.7</v>
      </c>
      <c r="E605" s="10">
        <v>43</v>
      </c>
    </row>
    <row r="606" spans="1:5">
      <c r="A606" t="s">
        <v>9515</v>
      </c>
      <c r="B606" t="s">
        <v>8426</v>
      </c>
      <c r="C606" s="10">
        <v>6</v>
      </c>
      <c r="D606" s="10">
        <v>0.7</v>
      </c>
      <c r="E606" s="10">
        <v>58.4</v>
      </c>
    </row>
    <row r="607" spans="1:5">
      <c r="A607" t="s">
        <v>2005</v>
      </c>
      <c r="B607" t="s">
        <v>2006</v>
      </c>
      <c r="C607" s="10">
        <v>6</v>
      </c>
      <c r="D607" s="10">
        <v>1</v>
      </c>
      <c r="E607" s="10">
        <v>38</v>
      </c>
    </row>
    <row r="608" spans="1:5">
      <c r="A608" t="s">
        <v>3454</v>
      </c>
      <c r="B608" t="s">
        <v>3455</v>
      </c>
      <c r="C608" s="10">
        <v>6</v>
      </c>
      <c r="D608" s="10">
        <v>0.7</v>
      </c>
      <c r="E608" s="10">
        <v>46.5</v>
      </c>
    </row>
    <row r="609" spans="1:5">
      <c r="A609" t="s">
        <v>212</v>
      </c>
      <c r="B609" t="s">
        <v>213</v>
      </c>
      <c r="C609" s="10">
        <v>6</v>
      </c>
      <c r="D609" s="10">
        <v>0.7</v>
      </c>
      <c r="E609" s="10">
        <v>40</v>
      </c>
    </row>
    <row r="610" spans="1:5">
      <c r="A610" t="s">
        <v>214</v>
      </c>
      <c r="B610" t="s">
        <v>215</v>
      </c>
      <c r="C610" s="10">
        <v>6</v>
      </c>
      <c r="D610" s="10">
        <v>0.7</v>
      </c>
      <c r="E610" s="10">
        <v>40</v>
      </c>
    </row>
    <row r="611" spans="1:5">
      <c r="A611" t="s">
        <v>1426</v>
      </c>
      <c r="B611" t="s">
        <v>215</v>
      </c>
      <c r="C611" s="10">
        <v>6</v>
      </c>
      <c r="D611" s="10">
        <v>1</v>
      </c>
      <c r="E611" s="10">
        <v>40</v>
      </c>
    </row>
    <row r="612" spans="1:5">
      <c r="A612" t="s">
        <v>216</v>
      </c>
      <c r="B612" t="s">
        <v>217</v>
      </c>
      <c r="C612" s="10">
        <v>6</v>
      </c>
      <c r="D612" s="10">
        <v>0.7</v>
      </c>
      <c r="E612" s="10">
        <v>40</v>
      </c>
    </row>
    <row r="613" spans="1:5">
      <c r="A613" t="s">
        <v>5367</v>
      </c>
      <c r="B613" t="s">
        <v>5368</v>
      </c>
      <c r="C613" s="10">
        <v>6</v>
      </c>
      <c r="D613" s="10">
        <v>0.7</v>
      </c>
      <c r="E613" s="10">
        <v>43</v>
      </c>
    </row>
    <row r="614" spans="1:5">
      <c r="A614" t="s">
        <v>9516</v>
      </c>
      <c r="B614" t="s">
        <v>8427</v>
      </c>
      <c r="C614" s="10">
        <v>6</v>
      </c>
      <c r="D614" s="10">
        <v>0.7</v>
      </c>
      <c r="E614" s="10">
        <v>40</v>
      </c>
    </row>
    <row r="615" spans="1:5">
      <c r="A615" t="s">
        <v>4729</v>
      </c>
      <c r="B615" t="s">
        <v>4730</v>
      </c>
      <c r="C615" s="10">
        <v>6</v>
      </c>
      <c r="D615" s="10">
        <v>0.7</v>
      </c>
      <c r="E615" s="10">
        <v>45</v>
      </c>
    </row>
    <row r="616" spans="1:5">
      <c r="A616" t="s">
        <v>218</v>
      </c>
      <c r="B616" t="s">
        <v>219</v>
      </c>
      <c r="C616" s="10">
        <v>6</v>
      </c>
      <c r="D616" s="10">
        <v>0.7</v>
      </c>
      <c r="E616" s="10">
        <v>40</v>
      </c>
    </row>
    <row r="617" spans="1:5">
      <c r="A617" t="s">
        <v>220</v>
      </c>
      <c r="B617" t="s">
        <v>221</v>
      </c>
      <c r="C617" s="10">
        <v>6</v>
      </c>
      <c r="D617" s="10">
        <v>0.7</v>
      </c>
      <c r="E617" s="10">
        <v>40</v>
      </c>
    </row>
    <row r="618" spans="1:5">
      <c r="A618" t="s">
        <v>3457</v>
      </c>
      <c r="B618" t="s">
        <v>3456</v>
      </c>
      <c r="C618" s="10">
        <v>6</v>
      </c>
      <c r="D618" s="10">
        <v>0.7</v>
      </c>
      <c r="E618" s="10">
        <v>47</v>
      </c>
    </row>
    <row r="619" spans="1:5">
      <c r="A619" t="s">
        <v>9517</v>
      </c>
      <c r="B619" t="s">
        <v>8428</v>
      </c>
      <c r="C619" s="10">
        <v>3</v>
      </c>
      <c r="D619" s="10">
        <v>0.7</v>
      </c>
      <c r="E619" s="10">
        <v>42</v>
      </c>
    </row>
    <row r="620" spans="1:5">
      <c r="A620" t="s">
        <v>4977</v>
      </c>
      <c r="B620" t="s">
        <v>4978</v>
      </c>
      <c r="C620" s="10">
        <v>6</v>
      </c>
      <c r="D620" s="10">
        <v>0.7</v>
      </c>
      <c r="E620" s="10">
        <v>38</v>
      </c>
    </row>
    <row r="621" spans="1:5">
      <c r="A621" t="s">
        <v>3458</v>
      </c>
      <c r="B621" t="s">
        <v>3459</v>
      </c>
      <c r="C621" s="10">
        <v>6</v>
      </c>
      <c r="D621" s="10">
        <v>0.7</v>
      </c>
      <c r="E621" s="10">
        <v>42</v>
      </c>
    </row>
    <row r="622" spans="1:5">
      <c r="A622" t="s">
        <v>3127</v>
      </c>
      <c r="B622" t="s">
        <v>3128</v>
      </c>
      <c r="C622" s="10">
        <v>6</v>
      </c>
      <c r="D622" s="10">
        <v>0.75</v>
      </c>
      <c r="E622" s="10">
        <v>12.5</v>
      </c>
    </row>
    <row r="623" spans="1:5">
      <c r="A623" t="s">
        <v>2007</v>
      </c>
      <c r="B623" t="s">
        <v>2008</v>
      </c>
      <c r="C623" s="10">
        <v>6</v>
      </c>
      <c r="D623" s="10">
        <v>1</v>
      </c>
      <c r="E623" s="10">
        <v>35</v>
      </c>
    </row>
    <row r="624" spans="1:5">
      <c r="A624" t="s">
        <v>1716</v>
      </c>
      <c r="B624" t="s">
        <v>1717</v>
      </c>
      <c r="C624" s="10">
        <v>6</v>
      </c>
      <c r="D624" s="10">
        <v>0.5</v>
      </c>
      <c r="E624" s="10">
        <v>35</v>
      </c>
    </row>
    <row r="625" spans="1:5">
      <c r="A625" t="s">
        <v>2009</v>
      </c>
      <c r="B625" t="s">
        <v>1717</v>
      </c>
      <c r="C625" s="10">
        <v>6</v>
      </c>
      <c r="D625" s="10">
        <v>1</v>
      </c>
      <c r="E625" s="10">
        <v>35</v>
      </c>
    </row>
    <row r="626" spans="1:5">
      <c r="A626" t="s">
        <v>2010</v>
      </c>
      <c r="B626" t="s">
        <v>2011</v>
      </c>
      <c r="C626" s="10">
        <v>6</v>
      </c>
      <c r="D626" s="10">
        <v>1</v>
      </c>
      <c r="E626" s="10">
        <v>38</v>
      </c>
    </row>
    <row r="627" spans="1:5">
      <c r="A627" t="s">
        <v>1718</v>
      </c>
      <c r="B627" t="s">
        <v>1719</v>
      </c>
      <c r="C627" s="10">
        <v>6</v>
      </c>
      <c r="D627" s="10">
        <v>0.5</v>
      </c>
      <c r="E627" s="10">
        <v>38</v>
      </c>
    </row>
    <row r="628" spans="1:5">
      <c r="A628" t="s">
        <v>2012</v>
      </c>
      <c r="B628" t="s">
        <v>1719</v>
      </c>
      <c r="C628" s="10">
        <v>6</v>
      </c>
      <c r="D628" s="10">
        <v>1</v>
      </c>
      <c r="E628" s="10">
        <v>38</v>
      </c>
    </row>
    <row r="629" spans="1:5">
      <c r="A629" t="s">
        <v>3010</v>
      </c>
      <c r="B629" t="s">
        <v>3011</v>
      </c>
      <c r="C629" s="10">
        <v>6</v>
      </c>
      <c r="D629" s="10">
        <v>0.75</v>
      </c>
      <c r="E629" s="10">
        <v>12</v>
      </c>
    </row>
    <row r="630" spans="1:5">
      <c r="A630" t="s">
        <v>9518</v>
      </c>
      <c r="B630" t="s">
        <v>3011</v>
      </c>
      <c r="C630" s="10">
        <v>3</v>
      </c>
      <c r="D630" s="10">
        <v>1.5</v>
      </c>
      <c r="E630" s="10">
        <v>12</v>
      </c>
    </row>
    <row r="631" spans="1:5">
      <c r="A631" t="s">
        <v>3012</v>
      </c>
      <c r="B631" t="s">
        <v>3013</v>
      </c>
      <c r="C631" s="10">
        <v>6</v>
      </c>
      <c r="D631" s="10">
        <v>0.75</v>
      </c>
      <c r="E631" s="10">
        <v>12</v>
      </c>
    </row>
    <row r="632" spans="1:5">
      <c r="A632" t="s">
        <v>9519</v>
      </c>
      <c r="B632" t="s">
        <v>8429</v>
      </c>
      <c r="C632" s="10">
        <v>6</v>
      </c>
      <c r="D632" s="10">
        <v>0.75</v>
      </c>
      <c r="E632" s="10">
        <v>12</v>
      </c>
    </row>
    <row r="633" spans="1:5">
      <c r="A633" t="s">
        <v>9520</v>
      </c>
      <c r="B633" t="s">
        <v>8430</v>
      </c>
      <c r="C633" s="10">
        <v>3</v>
      </c>
      <c r="D633" s="10">
        <v>0.75</v>
      </c>
      <c r="E633" s="10">
        <v>12.5</v>
      </c>
    </row>
    <row r="634" spans="1:5">
      <c r="A634" t="s">
        <v>3014</v>
      </c>
      <c r="B634" t="s">
        <v>3015</v>
      </c>
      <c r="C634" s="10">
        <v>6</v>
      </c>
      <c r="D634" s="10">
        <v>0.75</v>
      </c>
      <c r="E634" s="10">
        <v>12</v>
      </c>
    </row>
    <row r="635" spans="1:5">
      <c r="A635" t="s">
        <v>6922</v>
      </c>
      <c r="B635" t="s">
        <v>6923</v>
      </c>
      <c r="C635" s="10">
        <v>6</v>
      </c>
      <c r="D635" s="10">
        <v>0.75</v>
      </c>
      <c r="E635" s="10">
        <v>12</v>
      </c>
    </row>
    <row r="636" spans="1:5">
      <c r="A636" t="s">
        <v>6112</v>
      </c>
      <c r="B636" t="s">
        <v>6113</v>
      </c>
      <c r="C636" s="10">
        <v>3</v>
      </c>
      <c r="D636" s="10">
        <v>1.5</v>
      </c>
      <c r="E636" s="10">
        <v>12</v>
      </c>
    </row>
    <row r="637" spans="1:5">
      <c r="A637" t="s">
        <v>3460</v>
      </c>
      <c r="B637" t="s">
        <v>3461</v>
      </c>
      <c r="C637" s="10">
        <v>6</v>
      </c>
      <c r="D637" s="10">
        <v>0.7</v>
      </c>
      <c r="E637" s="10">
        <v>15</v>
      </c>
    </row>
    <row r="638" spans="1:5">
      <c r="A638" t="s">
        <v>3462</v>
      </c>
      <c r="B638" t="s">
        <v>3463</v>
      </c>
      <c r="C638" s="10">
        <v>6</v>
      </c>
      <c r="D638" s="10">
        <v>0.7</v>
      </c>
      <c r="E638" s="10">
        <v>24</v>
      </c>
    </row>
    <row r="639" spans="1:5">
      <c r="A639" t="s">
        <v>3464</v>
      </c>
      <c r="B639" t="s">
        <v>3465</v>
      </c>
      <c r="C639" s="10">
        <v>6</v>
      </c>
      <c r="D639" s="10">
        <v>0.7</v>
      </c>
      <c r="E639" s="10">
        <v>24</v>
      </c>
    </row>
    <row r="640" spans="1:5">
      <c r="A640" t="s">
        <v>3466</v>
      </c>
      <c r="B640" t="s">
        <v>3467</v>
      </c>
      <c r="C640" s="10">
        <v>6</v>
      </c>
      <c r="D640" s="10">
        <v>0.7</v>
      </c>
      <c r="E640" s="10">
        <v>21</v>
      </c>
    </row>
    <row r="641" spans="1:5">
      <c r="A641" t="s">
        <v>3468</v>
      </c>
      <c r="B641" t="s">
        <v>3469</v>
      </c>
      <c r="C641" s="10">
        <v>6</v>
      </c>
      <c r="D641" s="10">
        <v>0.7</v>
      </c>
      <c r="E641" s="10">
        <v>24</v>
      </c>
    </row>
    <row r="642" spans="1:5">
      <c r="A642" t="s">
        <v>3470</v>
      </c>
      <c r="B642" t="s">
        <v>3471</v>
      </c>
      <c r="C642" s="10">
        <v>6</v>
      </c>
      <c r="D642" s="10">
        <v>0.7</v>
      </c>
      <c r="E642" s="10">
        <v>24</v>
      </c>
    </row>
    <row r="643" spans="1:5">
      <c r="A643" t="s">
        <v>3472</v>
      </c>
      <c r="B643" t="s">
        <v>3473</v>
      </c>
      <c r="C643" s="10">
        <v>6</v>
      </c>
      <c r="D643" s="10">
        <v>0.7</v>
      </c>
      <c r="E643" s="10">
        <v>17</v>
      </c>
    </row>
    <row r="644" spans="1:5">
      <c r="A644" t="s">
        <v>6621</v>
      </c>
      <c r="B644" t="s">
        <v>1720</v>
      </c>
      <c r="C644" s="10">
        <v>12</v>
      </c>
      <c r="D644" s="10">
        <v>0.05</v>
      </c>
      <c r="E644" s="10">
        <v>38</v>
      </c>
    </row>
    <row r="645" spans="1:5">
      <c r="A645" t="s">
        <v>9521</v>
      </c>
      <c r="B645" t="s">
        <v>1720</v>
      </c>
      <c r="C645" s="10">
        <v>6</v>
      </c>
      <c r="D645" s="10">
        <v>0.5</v>
      </c>
      <c r="E645" s="10">
        <v>38</v>
      </c>
    </row>
    <row r="646" spans="1:5">
      <c r="A646" t="s">
        <v>2013</v>
      </c>
      <c r="B646" t="s">
        <v>1720</v>
      </c>
      <c r="C646" s="10">
        <v>6</v>
      </c>
      <c r="D646" s="10">
        <v>1</v>
      </c>
      <c r="E646" s="10">
        <v>38</v>
      </c>
    </row>
    <row r="647" spans="1:5">
      <c r="A647" t="s">
        <v>9522</v>
      </c>
      <c r="B647" t="s">
        <v>8431</v>
      </c>
      <c r="C647" s="10">
        <v>6</v>
      </c>
      <c r="D647" s="10">
        <v>0.7</v>
      </c>
      <c r="E647" s="10">
        <v>40</v>
      </c>
    </row>
    <row r="648" spans="1:5">
      <c r="A648" t="s">
        <v>3474</v>
      </c>
      <c r="B648" t="s">
        <v>3475</v>
      </c>
      <c r="C648" s="10">
        <v>6</v>
      </c>
      <c r="D648" s="10">
        <v>0.7</v>
      </c>
      <c r="E648" s="10">
        <v>17</v>
      </c>
    </row>
    <row r="649" spans="1:5">
      <c r="A649" t="s">
        <v>3476</v>
      </c>
      <c r="B649" t="s">
        <v>3477</v>
      </c>
      <c r="C649" s="10">
        <v>6</v>
      </c>
      <c r="D649" s="10">
        <v>0.7</v>
      </c>
      <c r="E649" s="10">
        <v>24</v>
      </c>
    </row>
    <row r="650" spans="1:5">
      <c r="A650" t="s">
        <v>3478</v>
      </c>
      <c r="B650" t="s">
        <v>3479</v>
      </c>
      <c r="C650" s="10">
        <v>6</v>
      </c>
      <c r="D650" s="10">
        <v>0.7</v>
      </c>
      <c r="E650" s="10">
        <v>24</v>
      </c>
    </row>
    <row r="651" spans="1:5">
      <c r="A651" t="s">
        <v>3480</v>
      </c>
      <c r="B651" t="s">
        <v>3481</v>
      </c>
      <c r="C651" s="10">
        <v>6</v>
      </c>
      <c r="D651" s="10">
        <v>0.7</v>
      </c>
      <c r="E651" s="10">
        <v>17</v>
      </c>
    </row>
    <row r="652" spans="1:5">
      <c r="A652" t="s">
        <v>3482</v>
      </c>
      <c r="B652" t="s">
        <v>3483</v>
      </c>
      <c r="C652" s="10">
        <v>6</v>
      </c>
      <c r="D652" s="10">
        <v>0.7</v>
      </c>
      <c r="E652" s="10">
        <v>24</v>
      </c>
    </row>
    <row r="653" spans="1:5">
      <c r="A653" t="s">
        <v>3484</v>
      </c>
      <c r="B653" t="s">
        <v>3485</v>
      </c>
      <c r="C653" s="10">
        <v>6</v>
      </c>
      <c r="D653" s="10">
        <v>0.7</v>
      </c>
      <c r="E653" s="10">
        <v>17</v>
      </c>
    </row>
    <row r="654" spans="1:5">
      <c r="A654" t="s">
        <v>3486</v>
      </c>
      <c r="B654" t="s">
        <v>3487</v>
      </c>
      <c r="C654" s="10">
        <v>6</v>
      </c>
      <c r="D654" s="10">
        <v>0.7</v>
      </c>
      <c r="E654" s="10">
        <v>42</v>
      </c>
    </row>
    <row r="655" spans="1:5">
      <c r="A655" t="s">
        <v>1721</v>
      </c>
      <c r="B655" t="s">
        <v>1722</v>
      </c>
      <c r="C655" s="10">
        <v>6</v>
      </c>
      <c r="D655" s="10">
        <v>0.5</v>
      </c>
      <c r="E655" s="10">
        <v>50</v>
      </c>
    </row>
    <row r="656" spans="1:5">
      <c r="A656" t="s">
        <v>3488</v>
      </c>
      <c r="B656" t="s">
        <v>3489</v>
      </c>
      <c r="C656" s="10">
        <v>6</v>
      </c>
      <c r="D656" s="10">
        <v>0.7</v>
      </c>
      <c r="E656" s="10">
        <v>17</v>
      </c>
    </row>
    <row r="657" spans="1:5">
      <c r="A657" t="s">
        <v>1723</v>
      </c>
      <c r="B657" t="s">
        <v>1724</v>
      </c>
      <c r="C657" s="10">
        <v>6</v>
      </c>
      <c r="D657" s="10">
        <v>0.5</v>
      </c>
      <c r="E657" s="10">
        <v>35</v>
      </c>
    </row>
    <row r="658" spans="1:5">
      <c r="A658" t="s">
        <v>2014</v>
      </c>
      <c r="B658" t="s">
        <v>1724</v>
      </c>
      <c r="C658" s="10">
        <v>6</v>
      </c>
      <c r="D658" s="10">
        <v>1</v>
      </c>
      <c r="E658" s="10">
        <v>35</v>
      </c>
    </row>
    <row r="659" spans="1:5">
      <c r="A659" t="s">
        <v>4979</v>
      </c>
      <c r="B659" t="s">
        <v>4980</v>
      </c>
      <c r="C659" s="10">
        <v>6</v>
      </c>
      <c r="D659" s="10">
        <v>0.7</v>
      </c>
      <c r="E659" s="10">
        <v>38</v>
      </c>
    </row>
    <row r="660" spans="1:5">
      <c r="A660" t="s">
        <v>3490</v>
      </c>
      <c r="B660" t="s">
        <v>3491</v>
      </c>
      <c r="C660" s="10">
        <v>6</v>
      </c>
      <c r="D660" s="10">
        <v>0.7</v>
      </c>
      <c r="E660" s="10">
        <v>17</v>
      </c>
    </row>
    <row r="661" spans="1:5">
      <c r="A661" t="s">
        <v>3492</v>
      </c>
      <c r="B661" t="s">
        <v>3493</v>
      </c>
      <c r="C661" s="10">
        <v>6</v>
      </c>
      <c r="D661" s="10">
        <v>0.7</v>
      </c>
      <c r="E661" s="10">
        <v>17</v>
      </c>
    </row>
    <row r="662" spans="1:5">
      <c r="A662" t="s">
        <v>3494</v>
      </c>
      <c r="B662" t="s">
        <v>3495</v>
      </c>
      <c r="C662" s="10">
        <v>6</v>
      </c>
      <c r="D662" s="10">
        <v>0.7</v>
      </c>
      <c r="E662" s="10">
        <v>24</v>
      </c>
    </row>
    <row r="663" spans="1:5">
      <c r="A663" t="s">
        <v>9523</v>
      </c>
      <c r="B663" t="s">
        <v>8432</v>
      </c>
      <c r="C663" s="10">
        <v>6</v>
      </c>
      <c r="D663" s="10">
        <v>0.7</v>
      </c>
      <c r="E663" s="10">
        <v>14.9</v>
      </c>
    </row>
    <row r="664" spans="1:5">
      <c r="A664" t="s">
        <v>3496</v>
      </c>
      <c r="B664" t="s">
        <v>3497</v>
      </c>
      <c r="C664" s="10">
        <v>6</v>
      </c>
      <c r="D664" s="10">
        <v>0.7</v>
      </c>
      <c r="E664" s="10">
        <v>17</v>
      </c>
    </row>
    <row r="665" spans="1:5">
      <c r="A665" t="s">
        <v>3498</v>
      </c>
      <c r="B665" t="s">
        <v>3499</v>
      </c>
      <c r="C665" s="10">
        <v>6</v>
      </c>
      <c r="D665" s="10">
        <v>0.7</v>
      </c>
      <c r="E665" s="10">
        <v>24</v>
      </c>
    </row>
    <row r="666" spans="1:5">
      <c r="A666" t="s">
        <v>3500</v>
      </c>
      <c r="B666" t="s">
        <v>3501</v>
      </c>
      <c r="C666" s="10">
        <v>6</v>
      </c>
      <c r="D666" s="10">
        <v>0.7</v>
      </c>
      <c r="E666" s="10">
        <v>17</v>
      </c>
    </row>
    <row r="667" spans="1:5">
      <c r="A667" t="s">
        <v>3502</v>
      </c>
      <c r="B667" t="s">
        <v>3503</v>
      </c>
      <c r="C667" s="10">
        <v>6</v>
      </c>
      <c r="D667" s="10">
        <v>0.7</v>
      </c>
      <c r="E667" s="10">
        <v>17</v>
      </c>
    </row>
    <row r="668" spans="1:5">
      <c r="A668" t="s">
        <v>3504</v>
      </c>
      <c r="B668" t="s">
        <v>3505</v>
      </c>
      <c r="C668" s="10">
        <v>6</v>
      </c>
      <c r="D668" s="10">
        <v>0.7</v>
      </c>
      <c r="E668" s="10">
        <v>24</v>
      </c>
    </row>
    <row r="669" spans="1:5">
      <c r="A669" t="s">
        <v>3506</v>
      </c>
      <c r="B669" t="s">
        <v>3507</v>
      </c>
      <c r="C669" s="10">
        <v>6</v>
      </c>
      <c r="D669" s="10">
        <v>0.7</v>
      </c>
      <c r="E669" s="10">
        <v>17</v>
      </c>
    </row>
    <row r="670" spans="1:5">
      <c r="A670" t="s">
        <v>9524</v>
      </c>
      <c r="B670" t="s">
        <v>8433</v>
      </c>
      <c r="C670" s="10">
        <v>6</v>
      </c>
      <c r="D670" s="10">
        <v>0.7</v>
      </c>
      <c r="E670" s="10">
        <v>17</v>
      </c>
    </row>
    <row r="671" spans="1:5">
      <c r="A671" t="s">
        <v>1725</v>
      </c>
      <c r="B671" t="s">
        <v>1726</v>
      </c>
      <c r="C671" s="10">
        <v>6</v>
      </c>
      <c r="D671" s="10">
        <v>0.5</v>
      </c>
      <c r="E671" s="10">
        <v>30</v>
      </c>
    </row>
    <row r="672" spans="1:5">
      <c r="A672" t="s">
        <v>3508</v>
      </c>
      <c r="B672" t="s">
        <v>3509</v>
      </c>
      <c r="C672" s="10">
        <v>6</v>
      </c>
      <c r="D672" s="10">
        <v>0.7</v>
      </c>
      <c r="E672" s="10">
        <v>17</v>
      </c>
    </row>
    <row r="673" spans="1:5">
      <c r="A673" t="s">
        <v>3510</v>
      </c>
      <c r="B673" t="s">
        <v>3511</v>
      </c>
      <c r="C673" s="10">
        <v>6</v>
      </c>
      <c r="D673" s="10">
        <v>0.7</v>
      </c>
      <c r="E673" s="10">
        <v>17</v>
      </c>
    </row>
    <row r="674" spans="1:5">
      <c r="A674" t="s">
        <v>4981</v>
      </c>
      <c r="B674" t="s">
        <v>4982</v>
      </c>
      <c r="C674" s="10">
        <v>6</v>
      </c>
      <c r="D674" s="10">
        <v>0.7</v>
      </c>
      <c r="E674" s="10">
        <v>38</v>
      </c>
    </row>
    <row r="675" spans="1:5">
      <c r="A675" t="s">
        <v>3512</v>
      </c>
      <c r="B675" t="s">
        <v>3513</v>
      </c>
      <c r="C675" s="10">
        <v>6</v>
      </c>
      <c r="D675" s="10">
        <v>0.7</v>
      </c>
      <c r="E675" s="10">
        <v>24</v>
      </c>
    </row>
    <row r="676" spans="1:5">
      <c r="A676" t="s">
        <v>2015</v>
      </c>
      <c r="B676" t="s">
        <v>2016</v>
      </c>
      <c r="C676" s="10">
        <v>6</v>
      </c>
      <c r="D676" s="10">
        <v>1</v>
      </c>
      <c r="E676" s="10">
        <v>37.5</v>
      </c>
    </row>
    <row r="677" spans="1:5">
      <c r="A677" t="s">
        <v>3514</v>
      </c>
      <c r="B677" t="s">
        <v>3515</v>
      </c>
      <c r="C677" s="10">
        <v>6</v>
      </c>
      <c r="D677" s="10">
        <v>0.7</v>
      </c>
      <c r="E677" s="10">
        <v>17</v>
      </c>
    </row>
    <row r="678" spans="1:5">
      <c r="A678" t="s">
        <v>3516</v>
      </c>
      <c r="B678" t="s">
        <v>3517</v>
      </c>
      <c r="C678" s="10">
        <v>6</v>
      </c>
      <c r="D678" s="10">
        <v>0.7</v>
      </c>
      <c r="E678" s="10">
        <v>15</v>
      </c>
    </row>
    <row r="679" spans="1:5">
      <c r="A679" t="s">
        <v>1727</v>
      </c>
      <c r="B679" t="s">
        <v>1728</v>
      </c>
      <c r="C679" s="10">
        <v>6</v>
      </c>
      <c r="D679" s="10">
        <v>0.5</v>
      </c>
      <c r="E679" s="10">
        <v>35</v>
      </c>
    </row>
    <row r="680" spans="1:5">
      <c r="A680" t="s">
        <v>2017</v>
      </c>
      <c r="B680" t="s">
        <v>1728</v>
      </c>
      <c r="C680" s="10">
        <v>6</v>
      </c>
      <c r="D680" s="10">
        <v>1</v>
      </c>
      <c r="E680" s="10">
        <v>35</v>
      </c>
    </row>
    <row r="681" spans="1:5">
      <c r="A681" t="s">
        <v>4825</v>
      </c>
      <c r="B681" t="s">
        <v>4826</v>
      </c>
      <c r="C681" s="10">
        <v>6</v>
      </c>
      <c r="D681" s="10">
        <v>0.7</v>
      </c>
      <c r="E681" s="10">
        <v>37.5</v>
      </c>
    </row>
    <row r="682" spans="1:5">
      <c r="A682" t="s">
        <v>4827</v>
      </c>
      <c r="B682" t="s">
        <v>4828</v>
      </c>
      <c r="C682" s="10">
        <v>6</v>
      </c>
      <c r="D682" s="10">
        <v>0.7</v>
      </c>
      <c r="E682" s="10">
        <v>37.5</v>
      </c>
    </row>
    <row r="683" spans="1:5">
      <c r="A683" t="s">
        <v>4829</v>
      </c>
      <c r="B683" t="s">
        <v>4830</v>
      </c>
      <c r="C683" s="10">
        <v>6</v>
      </c>
      <c r="D683" s="10">
        <v>0.7</v>
      </c>
      <c r="E683" s="10">
        <v>37.5</v>
      </c>
    </row>
    <row r="684" spans="1:5">
      <c r="A684" t="s">
        <v>9525</v>
      </c>
      <c r="B684" t="s">
        <v>4830</v>
      </c>
      <c r="C684" s="10">
        <v>12</v>
      </c>
      <c r="D684" s="10">
        <v>1</v>
      </c>
      <c r="E684" s="10">
        <v>40</v>
      </c>
    </row>
    <row r="685" spans="1:5">
      <c r="A685" t="s">
        <v>6622</v>
      </c>
      <c r="B685" t="s">
        <v>223</v>
      </c>
      <c r="C685" s="10">
        <v>12</v>
      </c>
      <c r="D685" s="10">
        <v>0.2</v>
      </c>
      <c r="E685" s="10">
        <v>47</v>
      </c>
    </row>
    <row r="686" spans="1:5">
      <c r="A686" t="s">
        <v>1545</v>
      </c>
      <c r="B686" t="s">
        <v>223</v>
      </c>
      <c r="C686" s="10">
        <v>6</v>
      </c>
      <c r="D686" s="10">
        <v>0.5</v>
      </c>
      <c r="E686" s="10">
        <v>40</v>
      </c>
    </row>
    <row r="687" spans="1:5">
      <c r="A687" t="s">
        <v>222</v>
      </c>
      <c r="B687" t="s">
        <v>223</v>
      </c>
      <c r="C687" s="10">
        <v>6</v>
      </c>
      <c r="D687" s="10">
        <v>0.7</v>
      </c>
      <c r="E687" s="10">
        <v>40</v>
      </c>
    </row>
    <row r="688" spans="1:5">
      <c r="A688" t="s">
        <v>1427</v>
      </c>
      <c r="B688" t="s">
        <v>223</v>
      </c>
      <c r="C688" s="10">
        <v>6</v>
      </c>
      <c r="D688" s="10">
        <v>1</v>
      </c>
      <c r="E688" s="10">
        <v>40</v>
      </c>
    </row>
    <row r="689" spans="1:5">
      <c r="A689" t="s">
        <v>3518</v>
      </c>
      <c r="B689" t="s">
        <v>3519</v>
      </c>
      <c r="C689" s="10">
        <v>6</v>
      </c>
      <c r="D689" s="10">
        <v>0.7</v>
      </c>
      <c r="E689" s="10">
        <v>42</v>
      </c>
    </row>
    <row r="690" spans="1:5">
      <c r="A690" t="s">
        <v>5894</v>
      </c>
      <c r="B690" t="s">
        <v>5895</v>
      </c>
      <c r="C690" s="10">
        <v>120</v>
      </c>
      <c r="D690" s="10">
        <v>0.05</v>
      </c>
      <c r="E690" s="10">
        <v>40</v>
      </c>
    </row>
    <row r="691" spans="1:5">
      <c r="A691" t="s">
        <v>3520</v>
      </c>
      <c r="B691" t="s">
        <v>3521</v>
      </c>
      <c r="C691" s="10">
        <v>6</v>
      </c>
      <c r="D691" s="10">
        <v>0.7</v>
      </c>
      <c r="E691" s="10">
        <v>47</v>
      </c>
    </row>
    <row r="692" spans="1:5">
      <c r="A692" t="s">
        <v>5369</v>
      </c>
      <c r="B692" t="s">
        <v>5370</v>
      </c>
      <c r="C692" s="10">
        <v>6</v>
      </c>
      <c r="D692" s="10">
        <v>0.7</v>
      </c>
      <c r="E692" s="10">
        <v>43</v>
      </c>
    </row>
    <row r="693" spans="1:5">
      <c r="A693" t="s">
        <v>4983</v>
      </c>
      <c r="B693" t="s">
        <v>4984</v>
      </c>
      <c r="C693" s="10">
        <v>6</v>
      </c>
      <c r="D693" s="10">
        <v>0.7</v>
      </c>
      <c r="E693" s="10">
        <v>38</v>
      </c>
    </row>
    <row r="694" spans="1:5">
      <c r="A694" t="s">
        <v>4985</v>
      </c>
      <c r="B694" t="s">
        <v>4986</v>
      </c>
      <c r="C694" s="10">
        <v>6</v>
      </c>
      <c r="D694" s="10">
        <v>0.7</v>
      </c>
      <c r="E694" s="10">
        <v>38</v>
      </c>
    </row>
    <row r="695" spans="1:5">
      <c r="A695" t="s">
        <v>224</v>
      </c>
      <c r="B695" t="s">
        <v>225</v>
      </c>
      <c r="C695" s="10">
        <v>6</v>
      </c>
      <c r="D695" s="10">
        <v>0.7</v>
      </c>
      <c r="E695" s="10">
        <v>40</v>
      </c>
    </row>
    <row r="696" spans="1:5">
      <c r="A696" t="s">
        <v>9526</v>
      </c>
      <c r="B696" t="s">
        <v>8434</v>
      </c>
      <c r="C696" s="10">
        <v>6</v>
      </c>
      <c r="D696" s="10">
        <v>0.5</v>
      </c>
      <c r="E696" s="10">
        <v>45</v>
      </c>
    </row>
    <row r="697" spans="1:5">
      <c r="A697" t="s">
        <v>9527</v>
      </c>
      <c r="B697" t="s">
        <v>8435</v>
      </c>
      <c r="C697" s="10">
        <v>6</v>
      </c>
      <c r="D697" s="10">
        <v>0.5</v>
      </c>
      <c r="E697" s="10">
        <v>45</v>
      </c>
    </row>
    <row r="698" spans="1:5">
      <c r="A698" t="s">
        <v>9528</v>
      </c>
      <c r="B698" t="s">
        <v>8436</v>
      </c>
      <c r="C698" s="10">
        <v>6</v>
      </c>
      <c r="D698" s="10">
        <v>0.5</v>
      </c>
      <c r="E698" s="10">
        <v>45</v>
      </c>
    </row>
    <row r="699" spans="1:5">
      <c r="A699" t="s">
        <v>1729</v>
      </c>
      <c r="B699" t="s">
        <v>1730</v>
      </c>
      <c r="C699" s="10">
        <v>6</v>
      </c>
      <c r="D699" s="10">
        <v>0.5</v>
      </c>
      <c r="E699" s="10">
        <v>45</v>
      </c>
    </row>
    <row r="700" spans="1:5">
      <c r="A700" t="s">
        <v>9529</v>
      </c>
      <c r="B700" t="s">
        <v>8437</v>
      </c>
      <c r="C700" s="10">
        <v>6</v>
      </c>
      <c r="D700" s="10">
        <v>0.5</v>
      </c>
      <c r="E700" s="10">
        <v>45</v>
      </c>
    </row>
    <row r="701" spans="1:5">
      <c r="A701" t="s">
        <v>9530</v>
      </c>
      <c r="B701" t="s">
        <v>8438</v>
      </c>
      <c r="C701" s="10">
        <v>6</v>
      </c>
      <c r="D701" s="10">
        <v>0.5</v>
      </c>
      <c r="E701" s="10">
        <v>45</v>
      </c>
    </row>
    <row r="702" spans="1:5">
      <c r="A702" t="s">
        <v>1546</v>
      </c>
      <c r="B702" t="s">
        <v>1547</v>
      </c>
      <c r="C702" s="10">
        <v>6</v>
      </c>
      <c r="D702" s="10">
        <v>0.5</v>
      </c>
      <c r="E702" s="10">
        <v>40</v>
      </c>
    </row>
    <row r="703" spans="1:5">
      <c r="A703" t="s">
        <v>9531</v>
      </c>
      <c r="B703" t="s">
        <v>8439</v>
      </c>
      <c r="C703" s="10">
        <v>8</v>
      </c>
      <c r="D703" s="10">
        <v>0.5</v>
      </c>
      <c r="E703" s="10">
        <v>45.5</v>
      </c>
    </row>
    <row r="704" spans="1:5">
      <c r="A704" t="s">
        <v>1548</v>
      </c>
      <c r="B704" t="s">
        <v>1549</v>
      </c>
      <c r="C704" s="10">
        <v>6</v>
      </c>
      <c r="D704" s="10">
        <v>0.5</v>
      </c>
      <c r="E704" s="10">
        <v>40</v>
      </c>
    </row>
    <row r="705" spans="1:5">
      <c r="A705" t="s">
        <v>1731</v>
      </c>
      <c r="B705" t="s">
        <v>1732</v>
      </c>
      <c r="C705" s="10">
        <v>6</v>
      </c>
      <c r="D705" s="10">
        <v>0.5</v>
      </c>
      <c r="E705" s="10">
        <v>30</v>
      </c>
    </row>
    <row r="706" spans="1:5">
      <c r="A706" t="s">
        <v>9532</v>
      </c>
      <c r="B706" t="s">
        <v>1732</v>
      </c>
      <c r="C706" s="10">
        <v>6</v>
      </c>
      <c r="D706" s="10">
        <v>0.5</v>
      </c>
      <c r="E706" s="10">
        <v>30</v>
      </c>
    </row>
    <row r="707" spans="1:5">
      <c r="A707" t="s">
        <v>1550</v>
      </c>
      <c r="B707" t="s">
        <v>1551</v>
      </c>
      <c r="C707" s="10">
        <v>6</v>
      </c>
      <c r="D707" s="10">
        <v>0.5</v>
      </c>
      <c r="E707" s="10">
        <v>40</v>
      </c>
    </row>
    <row r="708" spans="1:5">
      <c r="A708" t="s">
        <v>226</v>
      </c>
      <c r="B708" t="s">
        <v>227</v>
      </c>
      <c r="C708" s="10">
        <v>6</v>
      </c>
      <c r="D708" s="10">
        <v>0.7</v>
      </c>
      <c r="E708" s="10">
        <v>40</v>
      </c>
    </row>
    <row r="709" spans="1:5">
      <c r="A709" t="s">
        <v>2018</v>
      </c>
      <c r="B709" t="s">
        <v>2019</v>
      </c>
      <c r="C709" s="10">
        <v>6</v>
      </c>
      <c r="D709" s="10">
        <v>1</v>
      </c>
      <c r="E709" s="10">
        <v>30</v>
      </c>
    </row>
    <row r="710" spans="1:5">
      <c r="A710" t="s">
        <v>1733</v>
      </c>
      <c r="B710" t="s">
        <v>1734</v>
      </c>
      <c r="C710" s="10">
        <v>6</v>
      </c>
      <c r="D710" s="10">
        <v>0.5</v>
      </c>
      <c r="E710" s="10">
        <v>20</v>
      </c>
    </row>
    <row r="711" spans="1:5">
      <c r="A711" t="s">
        <v>3522</v>
      </c>
      <c r="B711" t="s">
        <v>3523</v>
      </c>
      <c r="C711" s="10">
        <v>6</v>
      </c>
      <c r="D711" s="10">
        <v>0.7</v>
      </c>
      <c r="E711" s="10">
        <v>30</v>
      </c>
    </row>
    <row r="712" spans="1:5">
      <c r="A712" t="s">
        <v>2020</v>
      </c>
      <c r="B712" t="s">
        <v>2021</v>
      </c>
      <c r="C712" s="10">
        <v>6</v>
      </c>
      <c r="D712" s="10">
        <v>1</v>
      </c>
      <c r="E712" s="10">
        <v>25</v>
      </c>
    </row>
    <row r="713" spans="1:5">
      <c r="A713" t="s">
        <v>1735</v>
      </c>
      <c r="B713" t="s">
        <v>1736</v>
      </c>
      <c r="C713" s="10">
        <v>6</v>
      </c>
      <c r="D713" s="10">
        <v>0.5</v>
      </c>
      <c r="E713" s="10">
        <v>35</v>
      </c>
    </row>
    <row r="714" spans="1:5">
      <c r="A714" t="s">
        <v>2022</v>
      </c>
      <c r="B714" t="s">
        <v>1736</v>
      </c>
      <c r="C714" s="10">
        <v>6</v>
      </c>
      <c r="D714" s="10">
        <v>1</v>
      </c>
      <c r="E714" s="10">
        <v>35</v>
      </c>
    </row>
    <row r="715" spans="1:5">
      <c r="A715" t="s">
        <v>1737</v>
      </c>
      <c r="B715" t="s">
        <v>1738</v>
      </c>
      <c r="C715" s="10">
        <v>6</v>
      </c>
      <c r="D715" s="10">
        <v>0.5</v>
      </c>
      <c r="E715" s="10">
        <v>20</v>
      </c>
    </row>
    <row r="716" spans="1:5">
      <c r="A716" t="s">
        <v>1739</v>
      </c>
      <c r="B716" t="s">
        <v>1740</v>
      </c>
      <c r="C716" s="10">
        <v>6</v>
      </c>
      <c r="D716" s="10">
        <v>0.5</v>
      </c>
      <c r="E716" s="10">
        <v>20</v>
      </c>
    </row>
    <row r="717" spans="1:5">
      <c r="A717" t="s">
        <v>3524</v>
      </c>
      <c r="B717" t="s">
        <v>3525</v>
      </c>
      <c r="C717" s="10">
        <v>6</v>
      </c>
      <c r="D717" s="10">
        <v>0.7</v>
      </c>
      <c r="E717" s="10">
        <v>25</v>
      </c>
    </row>
    <row r="718" spans="1:5">
      <c r="A718" t="s">
        <v>9533</v>
      </c>
      <c r="B718" t="s">
        <v>8440</v>
      </c>
      <c r="C718" s="10">
        <v>6</v>
      </c>
      <c r="D718" s="10">
        <v>0.7</v>
      </c>
      <c r="E718" s="10">
        <v>40</v>
      </c>
    </row>
    <row r="719" spans="1:5">
      <c r="A719" t="s">
        <v>228</v>
      </c>
      <c r="B719" t="s">
        <v>229</v>
      </c>
      <c r="C719" s="10">
        <v>6</v>
      </c>
      <c r="D719" s="10">
        <v>0.7</v>
      </c>
      <c r="E719" s="10">
        <v>40</v>
      </c>
    </row>
    <row r="720" spans="1:5">
      <c r="A720" t="s">
        <v>6114</v>
      </c>
      <c r="B720" t="s">
        <v>4988</v>
      </c>
      <c r="C720" s="10">
        <v>24</v>
      </c>
      <c r="D720" s="10">
        <v>0.2</v>
      </c>
      <c r="E720" s="10">
        <v>38</v>
      </c>
    </row>
    <row r="721" spans="1:5">
      <c r="A721" t="s">
        <v>4987</v>
      </c>
      <c r="B721" t="s">
        <v>4988</v>
      </c>
      <c r="C721" s="10">
        <v>6</v>
      </c>
      <c r="D721" s="10">
        <v>0.7</v>
      </c>
      <c r="E721" s="10">
        <v>38</v>
      </c>
    </row>
    <row r="722" spans="1:5">
      <c r="A722" t="s">
        <v>6115</v>
      </c>
      <c r="B722" t="s">
        <v>1645</v>
      </c>
      <c r="C722" s="10">
        <v>24</v>
      </c>
      <c r="D722" s="10">
        <v>0.05</v>
      </c>
      <c r="E722" s="10">
        <v>15</v>
      </c>
    </row>
    <row r="723" spans="1:5">
      <c r="A723" t="s">
        <v>1644</v>
      </c>
      <c r="B723" t="s">
        <v>1645</v>
      </c>
      <c r="C723" s="10">
        <v>6</v>
      </c>
      <c r="D723" s="10">
        <v>0.35</v>
      </c>
      <c r="E723" s="10">
        <v>15</v>
      </c>
    </row>
    <row r="724" spans="1:5">
      <c r="A724" t="s">
        <v>3526</v>
      </c>
      <c r="B724" t="s">
        <v>1645</v>
      </c>
      <c r="C724" s="10">
        <v>6</v>
      </c>
      <c r="D724" s="10">
        <v>0.7</v>
      </c>
      <c r="E724" s="10">
        <v>15</v>
      </c>
    </row>
    <row r="725" spans="1:5">
      <c r="A725" t="s">
        <v>3527</v>
      </c>
      <c r="B725" t="s">
        <v>3528</v>
      </c>
      <c r="C725" s="10">
        <v>6</v>
      </c>
      <c r="D725" s="10">
        <v>0.7</v>
      </c>
      <c r="E725" s="10">
        <v>14.9</v>
      </c>
    </row>
    <row r="726" spans="1:5">
      <c r="A726" t="s">
        <v>9534</v>
      </c>
      <c r="B726" t="s">
        <v>8441</v>
      </c>
      <c r="C726" s="10">
        <v>6</v>
      </c>
      <c r="D726" s="10">
        <v>0.7</v>
      </c>
      <c r="E726" s="10">
        <v>14.5</v>
      </c>
    </row>
    <row r="727" spans="1:5">
      <c r="A727" t="s">
        <v>1428</v>
      </c>
      <c r="B727" t="s">
        <v>1429</v>
      </c>
      <c r="C727" s="10">
        <v>6</v>
      </c>
      <c r="D727" s="10">
        <v>1</v>
      </c>
      <c r="E727" s="10">
        <v>40</v>
      </c>
    </row>
    <row r="728" spans="1:5">
      <c r="A728" t="s">
        <v>9535</v>
      </c>
      <c r="B728" t="s">
        <v>8442</v>
      </c>
      <c r="C728" s="10">
        <v>6</v>
      </c>
      <c r="D728" s="10">
        <v>0.7</v>
      </c>
      <c r="E728" s="10">
        <v>40</v>
      </c>
    </row>
    <row r="729" spans="1:5">
      <c r="A729" t="s">
        <v>9536</v>
      </c>
      <c r="B729" t="s">
        <v>8443</v>
      </c>
      <c r="C729" s="10">
        <v>6</v>
      </c>
      <c r="D729" s="10">
        <v>0.7</v>
      </c>
      <c r="E729" s="10">
        <v>40</v>
      </c>
    </row>
    <row r="730" spans="1:5">
      <c r="A730" t="s">
        <v>4731</v>
      </c>
      <c r="B730" t="s">
        <v>4732</v>
      </c>
      <c r="C730" s="10">
        <v>6</v>
      </c>
      <c r="D730" s="10">
        <v>0.7</v>
      </c>
      <c r="E730" s="10">
        <v>45</v>
      </c>
    </row>
    <row r="731" spans="1:5">
      <c r="A731" t="s">
        <v>4989</v>
      </c>
      <c r="B731" t="s">
        <v>4990</v>
      </c>
      <c r="C731" s="10">
        <v>6</v>
      </c>
      <c r="D731" s="10">
        <v>0.7</v>
      </c>
      <c r="E731" s="10">
        <v>38</v>
      </c>
    </row>
    <row r="732" spans="1:5">
      <c r="A732" t="s">
        <v>4991</v>
      </c>
      <c r="B732" t="s">
        <v>4990</v>
      </c>
      <c r="C732" s="10">
        <v>6</v>
      </c>
      <c r="D732" s="10">
        <v>0.7</v>
      </c>
      <c r="E732" s="10">
        <v>38</v>
      </c>
    </row>
    <row r="733" spans="1:5">
      <c r="A733" t="s">
        <v>230</v>
      </c>
      <c r="B733" t="s">
        <v>231</v>
      </c>
      <c r="C733" s="10">
        <v>6</v>
      </c>
      <c r="D733" s="10">
        <v>0.7</v>
      </c>
      <c r="E733" s="10">
        <v>40</v>
      </c>
    </row>
    <row r="734" spans="1:5">
      <c r="A734" t="s">
        <v>6901</v>
      </c>
      <c r="B734" t="s">
        <v>6902</v>
      </c>
      <c r="C734" s="10">
        <v>6</v>
      </c>
      <c r="D734" s="10">
        <v>0.7</v>
      </c>
      <c r="E734" s="10">
        <v>40</v>
      </c>
    </row>
    <row r="735" spans="1:5">
      <c r="A735" t="s">
        <v>9537</v>
      </c>
      <c r="B735" t="s">
        <v>8444</v>
      </c>
      <c r="C735" s="10">
        <v>6</v>
      </c>
      <c r="D735" s="10">
        <v>0.5</v>
      </c>
      <c r="E735" s="10">
        <v>30</v>
      </c>
    </row>
    <row r="736" spans="1:5">
      <c r="A736" t="s">
        <v>2470</v>
      </c>
      <c r="B736" t="s">
        <v>2471</v>
      </c>
      <c r="C736" s="10">
        <v>6</v>
      </c>
      <c r="D736" s="10">
        <v>0.75</v>
      </c>
      <c r="E736" s="10">
        <v>11.5</v>
      </c>
    </row>
    <row r="737" spans="1:5">
      <c r="A737" t="s">
        <v>2472</v>
      </c>
      <c r="B737" t="s">
        <v>2473</v>
      </c>
      <c r="C737" s="10">
        <v>6</v>
      </c>
      <c r="D737" s="10">
        <v>0.75</v>
      </c>
      <c r="E737" s="10">
        <v>11.5</v>
      </c>
    </row>
    <row r="738" spans="1:5">
      <c r="A738" t="s">
        <v>1741</v>
      </c>
      <c r="B738" t="s">
        <v>1742</v>
      </c>
      <c r="C738" s="10">
        <v>6</v>
      </c>
      <c r="D738" s="10">
        <v>0.5</v>
      </c>
      <c r="E738" s="10">
        <v>17</v>
      </c>
    </row>
    <row r="739" spans="1:5">
      <c r="A739" t="s">
        <v>6116</v>
      </c>
      <c r="B739" t="s">
        <v>6117</v>
      </c>
      <c r="C739" s="10">
        <v>24</v>
      </c>
      <c r="D739" s="10">
        <v>0.2</v>
      </c>
      <c r="E739" s="10">
        <v>11</v>
      </c>
    </row>
    <row r="740" spans="1:5">
      <c r="A740" t="s">
        <v>2474</v>
      </c>
      <c r="B740" t="s">
        <v>2475</v>
      </c>
      <c r="C740" s="10">
        <v>6</v>
      </c>
      <c r="D740" s="10">
        <v>0.75</v>
      </c>
      <c r="E740" s="10">
        <v>11</v>
      </c>
    </row>
    <row r="741" spans="1:5">
      <c r="A741" t="s">
        <v>2476</v>
      </c>
      <c r="B741" t="s">
        <v>2477</v>
      </c>
      <c r="C741" s="10">
        <v>6</v>
      </c>
      <c r="D741" s="10">
        <v>0.75</v>
      </c>
      <c r="E741" s="10">
        <v>11</v>
      </c>
    </row>
    <row r="742" spans="1:5">
      <c r="A742" t="s">
        <v>9538</v>
      </c>
      <c r="B742" t="s">
        <v>8445</v>
      </c>
      <c r="C742" s="10">
        <v>6</v>
      </c>
      <c r="D742" s="10">
        <v>0.75</v>
      </c>
      <c r="E742" s="10">
        <v>11</v>
      </c>
    </row>
    <row r="743" spans="1:5">
      <c r="A743" t="s">
        <v>2478</v>
      </c>
      <c r="B743" t="s">
        <v>2479</v>
      </c>
      <c r="C743" s="10">
        <v>6</v>
      </c>
      <c r="D743" s="10">
        <v>0.75</v>
      </c>
      <c r="E743" s="10">
        <v>11.5</v>
      </c>
    </row>
    <row r="744" spans="1:5">
      <c r="A744" t="s">
        <v>6118</v>
      </c>
      <c r="B744" t="s">
        <v>2481</v>
      </c>
      <c r="C744" s="10">
        <v>24</v>
      </c>
      <c r="D744" s="10">
        <v>0.2</v>
      </c>
      <c r="E744" s="10">
        <v>11.5</v>
      </c>
    </row>
    <row r="745" spans="1:5">
      <c r="A745" t="s">
        <v>2480</v>
      </c>
      <c r="B745" t="s">
        <v>2481</v>
      </c>
      <c r="C745" s="10">
        <v>6</v>
      </c>
      <c r="D745" s="10">
        <v>0.75</v>
      </c>
      <c r="E745" s="10">
        <v>11.5</v>
      </c>
    </row>
    <row r="746" spans="1:5">
      <c r="A746" t="s">
        <v>2482</v>
      </c>
      <c r="B746" t="s">
        <v>2483</v>
      </c>
      <c r="C746" s="10">
        <v>6</v>
      </c>
      <c r="D746" s="10">
        <v>0.75</v>
      </c>
      <c r="E746" s="10">
        <v>11</v>
      </c>
    </row>
    <row r="747" spans="1:5">
      <c r="A747" t="s">
        <v>232</v>
      </c>
      <c r="B747" t="s">
        <v>233</v>
      </c>
      <c r="C747" s="10">
        <v>6</v>
      </c>
      <c r="D747" s="10">
        <v>0.7</v>
      </c>
      <c r="E747" s="10">
        <v>40</v>
      </c>
    </row>
    <row r="748" spans="1:5">
      <c r="A748" t="s">
        <v>4733</v>
      </c>
      <c r="B748" t="s">
        <v>4734</v>
      </c>
      <c r="C748" s="10">
        <v>6</v>
      </c>
      <c r="D748" s="10">
        <v>0.7</v>
      </c>
      <c r="E748" s="10">
        <v>45</v>
      </c>
    </row>
    <row r="749" spans="1:5">
      <c r="A749" t="s">
        <v>234</v>
      </c>
      <c r="B749" t="s">
        <v>235</v>
      </c>
      <c r="C749" s="10">
        <v>6</v>
      </c>
      <c r="D749" s="10">
        <v>0.7</v>
      </c>
      <c r="E749" s="10">
        <v>40</v>
      </c>
    </row>
    <row r="750" spans="1:5">
      <c r="A750" t="s">
        <v>236</v>
      </c>
      <c r="B750" t="s">
        <v>237</v>
      </c>
      <c r="C750" s="10">
        <v>6</v>
      </c>
      <c r="D750" s="10">
        <v>0.7</v>
      </c>
      <c r="E750" s="10">
        <v>40</v>
      </c>
    </row>
    <row r="751" spans="1:5">
      <c r="A751" t="s">
        <v>238</v>
      </c>
      <c r="B751" t="s">
        <v>239</v>
      </c>
      <c r="C751" s="10">
        <v>6</v>
      </c>
      <c r="D751" s="10">
        <v>0.7</v>
      </c>
      <c r="E751" s="10">
        <v>40</v>
      </c>
    </row>
    <row r="752" spans="1:5">
      <c r="A752" t="s">
        <v>9539</v>
      </c>
      <c r="B752" t="s">
        <v>8446</v>
      </c>
      <c r="C752" s="10">
        <v>6</v>
      </c>
      <c r="D752" s="10">
        <v>0.75</v>
      </c>
      <c r="E752" s="10">
        <v>12.5</v>
      </c>
    </row>
    <row r="753" spans="1:5">
      <c r="A753" t="s">
        <v>240</v>
      </c>
      <c r="B753" t="s">
        <v>241</v>
      </c>
      <c r="C753" s="10">
        <v>6</v>
      </c>
      <c r="D753" s="10">
        <v>0.7</v>
      </c>
      <c r="E753" s="10">
        <v>40</v>
      </c>
    </row>
    <row r="754" spans="1:5">
      <c r="A754" t="s">
        <v>5683</v>
      </c>
      <c r="B754" t="s">
        <v>5684</v>
      </c>
      <c r="C754" s="10">
        <v>12</v>
      </c>
      <c r="D754" s="10">
        <v>1</v>
      </c>
      <c r="E754" s="10">
        <v>40</v>
      </c>
    </row>
    <row r="755" spans="1:5">
      <c r="A755" t="s">
        <v>9540</v>
      </c>
      <c r="B755" t="s">
        <v>8447</v>
      </c>
      <c r="C755" s="10">
        <v>6</v>
      </c>
      <c r="D755" s="10">
        <v>0.7</v>
      </c>
      <c r="E755" s="10">
        <v>40</v>
      </c>
    </row>
    <row r="756" spans="1:5">
      <c r="A756" t="s">
        <v>242</v>
      </c>
      <c r="B756" t="s">
        <v>243</v>
      </c>
      <c r="C756" s="10">
        <v>6</v>
      </c>
      <c r="D756" s="10">
        <v>0.7</v>
      </c>
      <c r="E756" s="10">
        <v>40</v>
      </c>
    </row>
    <row r="757" spans="1:5">
      <c r="A757" t="s">
        <v>5371</v>
      </c>
      <c r="B757" t="s">
        <v>5372</v>
      </c>
      <c r="C757" s="10">
        <v>6</v>
      </c>
      <c r="D757" s="10">
        <v>0.7</v>
      </c>
      <c r="E757" s="10">
        <v>43</v>
      </c>
    </row>
    <row r="758" spans="1:5">
      <c r="A758" t="s">
        <v>9541</v>
      </c>
      <c r="B758" t="s">
        <v>8448</v>
      </c>
      <c r="C758" s="10">
        <v>6</v>
      </c>
      <c r="D758" s="10">
        <v>1</v>
      </c>
      <c r="E758" s="10">
        <v>43</v>
      </c>
    </row>
    <row r="759" spans="1:5">
      <c r="A759" t="s">
        <v>5373</v>
      </c>
      <c r="B759" t="s">
        <v>5374</v>
      </c>
      <c r="C759" s="10">
        <v>6</v>
      </c>
      <c r="D759" s="10">
        <v>0.7</v>
      </c>
      <c r="E759" s="10">
        <v>43</v>
      </c>
    </row>
    <row r="760" spans="1:5">
      <c r="A760" t="s">
        <v>5375</v>
      </c>
      <c r="B760" t="s">
        <v>5376</v>
      </c>
      <c r="C760" s="10">
        <v>6</v>
      </c>
      <c r="D760" s="10">
        <v>0.7</v>
      </c>
      <c r="E760" s="10">
        <v>43</v>
      </c>
    </row>
    <row r="761" spans="1:5">
      <c r="A761" t="s">
        <v>9542</v>
      </c>
      <c r="B761" t="s">
        <v>8449</v>
      </c>
      <c r="C761" s="10">
        <v>6</v>
      </c>
      <c r="D761" s="10">
        <v>0.7</v>
      </c>
      <c r="E761" s="10">
        <v>43</v>
      </c>
    </row>
    <row r="762" spans="1:5">
      <c r="A762" t="s">
        <v>9543</v>
      </c>
      <c r="B762" t="s">
        <v>8450</v>
      </c>
      <c r="C762" s="10">
        <v>6</v>
      </c>
      <c r="D762" s="10">
        <v>0.7</v>
      </c>
      <c r="E762" s="10">
        <v>43</v>
      </c>
    </row>
    <row r="763" spans="1:5">
      <c r="A763" t="s">
        <v>9544</v>
      </c>
      <c r="B763" t="s">
        <v>8451</v>
      </c>
      <c r="C763" s="10">
        <v>6</v>
      </c>
      <c r="D763" s="10">
        <v>0.7</v>
      </c>
      <c r="E763" s="10">
        <v>51.5</v>
      </c>
    </row>
    <row r="764" spans="1:5">
      <c r="A764" t="s">
        <v>9545</v>
      </c>
      <c r="B764" t="s">
        <v>8452</v>
      </c>
      <c r="C764" s="10">
        <v>1</v>
      </c>
      <c r="D764" s="10">
        <v>0.7</v>
      </c>
      <c r="E764" s="10">
        <v>52.7</v>
      </c>
    </row>
    <row r="765" spans="1:5">
      <c r="A765" t="s">
        <v>9546</v>
      </c>
      <c r="B765" t="s">
        <v>8453</v>
      </c>
      <c r="C765" s="10">
        <v>1</v>
      </c>
      <c r="D765" s="10">
        <v>0.7</v>
      </c>
      <c r="E765" s="10">
        <v>45.1</v>
      </c>
    </row>
    <row r="766" spans="1:5">
      <c r="A766" t="s">
        <v>9547</v>
      </c>
      <c r="B766" t="s">
        <v>8454</v>
      </c>
      <c r="C766" s="10">
        <v>1</v>
      </c>
      <c r="D766" s="10">
        <v>0.7</v>
      </c>
      <c r="E766" s="10">
        <v>46.9</v>
      </c>
    </row>
    <row r="767" spans="1:5">
      <c r="A767" t="s">
        <v>244</v>
      </c>
      <c r="B767" t="s">
        <v>245</v>
      </c>
      <c r="C767" s="10">
        <v>6</v>
      </c>
      <c r="D767" s="10">
        <v>0.7</v>
      </c>
      <c r="E767" s="10">
        <v>40</v>
      </c>
    </row>
    <row r="768" spans="1:5">
      <c r="A768" t="s">
        <v>246</v>
      </c>
      <c r="B768" t="s">
        <v>247</v>
      </c>
      <c r="C768" s="10">
        <v>6</v>
      </c>
      <c r="D768" s="10">
        <v>0.7</v>
      </c>
      <c r="E768" s="10">
        <v>40</v>
      </c>
    </row>
    <row r="769" spans="1:5">
      <c r="A769" t="s">
        <v>9548</v>
      </c>
      <c r="B769" t="s">
        <v>8455</v>
      </c>
      <c r="C769" s="10">
        <v>6</v>
      </c>
      <c r="D769" s="10">
        <v>0.7</v>
      </c>
      <c r="E769" s="10">
        <v>40</v>
      </c>
    </row>
    <row r="770" spans="1:5">
      <c r="A770" t="s">
        <v>248</v>
      </c>
      <c r="B770" t="s">
        <v>249</v>
      </c>
      <c r="C770" s="10">
        <v>6</v>
      </c>
      <c r="D770" s="10">
        <v>0.7</v>
      </c>
      <c r="E770" s="10">
        <v>40</v>
      </c>
    </row>
    <row r="771" spans="1:5">
      <c r="A771" t="s">
        <v>250</v>
      </c>
      <c r="B771" t="s">
        <v>251</v>
      </c>
      <c r="C771" s="10">
        <v>6</v>
      </c>
      <c r="D771" s="10">
        <v>0.7</v>
      </c>
      <c r="E771" s="10">
        <v>40</v>
      </c>
    </row>
    <row r="772" spans="1:5">
      <c r="A772" t="s">
        <v>252</v>
      </c>
      <c r="B772" t="s">
        <v>253</v>
      </c>
      <c r="C772" s="10">
        <v>6</v>
      </c>
      <c r="D772" s="10">
        <v>0.7</v>
      </c>
      <c r="E772" s="10">
        <v>40</v>
      </c>
    </row>
    <row r="773" spans="1:5">
      <c r="A773" t="s">
        <v>9549</v>
      </c>
      <c r="B773" t="s">
        <v>8456</v>
      </c>
      <c r="C773" s="10">
        <v>6</v>
      </c>
      <c r="D773" s="10">
        <v>0.7</v>
      </c>
      <c r="E773" s="10">
        <v>21</v>
      </c>
    </row>
    <row r="774" spans="1:5">
      <c r="A774" t="s">
        <v>3529</v>
      </c>
      <c r="B774" t="s">
        <v>3530</v>
      </c>
      <c r="C774" s="10">
        <v>6</v>
      </c>
      <c r="D774" s="10">
        <v>0.7</v>
      </c>
      <c r="E774" s="10">
        <v>24.7</v>
      </c>
    </row>
    <row r="775" spans="1:5">
      <c r="A775" t="s">
        <v>254</v>
      </c>
      <c r="B775" t="s">
        <v>255</v>
      </c>
      <c r="C775" s="10">
        <v>6</v>
      </c>
      <c r="D775" s="10">
        <v>0.7</v>
      </c>
      <c r="E775" s="10">
        <v>40</v>
      </c>
    </row>
    <row r="776" spans="1:5">
      <c r="A776" t="s">
        <v>9550</v>
      </c>
      <c r="B776" t="s">
        <v>8457</v>
      </c>
      <c r="C776" s="10">
        <v>6</v>
      </c>
      <c r="D776" s="10">
        <v>0.7</v>
      </c>
      <c r="E776" s="10">
        <v>40</v>
      </c>
    </row>
    <row r="777" spans="1:5">
      <c r="A777" t="s">
        <v>256</v>
      </c>
      <c r="B777" t="s">
        <v>257</v>
      </c>
      <c r="C777" s="10">
        <v>6</v>
      </c>
      <c r="D777" s="10">
        <v>0.7</v>
      </c>
      <c r="E777" s="10">
        <v>40</v>
      </c>
    </row>
    <row r="778" spans="1:5">
      <c r="A778" t="s">
        <v>3531</v>
      </c>
      <c r="B778" t="s">
        <v>3532</v>
      </c>
      <c r="C778" s="10">
        <v>6</v>
      </c>
      <c r="D778" s="10">
        <v>0.7</v>
      </c>
      <c r="E778" s="10">
        <v>57</v>
      </c>
    </row>
    <row r="779" spans="1:5">
      <c r="A779" t="s">
        <v>258</v>
      </c>
      <c r="B779" t="s">
        <v>259</v>
      </c>
      <c r="C779" s="10">
        <v>6</v>
      </c>
      <c r="D779" s="10">
        <v>0.7</v>
      </c>
      <c r="E779" s="10">
        <v>40</v>
      </c>
    </row>
    <row r="780" spans="1:5">
      <c r="A780" t="s">
        <v>1430</v>
      </c>
      <c r="B780" t="s">
        <v>259</v>
      </c>
      <c r="C780" s="10">
        <v>6</v>
      </c>
      <c r="D780" s="10">
        <v>1</v>
      </c>
      <c r="E780" s="10">
        <v>40</v>
      </c>
    </row>
    <row r="781" spans="1:5">
      <c r="A781" t="s">
        <v>260</v>
      </c>
      <c r="B781" t="s">
        <v>261</v>
      </c>
      <c r="C781" s="10">
        <v>6</v>
      </c>
      <c r="D781" s="10">
        <v>0.7</v>
      </c>
      <c r="E781" s="10">
        <v>40</v>
      </c>
    </row>
    <row r="782" spans="1:5">
      <c r="A782" t="s">
        <v>9551</v>
      </c>
      <c r="B782" t="s">
        <v>261</v>
      </c>
      <c r="C782" s="10">
        <v>6</v>
      </c>
      <c r="D782" s="10">
        <v>0.7</v>
      </c>
      <c r="E782" s="10">
        <v>40</v>
      </c>
    </row>
    <row r="783" spans="1:5">
      <c r="A783" t="s">
        <v>9552</v>
      </c>
      <c r="B783" t="s">
        <v>8458</v>
      </c>
      <c r="C783" s="10">
        <v>6</v>
      </c>
      <c r="D783" s="10">
        <v>0.7</v>
      </c>
      <c r="E783" s="10">
        <v>40</v>
      </c>
    </row>
    <row r="784" spans="1:5">
      <c r="A784" t="s">
        <v>262</v>
      </c>
      <c r="B784" t="s">
        <v>263</v>
      </c>
      <c r="C784" s="10">
        <v>6</v>
      </c>
      <c r="D784" s="10">
        <v>0.7</v>
      </c>
      <c r="E784" s="10">
        <v>40</v>
      </c>
    </row>
    <row r="785" spans="1:5">
      <c r="A785" t="s">
        <v>264</v>
      </c>
      <c r="B785" t="s">
        <v>265</v>
      </c>
      <c r="C785" s="10">
        <v>6</v>
      </c>
      <c r="D785" s="10">
        <v>0.7</v>
      </c>
      <c r="E785" s="10">
        <v>40</v>
      </c>
    </row>
    <row r="786" spans="1:5">
      <c r="A786" t="s">
        <v>266</v>
      </c>
      <c r="B786" t="s">
        <v>267</v>
      </c>
      <c r="C786" s="10">
        <v>6</v>
      </c>
      <c r="D786" s="10">
        <v>0.7</v>
      </c>
      <c r="E786" s="10">
        <v>40</v>
      </c>
    </row>
    <row r="787" spans="1:5">
      <c r="A787" t="s">
        <v>6623</v>
      </c>
      <c r="B787" t="s">
        <v>6624</v>
      </c>
      <c r="C787" s="10">
        <v>12</v>
      </c>
      <c r="D787" s="10">
        <v>0.5</v>
      </c>
      <c r="E787" s="10">
        <v>4</v>
      </c>
    </row>
    <row r="788" spans="1:5">
      <c r="A788" t="s">
        <v>6625</v>
      </c>
      <c r="B788" t="s">
        <v>6626</v>
      </c>
      <c r="C788" s="10">
        <v>12</v>
      </c>
      <c r="D788" s="10">
        <v>0.5</v>
      </c>
      <c r="E788" s="10">
        <v>4</v>
      </c>
    </row>
    <row r="789" spans="1:5">
      <c r="A789" t="s">
        <v>6627</v>
      </c>
      <c r="B789" t="s">
        <v>6628</v>
      </c>
      <c r="C789" s="10">
        <v>12</v>
      </c>
      <c r="D789" s="10">
        <v>0.5</v>
      </c>
      <c r="E789" s="10">
        <v>4</v>
      </c>
    </row>
    <row r="790" spans="1:5">
      <c r="A790" t="s">
        <v>6629</v>
      </c>
      <c r="B790" t="s">
        <v>6630</v>
      </c>
      <c r="C790" s="10">
        <v>12</v>
      </c>
      <c r="D790" s="10">
        <v>0.5</v>
      </c>
      <c r="E790" s="10">
        <v>4</v>
      </c>
    </row>
    <row r="791" spans="1:5">
      <c r="A791" t="s">
        <v>6631</v>
      </c>
      <c r="B791" t="s">
        <v>6632</v>
      </c>
      <c r="C791" s="10">
        <v>12</v>
      </c>
      <c r="D791" s="10">
        <v>0.5</v>
      </c>
      <c r="E791" s="10">
        <v>4</v>
      </c>
    </row>
    <row r="792" spans="1:5">
      <c r="A792" t="s">
        <v>6633</v>
      </c>
      <c r="B792" t="s">
        <v>6634</v>
      </c>
      <c r="C792" s="10">
        <v>12</v>
      </c>
      <c r="D792" s="10">
        <v>0.5</v>
      </c>
      <c r="E792" s="10">
        <v>4</v>
      </c>
    </row>
    <row r="793" spans="1:5">
      <c r="A793" t="s">
        <v>6635</v>
      </c>
      <c r="B793" t="s">
        <v>6636</v>
      </c>
      <c r="C793" s="10">
        <v>12</v>
      </c>
      <c r="D793" s="10">
        <v>0.5</v>
      </c>
      <c r="E793" s="10">
        <v>4</v>
      </c>
    </row>
    <row r="794" spans="1:5">
      <c r="A794" t="s">
        <v>6637</v>
      </c>
      <c r="B794" t="s">
        <v>6638</v>
      </c>
      <c r="C794" s="10">
        <v>12</v>
      </c>
      <c r="D794" s="10">
        <v>0.5</v>
      </c>
      <c r="E794" s="10">
        <v>4</v>
      </c>
    </row>
    <row r="795" spans="1:5">
      <c r="A795" t="s">
        <v>268</v>
      </c>
      <c r="B795" t="s">
        <v>269</v>
      </c>
      <c r="C795" s="10">
        <v>6</v>
      </c>
      <c r="D795" s="10">
        <v>0.7</v>
      </c>
      <c r="E795" s="10">
        <v>40</v>
      </c>
    </row>
    <row r="796" spans="1:5">
      <c r="A796" t="s">
        <v>270</v>
      </c>
      <c r="B796" t="s">
        <v>271</v>
      </c>
      <c r="C796" s="10">
        <v>6</v>
      </c>
      <c r="D796" s="10">
        <v>0.7</v>
      </c>
      <c r="E796" s="10">
        <v>40</v>
      </c>
    </row>
    <row r="797" spans="1:5">
      <c r="A797" t="s">
        <v>4992</v>
      </c>
      <c r="B797" t="s">
        <v>4993</v>
      </c>
      <c r="C797" s="10">
        <v>6</v>
      </c>
      <c r="D797" s="10">
        <v>0.7</v>
      </c>
      <c r="E797" s="10">
        <v>38</v>
      </c>
    </row>
    <row r="798" spans="1:5">
      <c r="A798" t="s">
        <v>9553</v>
      </c>
      <c r="B798" t="s">
        <v>8459</v>
      </c>
      <c r="C798" s="10">
        <v>12</v>
      </c>
      <c r="D798" s="10">
        <v>1</v>
      </c>
      <c r="E798" s="10">
        <v>38</v>
      </c>
    </row>
    <row r="799" spans="1:5">
      <c r="A799" t="s">
        <v>9554</v>
      </c>
      <c r="B799" t="s">
        <v>8460</v>
      </c>
      <c r="C799" s="10">
        <v>12</v>
      </c>
      <c r="D799" s="10">
        <v>1</v>
      </c>
      <c r="E799" s="10">
        <v>38</v>
      </c>
    </row>
    <row r="800" spans="1:5">
      <c r="A800" t="s">
        <v>9555</v>
      </c>
      <c r="B800" t="s">
        <v>4994</v>
      </c>
      <c r="C800" s="10">
        <v>6</v>
      </c>
      <c r="D800" s="10">
        <v>0.7</v>
      </c>
      <c r="E800" s="10">
        <v>38</v>
      </c>
    </row>
    <row r="801" spans="1:5">
      <c r="A801" t="s">
        <v>3533</v>
      </c>
      <c r="B801" t="s">
        <v>3534</v>
      </c>
      <c r="C801" s="10">
        <v>6</v>
      </c>
      <c r="D801" s="10">
        <v>0.7</v>
      </c>
      <c r="E801" s="10">
        <v>50</v>
      </c>
    </row>
    <row r="802" spans="1:5">
      <c r="A802" t="s">
        <v>3535</v>
      </c>
      <c r="B802" t="s">
        <v>3536</v>
      </c>
      <c r="C802" s="10">
        <v>6</v>
      </c>
      <c r="D802" s="10">
        <v>0.7</v>
      </c>
      <c r="E802" s="10">
        <v>50</v>
      </c>
    </row>
    <row r="803" spans="1:5">
      <c r="A803" t="s">
        <v>9556</v>
      </c>
      <c r="B803" t="s">
        <v>8461</v>
      </c>
      <c r="C803" s="10">
        <v>6</v>
      </c>
      <c r="D803" s="10">
        <v>0.7</v>
      </c>
      <c r="E803" s="10">
        <v>57.3</v>
      </c>
    </row>
    <row r="804" spans="1:5">
      <c r="A804" t="s">
        <v>9557</v>
      </c>
      <c r="B804" t="s">
        <v>8462</v>
      </c>
      <c r="C804" s="10">
        <v>6</v>
      </c>
      <c r="D804" s="10">
        <v>0.7</v>
      </c>
      <c r="E804" s="10">
        <v>59.2</v>
      </c>
    </row>
    <row r="805" spans="1:5">
      <c r="A805" t="s">
        <v>3537</v>
      </c>
      <c r="B805" t="s">
        <v>3538</v>
      </c>
      <c r="C805" s="10">
        <v>6</v>
      </c>
      <c r="D805" s="10">
        <v>0.7</v>
      </c>
      <c r="E805" s="10">
        <v>50</v>
      </c>
    </row>
    <row r="806" spans="1:5">
      <c r="A806" t="s">
        <v>9558</v>
      </c>
      <c r="B806" t="s">
        <v>8463</v>
      </c>
      <c r="C806" s="10">
        <v>6</v>
      </c>
      <c r="D806" s="10">
        <v>0.7</v>
      </c>
      <c r="E806" s="10">
        <v>50</v>
      </c>
    </row>
    <row r="807" spans="1:5">
      <c r="A807" t="s">
        <v>3539</v>
      </c>
      <c r="B807" t="s">
        <v>3540</v>
      </c>
      <c r="C807" s="10">
        <v>6</v>
      </c>
      <c r="D807" s="10">
        <v>0.7</v>
      </c>
      <c r="E807" s="10">
        <v>50</v>
      </c>
    </row>
    <row r="808" spans="1:5">
      <c r="A808" t="s">
        <v>3541</v>
      </c>
      <c r="B808" t="s">
        <v>3542</v>
      </c>
      <c r="C808" s="10">
        <v>6</v>
      </c>
      <c r="D808" s="10">
        <v>0.7</v>
      </c>
      <c r="E808" s="10">
        <v>50</v>
      </c>
    </row>
    <row r="809" spans="1:5">
      <c r="A809" t="s">
        <v>272</v>
      </c>
      <c r="B809" t="s">
        <v>273</v>
      </c>
      <c r="C809" s="10">
        <v>6</v>
      </c>
      <c r="D809" s="10">
        <v>0.7</v>
      </c>
      <c r="E809" s="10">
        <v>40</v>
      </c>
    </row>
    <row r="810" spans="1:5">
      <c r="A810" t="s">
        <v>3543</v>
      </c>
      <c r="B810" t="s">
        <v>3544</v>
      </c>
      <c r="C810" s="10">
        <v>6</v>
      </c>
      <c r="D810" s="10">
        <v>0.7</v>
      </c>
      <c r="E810" s="10">
        <v>0</v>
      </c>
    </row>
    <row r="811" spans="1:5">
      <c r="A811" t="s">
        <v>274</v>
      </c>
      <c r="B811" t="s">
        <v>275</v>
      </c>
      <c r="C811" s="10">
        <v>6</v>
      </c>
      <c r="D811" s="10">
        <v>0.7</v>
      </c>
      <c r="E811" s="10">
        <v>40</v>
      </c>
    </row>
    <row r="812" spans="1:5">
      <c r="A812" t="s">
        <v>3545</v>
      </c>
      <c r="B812" t="s">
        <v>3546</v>
      </c>
      <c r="C812" s="10">
        <v>6</v>
      </c>
      <c r="D812" s="10">
        <v>0.7</v>
      </c>
      <c r="E812" s="10">
        <v>0</v>
      </c>
    </row>
    <row r="813" spans="1:5">
      <c r="A813" t="s">
        <v>5685</v>
      </c>
      <c r="B813" t="s">
        <v>5686</v>
      </c>
      <c r="C813" s="10">
        <v>12</v>
      </c>
      <c r="D813" s="10">
        <v>1</v>
      </c>
      <c r="E813" s="10">
        <v>40</v>
      </c>
    </row>
    <row r="814" spans="1:5">
      <c r="A814" t="s">
        <v>6119</v>
      </c>
      <c r="B814" t="s">
        <v>6120</v>
      </c>
      <c r="C814" s="10">
        <v>24</v>
      </c>
      <c r="D814" s="10">
        <v>0.33</v>
      </c>
      <c r="E814" s="10">
        <v>5</v>
      </c>
    </row>
    <row r="815" spans="1:5">
      <c r="A815" t="s">
        <v>4995</v>
      </c>
      <c r="B815" t="s">
        <v>4996</v>
      </c>
      <c r="C815" s="10">
        <v>6</v>
      </c>
      <c r="D815" s="10">
        <v>0.7</v>
      </c>
      <c r="E815" s="10">
        <v>38</v>
      </c>
    </row>
    <row r="816" spans="1:5">
      <c r="A816" t="s">
        <v>4997</v>
      </c>
      <c r="B816" t="s">
        <v>4998</v>
      </c>
      <c r="C816" s="10">
        <v>6</v>
      </c>
      <c r="D816" s="10">
        <v>0.7</v>
      </c>
      <c r="E816" s="10">
        <v>38</v>
      </c>
    </row>
    <row r="817" spans="1:5">
      <c r="A817" t="s">
        <v>276</v>
      </c>
      <c r="B817" t="s">
        <v>277</v>
      </c>
      <c r="C817" s="10">
        <v>6</v>
      </c>
      <c r="D817" s="10">
        <v>0.7</v>
      </c>
      <c r="E817" s="10">
        <v>40</v>
      </c>
    </row>
    <row r="818" spans="1:5">
      <c r="A818" t="s">
        <v>6811</v>
      </c>
      <c r="B818" t="s">
        <v>277</v>
      </c>
      <c r="C818" s="10">
        <v>12</v>
      </c>
      <c r="D818" s="10">
        <v>1</v>
      </c>
      <c r="E818" s="10">
        <v>45</v>
      </c>
    </row>
    <row r="819" spans="1:5">
      <c r="A819" t="s">
        <v>3547</v>
      </c>
      <c r="B819" t="s">
        <v>3548</v>
      </c>
      <c r="C819" s="10">
        <v>6</v>
      </c>
      <c r="D819" s="10">
        <v>0.7</v>
      </c>
      <c r="E819" s="10">
        <v>17</v>
      </c>
    </row>
    <row r="820" spans="1:5">
      <c r="A820" t="s">
        <v>278</v>
      </c>
      <c r="B820" t="s">
        <v>279</v>
      </c>
      <c r="C820" s="10">
        <v>6</v>
      </c>
      <c r="D820" s="10">
        <v>0.7</v>
      </c>
      <c r="E820" s="10">
        <v>40</v>
      </c>
    </row>
    <row r="821" spans="1:5">
      <c r="A821" t="s">
        <v>1431</v>
      </c>
      <c r="B821" t="s">
        <v>279</v>
      </c>
      <c r="C821" s="10">
        <v>6</v>
      </c>
      <c r="D821" s="10">
        <v>1</v>
      </c>
      <c r="E821" s="10">
        <v>40</v>
      </c>
    </row>
    <row r="822" spans="1:5">
      <c r="A822" t="s">
        <v>3549</v>
      </c>
      <c r="B822" t="s">
        <v>3550</v>
      </c>
      <c r="C822" s="10">
        <v>6</v>
      </c>
      <c r="D822" s="10">
        <v>0.7</v>
      </c>
      <c r="E822" s="10">
        <v>45.6</v>
      </c>
    </row>
    <row r="823" spans="1:5">
      <c r="A823" t="s">
        <v>9559</v>
      </c>
      <c r="B823" t="s">
        <v>4735</v>
      </c>
      <c r="C823" s="10">
        <v>6</v>
      </c>
      <c r="D823" s="10">
        <v>0.7</v>
      </c>
      <c r="E823" s="10">
        <v>45</v>
      </c>
    </row>
    <row r="824" spans="1:5">
      <c r="A824" t="s">
        <v>4736</v>
      </c>
      <c r="B824" t="s">
        <v>4735</v>
      </c>
      <c r="C824" s="10">
        <v>6</v>
      </c>
      <c r="D824" s="10">
        <v>0.7</v>
      </c>
      <c r="E824" s="10">
        <v>45</v>
      </c>
    </row>
    <row r="825" spans="1:5">
      <c r="A825" t="s">
        <v>6812</v>
      </c>
      <c r="B825" t="s">
        <v>4735</v>
      </c>
      <c r="C825" s="10">
        <v>12</v>
      </c>
      <c r="D825" s="10">
        <v>1</v>
      </c>
      <c r="E825" s="10">
        <v>45</v>
      </c>
    </row>
    <row r="826" spans="1:5">
      <c r="A826" t="s">
        <v>4737</v>
      </c>
      <c r="B826" t="s">
        <v>4738</v>
      </c>
      <c r="C826" s="10">
        <v>6</v>
      </c>
      <c r="D826" s="10">
        <v>0.7</v>
      </c>
      <c r="E826" s="10">
        <v>45</v>
      </c>
    </row>
    <row r="827" spans="1:5">
      <c r="A827" t="s">
        <v>280</v>
      </c>
      <c r="B827" t="s">
        <v>281</v>
      </c>
      <c r="C827" s="10">
        <v>6</v>
      </c>
      <c r="D827" s="10">
        <v>0.7</v>
      </c>
      <c r="E827" s="10">
        <v>40</v>
      </c>
    </row>
    <row r="828" spans="1:5">
      <c r="A828" t="s">
        <v>3551</v>
      </c>
      <c r="B828" t="s">
        <v>3552</v>
      </c>
      <c r="C828" s="10">
        <v>6</v>
      </c>
      <c r="D828" s="10">
        <v>0.7</v>
      </c>
      <c r="E828" s="10">
        <v>15</v>
      </c>
    </row>
    <row r="829" spans="1:5">
      <c r="A829" t="s">
        <v>282</v>
      </c>
      <c r="B829" t="s">
        <v>283</v>
      </c>
      <c r="C829" s="10">
        <v>6</v>
      </c>
      <c r="D829" s="10">
        <v>0.7</v>
      </c>
      <c r="E829" s="10">
        <v>40</v>
      </c>
    </row>
    <row r="830" spans="1:5">
      <c r="A830" t="s">
        <v>284</v>
      </c>
      <c r="B830" t="s">
        <v>285</v>
      </c>
      <c r="C830" s="10">
        <v>6</v>
      </c>
      <c r="D830" s="10">
        <v>0.7</v>
      </c>
      <c r="E830" s="10">
        <v>40</v>
      </c>
    </row>
    <row r="831" spans="1:5">
      <c r="A831" t="s">
        <v>6639</v>
      </c>
      <c r="B831" t="s">
        <v>6640</v>
      </c>
      <c r="C831" s="10">
        <v>12</v>
      </c>
      <c r="D831" s="10">
        <v>375</v>
      </c>
      <c r="E831" s="10">
        <v>0</v>
      </c>
    </row>
    <row r="832" spans="1:5">
      <c r="A832" t="s">
        <v>3553</v>
      </c>
      <c r="B832" t="s">
        <v>3554</v>
      </c>
      <c r="C832" s="10">
        <v>6</v>
      </c>
      <c r="D832" s="10">
        <v>0.7</v>
      </c>
      <c r="E832" s="10">
        <v>46.3</v>
      </c>
    </row>
    <row r="833" spans="1:5">
      <c r="A833" t="s">
        <v>9560</v>
      </c>
      <c r="B833" t="s">
        <v>8464</v>
      </c>
      <c r="C833" s="10">
        <v>3</v>
      </c>
      <c r="D833" s="10">
        <v>0.7</v>
      </c>
      <c r="E833" s="10">
        <v>46.3</v>
      </c>
    </row>
    <row r="834" spans="1:5">
      <c r="A834" t="s">
        <v>9561</v>
      </c>
      <c r="B834" t="s">
        <v>8465</v>
      </c>
      <c r="C834" s="10">
        <v>1</v>
      </c>
      <c r="D834" s="10">
        <v>0.7</v>
      </c>
      <c r="E834" s="10">
        <v>41.9</v>
      </c>
    </row>
    <row r="835" spans="1:5">
      <c r="A835" t="s">
        <v>9562</v>
      </c>
      <c r="B835" t="s">
        <v>8466</v>
      </c>
      <c r="C835" s="10">
        <v>6</v>
      </c>
      <c r="D835" s="10">
        <v>1</v>
      </c>
      <c r="E835" s="10">
        <v>50</v>
      </c>
    </row>
    <row r="836" spans="1:5">
      <c r="A836" t="s">
        <v>2023</v>
      </c>
      <c r="B836" t="s">
        <v>2024</v>
      </c>
      <c r="C836" s="10">
        <v>6</v>
      </c>
      <c r="D836" s="10">
        <v>1</v>
      </c>
      <c r="E836" s="10">
        <v>50</v>
      </c>
    </row>
    <row r="837" spans="1:5">
      <c r="A837" t="s">
        <v>2025</v>
      </c>
      <c r="B837" t="s">
        <v>2026</v>
      </c>
      <c r="C837" s="10">
        <v>6</v>
      </c>
      <c r="D837" s="10">
        <v>1</v>
      </c>
      <c r="E837" s="10">
        <v>46.3</v>
      </c>
    </row>
    <row r="838" spans="1:5">
      <c r="A838" t="s">
        <v>3555</v>
      </c>
      <c r="B838" t="s">
        <v>3556</v>
      </c>
      <c r="C838" s="10">
        <v>6</v>
      </c>
      <c r="D838" s="10">
        <v>0.7</v>
      </c>
      <c r="E838" s="10">
        <v>46.3</v>
      </c>
    </row>
    <row r="839" spans="1:5">
      <c r="A839" t="s">
        <v>3557</v>
      </c>
      <c r="B839" t="s">
        <v>3558</v>
      </c>
      <c r="C839" s="10">
        <v>6</v>
      </c>
      <c r="D839" s="10">
        <v>0.7</v>
      </c>
      <c r="E839" s="10">
        <v>46.3</v>
      </c>
    </row>
    <row r="840" spans="1:5">
      <c r="A840" t="s">
        <v>9563</v>
      </c>
      <c r="B840" t="s">
        <v>286</v>
      </c>
      <c r="C840" s="10">
        <v>6</v>
      </c>
      <c r="D840" s="10">
        <v>0.7</v>
      </c>
      <c r="E840" s="10">
        <v>40</v>
      </c>
    </row>
    <row r="841" spans="1:5">
      <c r="A841" t="s">
        <v>287</v>
      </c>
      <c r="B841" t="s">
        <v>286</v>
      </c>
      <c r="C841" s="10">
        <v>6</v>
      </c>
      <c r="D841" s="10">
        <v>0.7</v>
      </c>
      <c r="E841" s="10">
        <v>40</v>
      </c>
    </row>
    <row r="842" spans="1:5">
      <c r="A842" t="s">
        <v>288</v>
      </c>
      <c r="B842" t="s">
        <v>289</v>
      </c>
      <c r="C842" s="10">
        <v>6</v>
      </c>
      <c r="D842" s="10">
        <v>0.7</v>
      </c>
      <c r="E842" s="10">
        <v>40</v>
      </c>
    </row>
    <row r="843" spans="1:5">
      <c r="A843" t="s">
        <v>290</v>
      </c>
      <c r="B843" t="s">
        <v>291</v>
      </c>
      <c r="C843" s="10">
        <v>6</v>
      </c>
      <c r="D843" s="10">
        <v>0.7</v>
      </c>
      <c r="E843" s="10">
        <v>40</v>
      </c>
    </row>
    <row r="844" spans="1:5">
      <c r="A844" t="s">
        <v>292</v>
      </c>
      <c r="B844" t="s">
        <v>293</v>
      </c>
      <c r="C844" s="10">
        <v>6</v>
      </c>
      <c r="D844" s="10">
        <v>0.7</v>
      </c>
      <c r="E844" s="10">
        <v>40</v>
      </c>
    </row>
    <row r="845" spans="1:5">
      <c r="A845" t="s">
        <v>294</v>
      </c>
      <c r="B845" t="s">
        <v>295</v>
      </c>
      <c r="C845" s="10">
        <v>6</v>
      </c>
      <c r="D845" s="10">
        <v>0.7</v>
      </c>
      <c r="E845" s="10">
        <v>40</v>
      </c>
    </row>
    <row r="846" spans="1:5">
      <c r="A846" t="s">
        <v>5687</v>
      </c>
      <c r="B846" t="s">
        <v>295</v>
      </c>
      <c r="C846" s="10">
        <v>12</v>
      </c>
      <c r="D846" s="10">
        <v>1</v>
      </c>
      <c r="E846" s="10">
        <v>40</v>
      </c>
    </row>
    <row r="847" spans="1:5">
      <c r="A847" t="s">
        <v>1432</v>
      </c>
      <c r="B847" t="s">
        <v>1433</v>
      </c>
      <c r="C847" s="10">
        <v>6</v>
      </c>
      <c r="D847" s="10">
        <v>1</v>
      </c>
      <c r="E847" s="10">
        <v>40</v>
      </c>
    </row>
    <row r="848" spans="1:5">
      <c r="A848" t="s">
        <v>296</v>
      </c>
      <c r="B848" t="s">
        <v>297</v>
      </c>
      <c r="C848" s="10">
        <v>6</v>
      </c>
      <c r="D848" s="10">
        <v>0.7</v>
      </c>
      <c r="E848" s="10">
        <v>40</v>
      </c>
    </row>
    <row r="849" spans="1:5">
      <c r="A849" t="s">
        <v>9564</v>
      </c>
      <c r="B849" t="s">
        <v>8467</v>
      </c>
      <c r="C849" s="10">
        <v>3</v>
      </c>
      <c r="D849" s="10">
        <v>0.7</v>
      </c>
      <c r="E849" s="10">
        <v>48.2</v>
      </c>
    </row>
    <row r="850" spans="1:5">
      <c r="A850" t="s">
        <v>9565</v>
      </c>
      <c r="B850" t="s">
        <v>8468</v>
      </c>
      <c r="C850" s="10">
        <v>3</v>
      </c>
      <c r="D850" s="10">
        <v>0.7</v>
      </c>
      <c r="E850" s="10">
        <v>57.8</v>
      </c>
    </row>
    <row r="851" spans="1:5">
      <c r="A851" t="s">
        <v>3559</v>
      </c>
      <c r="B851" t="s">
        <v>3560</v>
      </c>
      <c r="C851" s="10">
        <v>6</v>
      </c>
      <c r="D851" s="10">
        <v>0.7</v>
      </c>
      <c r="E851" s="10">
        <v>54.2</v>
      </c>
    </row>
    <row r="852" spans="1:5">
      <c r="A852" t="s">
        <v>9566</v>
      </c>
      <c r="B852" t="s">
        <v>8469</v>
      </c>
      <c r="C852" s="10">
        <v>6</v>
      </c>
      <c r="D852" s="10">
        <v>0.7</v>
      </c>
      <c r="E852" s="10">
        <v>56.3</v>
      </c>
    </row>
    <row r="853" spans="1:5">
      <c r="A853" t="s">
        <v>299</v>
      </c>
      <c r="B853" t="s">
        <v>298</v>
      </c>
      <c r="C853" s="10">
        <v>6</v>
      </c>
      <c r="D853" s="10">
        <v>0.7</v>
      </c>
      <c r="E853" s="10">
        <v>40</v>
      </c>
    </row>
    <row r="854" spans="1:5">
      <c r="A854" t="s">
        <v>300</v>
      </c>
      <c r="B854" t="s">
        <v>298</v>
      </c>
      <c r="C854" s="10">
        <v>6</v>
      </c>
      <c r="D854" s="10">
        <v>0.7</v>
      </c>
      <c r="E854" s="10">
        <v>40</v>
      </c>
    </row>
    <row r="855" spans="1:5">
      <c r="A855" t="s">
        <v>5688</v>
      </c>
      <c r="B855" t="s">
        <v>298</v>
      </c>
      <c r="C855" s="10">
        <v>12</v>
      </c>
      <c r="D855" s="10">
        <v>1</v>
      </c>
      <c r="E855" s="10">
        <v>40</v>
      </c>
    </row>
    <row r="856" spans="1:5">
      <c r="A856" t="s">
        <v>9567</v>
      </c>
      <c r="B856" t="s">
        <v>298</v>
      </c>
      <c r="C856" s="10">
        <v>6</v>
      </c>
      <c r="D856" s="10">
        <v>1.5</v>
      </c>
      <c r="E856" s="10">
        <v>40</v>
      </c>
    </row>
    <row r="857" spans="1:5">
      <c r="A857" t="s">
        <v>301</v>
      </c>
      <c r="B857" t="s">
        <v>302</v>
      </c>
      <c r="C857" s="10">
        <v>6</v>
      </c>
      <c r="D857" s="10">
        <v>0.7</v>
      </c>
      <c r="E857" s="10">
        <v>40</v>
      </c>
    </row>
    <row r="858" spans="1:5">
      <c r="A858" t="s">
        <v>1434</v>
      </c>
      <c r="B858" t="s">
        <v>1435</v>
      </c>
      <c r="C858" s="10">
        <v>6</v>
      </c>
      <c r="D858" s="10">
        <v>1</v>
      </c>
      <c r="E858" s="10">
        <v>40</v>
      </c>
    </row>
    <row r="859" spans="1:5">
      <c r="A859" t="s">
        <v>303</v>
      </c>
      <c r="B859" t="s">
        <v>304</v>
      </c>
      <c r="C859" s="10">
        <v>6</v>
      </c>
      <c r="D859" s="10">
        <v>0.7</v>
      </c>
      <c r="E859" s="10">
        <v>40</v>
      </c>
    </row>
    <row r="860" spans="1:5">
      <c r="A860" t="s">
        <v>9568</v>
      </c>
      <c r="B860" t="s">
        <v>8470</v>
      </c>
      <c r="C860" s="10">
        <v>6</v>
      </c>
      <c r="D860" s="10">
        <v>1</v>
      </c>
      <c r="E860" s="10">
        <v>40</v>
      </c>
    </row>
    <row r="861" spans="1:5">
      <c r="A861" t="s">
        <v>305</v>
      </c>
      <c r="B861" t="s">
        <v>306</v>
      </c>
      <c r="C861" s="10">
        <v>6</v>
      </c>
      <c r="D861" s="10">
        <v>0.7</v>
      </c>
      <c r="E861" s="10">
        <v>40</v>
      </c>
    </row>
    <row r="862" spans="1:5">
      <c r="A862" t="s">
        <v>1552</v>
      </c>
      <c r="B862" t="s">
        <v>308</v>
      </c>
      <c r="C862" s="10">
        <v>6</v>
      </c>
      <c r="D862" s="10">
        <v>0.35</v>
      </c>
      <c r="E862" s="10">
        <v>40</v>
      </c>
    </row>
    <row r="863" spans="1:5">
      <c r="A863" t="s">
        <v>307</v>
      </c>
      <c r="B863" t="s">
        <v>308</v>
      </c>
      <c r="C863" s="10">
        <v>6</v>
      </c>
      <c r="D863" s="10">
        <v>0.7</v>
      </c>
      <c r="E863" s="10">
        <v>40</v>
      </c>
    </row>
    <row r="864" spans="1:5">
      <c r="A864" t="s">
        <v>309</v>
      </c>
      <c r="B864" t="s">
        <v>310</v>
      </c>
      <c r="C864" s="10">
        <v>6</v>
      </c>
      <c r="D864" s="10">
        <v>0.7</v>
      </c>
      <c r="E864" s="10">
        <v>40</v>
      </c>
    </row>
    <row r="865" spans="1:5">
      <c r="A865" t="s">
        <v>1553</v>
      </c>
      <c r="B865" t="s">
        <v>1554</v>
      </c>
      <c r="C865" s="10">
        <v>6</v>
      </c>
      <c r="D865" s="10">
        <v>0.5</v>
      </c>
      <c r="E865" s="10">
        <v>40</v>
      </c>
    </row>
    <row r="866" spans="1:5">
      <c r="A866" t="s">
        <v>1555</v>
      </c>
      <c r="B866" t="s">
        <v>1556</v>
      </c>
      <c r="C866" s="10">
        <v>6</v>
      </c>
      <c r="D866" s="10">
        <v>0.5</v>
      </c>
      <c r="E866" s="10">
        <v>40</v>
      </c>
    </row>
    <row r="867" spans="1:5">
      <c r="A867" t="s">
        <v>9569</v>
      </c>
      <c r="B867" t="s">
        <v>8471</v>
      </c>
      <c r="C867" s="10">
        <v>6</v>
      </c>
      <c r="D867" s="10">
        <v>0.5</v>
      </c>
      <c r="E867" s="10">
        <v>40</v>
      </c>
    </row>
    <row r="868" spans="1:5">
      <c r="A868" t="s">
        <v>2898</v>
      </c>
      <c r="B868" t="s">
        <v>2899</v>
      </c>
      <c r="C868" s="10">
        <v>6</v>
      </c>
      <c r="D868" s="10">
        <v>0.75</v>
      </c>
      <c r="E868" s="10">
        <v>13</v>
      </c>
    </row>
    <row r="869" spans="1:5">
      <c r="A869" t="s">
        <v>2484</v>
      </c>
      <c r="B869" t="s">
        <v>2485</v>
      </c>
      <c r="C869" s="10">
        <v>6</v>
      </c>
      <c r="D869" s="10">
        <v>0.75</v>
      </c>
      <c r="E869" s="10">
        <v>16</v>
      </c>
    </row>
    <row r="870" spans="1:5">
      <c r="A870" t="s">
        <v>2486</v>
      </c>
      <c r="B870" t="s">
        <v>2487</v>
      </c>
      <c r="C870" s="10">
        <v>6</v>
      </c>
      <c r="D870" s="10">
        <v>0.75</v>
      </c>
      <c r="E870" s="10">
        <v>14.5</v>
      </c>
    </row>
    <row r="871" spans="1:5">
      <c r="A871" t="s">
        <v>2488</v>
      </c>
      <c r="B871" t="s">
        <v>2489</v>
      </c>
      <c r="C871" s="10">
        <v>6</v>
      </c>
      <c r="D871" s="10">
        <v>0.75</v>
      </c>
      <c r="E871" s="10">
        <v>14.5</v>
      </c>
    </row>
    <row r="872" spans="1:5">
      <c r="A872" t="s">
        <v>2490</v>
      </c>
      <c r="B872" t="s">
        <v>2491</v>
      </c>
      <c r="C872" s="10">
        <v>6</v>
      </c>
      <c r="D872" s="10">
        <v>0.75</v>
      </c>
      <c r="E872" s="10">
        <v>17</v>
      </c>
    </row>
    <row r="873" spans="1:5">
      <c r="A873" t="s">
        <v>2492</v>
      </c>
      <c r="B873" t="s">
        <v>2493</v>
      </c>
      <c r="C873" s="10">
        <v>6</v>
      </c>
      <c r="D873" s="10">
        <v>0.75</v>
      </c>
      <c r="E873" s="10">
        <v>13.5</v>
      </c>
    </row>
    <row r="874" spans="1:5">
      <c r="A874" t="s">
        <v>2494</v>
      </c>
      <c r="B874" t="s">
        <v>2495</v>
      </c>
      <c r="C874" s="10">
        <v>6</v>
      </c>
      <c r="D874" s="10">
        <v>0.75</v>
      </c>
      <c r="E874" s="10">
        <v>15</v>
      </c>
    </row>
    <row r="875" spans="1:5">
      <c r="A875" t="s">
        <v>2496</v>
      </c>
      <c r="B875" t="s">
        <v>2497</v>
      </c>
      <c r="C875" s="10">
        <v>6</v>
      </c>
      <c r="D875" s="10">
        <v>0.75</v>
      </c>
      <c r="E875" s="10">
        <v>14</v>
      </c>
    </row>
    <row r="876" spans="1:5">
      <c r="A876" t="s">
        <v>2498</v>
      </c>
      <c r="B876" t="s">
        <v>2499</v>
      </c>
      <c r="C876" s="10">
        <v>6</v>
      </c>
      <c r="D876" s="10">
        <v>0.75</v>
      </c>
      <c r="E876" s="10">
        <v>13.5</v>
      </c>
    </row>
    <row r="877" spans="1:5">
      <c r="A877" t="s">
        <v>2027</v>
      </c>
      <c r="B877" t="s">
        <v>2028</v>
      </c>
      <c r="C877" s="10">
        <v>6</v>
      </c>
      <c r="D877" s="10">
        <v>1</v>
      </c>
      <c r="E877" s="10">
        <v>37.5</v>
      </c>
    </row>
    <row r="878" spans="1:5">
      <c r="A878" t="s">
        <v>311</v>
      </c>
      <c r="B878" t="s">
        <v>312</v>
      </c>
      <c r="C878" s="10">
        <v>6</v>
      </c>
      <c r="D878" s="10">
        <v>0.7</v>
      </c>
      <c r="E878" s="10">
        <v>40</v>
      </c>
    </row>
    <row r="879" spans="1:5">
      <c r="A879" t="s">
        <v>4999</v>
      </c>
      <c r="B879" t="s">
        <v>312</v>
      </c>
      <c r="C879" s="10">
        <v>6</v>
      </c>
      <c r="D879" s="10">
        <v>0.7</v>
      </c>
      <c r="E879" s="10">
        <v>38</v>
      </c>
    </row>
    <row r="880" spans="1:5">
      <c r="A880" t="s">
        <v>1436</v>
      </c>
      <c r="B880" t="s">
        <v>312</v>
      </c>
      <c r="C880" s="10">
        <v>6</v>
      </c>
      <c r="D880" s="10">
        <v>1</v>
      </c>
      <c r="E880" s="10">
        <v>40</v>
      </c>
    </row>
    <row r="881" spans="1:5">
      <c r="A881" t="s">
        <v>313</v>
      </c>
      <c r="B881" t="s">
        <v>314</v>
      </c>
      <c r="C881" s="10">
        <v>6</v>
      </c>
      <c r="D881" s="10">
        <v>0.7</v>
      </c>
      <c r="E881" s="10">
        <v>40</v>
      </c>
    </row>
    <row r="882" spans="1:5">
      <c r="A882" t="s">
        <v>9570</v>
      </c>
      <c r="B882" t="s">
        <v>3129</v>
      </c>
      <c r="C882" s="10">
        <v>6</v>
      </c>
      <c r="D882" s="10">
        <v>0.75</v>
      </c>
      <c r="E882" s="10">
        <v>12.5</v>
      </c>
    </row>
    <row r="883" spans="1:5">
      <c r="A883" t="s">
        <v>3561</v>
      </c>
      <c r="B883" t="s">
        <v>3562</v>
      </c>
      <c r="C883" s="10">
        <v>6</v>
      </c>
      <c r="D883" s="10">
        <v>0.7</v>
      </c>
      <c r="E883" s="10">
        <v>23</v>
      </c>
    </row>
    <row r="884" spans="1:5">
      <c r="A884" t="s">
        <v>9571</v>
      </c>
      <c r="B884" t="s">
        <v>8472</v>
      </c>
      <c r="C884" s="10">
        <v>6</v>
      </c>
      <c r="D884" s="10">
        <v>0.7</v>
      </c>
      <c r="E884" s="10">
        <v>42</v>
      </c>
    </row>
    <row r="885" spans="1:5">
      <c r="A885" t="s">
        <v>3563</v>
      </c>
      <c r="B885" t="s">
        <v>3564</v>
      </c>
      <c r="C885" s="10">
        <v>6</v>
      </c>
      <c r="D885" s="10">
        <v>0.7</v>
      </c>
      <c r="E885" s="10">
        <v>30</v>
      </c>
    </row>
    <row r="886" spans="1:5">
      <c r="A886" t="s">
        <v>9572</v>
      </c>
      <c r="B886" t="s">
        <v>8473</v>
      </c>
      <c r="C886" s="10">
        <v>6</v>
      </c>
      <c r="D886" s="10">
        <v>0.5</v>
      </c>
      <c r="E886" s="10">
        <v>27</v>
      </c>
    </row>
    <row r="887" spans="1:5">
      <c r="A887" t="s">
        <v>1743</v>
      </c>
      <c r="B887" t="s">
        <v>1744</v>
      </c>
      <c r="C887" s="10">
        <v>6</v>
      </c>
      <c r="D887" s="10">
        <v>0.5</v>
      </c>
      <c r="E887" s="10">
        <v>0</v>
      </c>
    </row>
    <row r="888" spans="1:5">
      <c r="A888" t="s">
        <v>1745</v>
      </c>
      <c r="B888" t="s">
        <v>1746</v>
      </c>
      <c r="C888" s="10">
        <v>6</v>
      </c>
      <c r="D888" s="10">
        <v>0.5</v>
      </c>
      <c r="E888" s="10">
        <v>0</v>
      </c>
    </row>
    <row r="889" spans="1:5">
      <c r="A889" t="s">
        <v>5000</v>
      </c>
      <c r="B889" t="s">
        <v>5001</v>
      </c>
      <c r="C889" s="10">
        <v>6</v>
      </c>
      <c r="D889" s="10">
        <v>0.7</v>
      </c>
      <c r="E889" s="10">
        <v>38</v>
      </c>
    </row>
    <row r="890" spans="1:5">
      <c r="A890" t="s">
        <v>4831</v>
      </c>
      <c r="B890" t="s">
        <v>4832</v>
      </c>
      <c r="C890" s="10">
        <v>6</v>
      </c>
      <c r="D890" s="10">
        <v>0.7</v>
      </c>
      <c r="E890" s="10">
        <v>37.5</v>
      </c>
    </row>
    <row r="891" spans="1:5">
      <c r="A891" t="s">
        <v>4833</v>
      </c>
      <c r="B891" t="s">
        <v>4834</v>
      </c>
      <c r="C891" s="10">
        <v>6</v>
      </c>
      <c r="D891" s="10">
        <v>0.7</v>
      </c>
      <c r="E891" s="10">
        <v>37.5</v>
      </c>
    </row>
    <row r="892" spans="1:5">
      <c r="A892" t="s">
        <v>3565</v>
      </c>
      <c r="B892" t="s">
        <v>3566</v>
      </c>
      <c r="C892" s="10">
        <v>6</v>
      </c>
      <c r="D892" s="10">
        <v>0.7</v>
      </c>
      <c r="E892" s="10">
        <v>20</v>
      </c>
    </row>
    <row r="893" spans="1:5">
      <c r="A893" t="s">
        <v>315</v>
      </c>
      <c r="B893" t="s">
        <v>316</v>
      </c>
      <c r="C893" s="10">
        <v>6</v>
      </c>
      <c r="D893" s="10">
        <v>0.7</v>
      </c>
      <c r="E893" s="10">
        <v>40</v>
      </c>
    </row>
    <row r="894" spans="1:5">
      <c r="A894" t="s">
        <v>3567</v>
      </c>
      <c r="B894" t="s">
        <v>3568</v>
      </c>
      <c r="C894" s="10">
        <v>6</v>
      </c>
      <c r="D894" s="10">
        <v>0.7</v>
      </c>
      <c r="E894" s="10">
        <v>35</v>
      </c>
    </row>
    <row r="895" spans="1:5">
      <c r="A895" t="s">
        <v>6121</v>
      </c>
      <c r="B895" t="s">
        <v>2030</v>
      </c>
      <c r="C895" s="10">
        <v>200</v>
      </c>
      <c r="D895" s="10">
        <v>0.05</v>
      </c>
      <c r="E895" s="10">
        <v>25</v>
      </c>
    </row>
    <row r="896" spans="1:5">
      <c r="A896" t="s">
        <v>3569</v>
      </c>
      <c r="B896" t="s">
        <v>2030</v>
      </c>
      <c r="C896" s="10">
        <v>6</v>
      </c>
      <c r="D896" s="10">
        <v>0.7</v>
      </c>
      <c r="E896" s="10">
        <v>25</v>
      </c>
    </row>
    <row r="897" spans="1:5">
      <c r="A897" t="s">
        <v>3570</v>
      </c>
      <c r="B897" t="s">
        <v>2030</v>
      </c>
      <c r="C897" s="10">
        <v>6</v>
      </c>
      <c r="D897" s="10">
        <v>0.7</v>
      </c>
      <c r="E897" s="10">
        <v>25</v>
      </c>
    </row>
    <row r="898" spans="1:5">
      <c r="A898" t="s">
        <v>9573</v>
      </c>
      <c r="B898" t="s">
        <v>2030</v>
      </c>
      <c r="C898" s="10">
        <v>12</v>
      </c>
      <c r="D898" s="10">
        <v>1</v>
      </c>
      <c r="E898" s="10">
        <v>28.5</v>
      </c>
    </row>
    <row r="899" spans="1:5">
      <c r="A899" t="s">
        <v>2029</v>
      </c>
      <c r="B899" t="s">
        <v>2030</v>
      </c>
      <c r="C899" s="10">
        <v>6</v>
      </c>
      <c r="D899" s="10">
        <v>1</v>
      </c>
      <c r="E899" s="10">
        <v>25</v>
      </c>
    </row>
    <row r="900" spans="1:5">
      <c r="A900" t="s">
        <v>6813</v>
      </c>
      <c r="B900" t="s">
        <v>2030</v>
      </c>
      <c r="C900" s="10">
        <v>12</v>
      </c>
      <c r="D900" s="10">
        <v>1</v>
      </c>
      <c r="E900" s="10">
        <v>25</v>
      </c>
    </row>
    <row r="901" spans="1:5">
      <c r="A901" t="s">
        <v>9574</v>
      </c>
      <c r="B901" t="s">
        <v>8474</v>
      </c>
      <c r="C901" s="10">
        <v>6</v>
      </c>
      <c r="D901" s="10">
        <v>0.7</v>
      </c>
      <c r="E901" s="10">
        <v>46</v>
      </c>
    </row>
    <row r="902" spans="1:5">
      <c r="A902" t="s">
        <v>317</v>
      </c>
      <c r="B902" t="s">
        <v>318</v>
      </c>
      <c r="C902" s="10">
        <v>6</v>
      </c>
      <c r="D902" s="10">
        <v>0.7</v>
      </c>
      <c r="E902" s="10">
        <v>40</v>
      </c>
    </row>
    <row r="903" spans="1:5">
      <c r="A903" t="s">
        <v>319</v>
      </c>
      <c r="B903" t="s">
        <v>320</v>
      </c>
      <c r="C903" s="10">
        <v>6</v>
      </c>
      <c r="D903" s="10">
        <v>0.7</v>
      </c>
      <c r="E903" s="10">
        <v>40</v>
      </c>
    </row>
    <row r="904" spans="1:5">
      <c r="A904" t="s">
        <v>9575</v>
      </c>
      <c r="B904" t="s">
        <v>8475</v>
      </c>
      <c r="C904" s="10">
        <v>6</v>
      </c>
      <c r="D904" s="10">
        <v>1</v>
      </c>
      <c r="E904" s="10">
        <v>40</v>
      </c>
    </row>
    <row r="905" spans="1:5">
      <c r="A905" t="s">
        <v>321</v>
      </c>
      <c r="B905" t="s">
        <v>322</v>
      </c>
      <c r="C905" s="10">
        <v>6</v>
      </c>
      <c r="D905" s="10">
        <v>0.7</v>
      </c>
      <c r="E905" s="10">
        <v>40</v>
      </c>
    </row>
    <row r="906" spans="1:5">
      <c r="A906" t="s">
        <v>323</v>
      </c>
      <c r="B906" t="s">
        <v>324</v>
      </c>
      <c r="C906" s="10">
        <v>6</v>
      </c>
      <c r="D906" s="10">
        <v>0.7</v>
      </c>
      <c r="E906" s="10">
        <v>40</v>
      </c>
    </row>
    <row r="907" spans="1:5">
      <c r="A907" t="s">
        <v>325</v>
      </c>
      <c r="B907" t="s">
        <v>326</v>
      </c>
      <c r="C907" s="10">
        <v>6</v>
      </c>
      <c r="D907" s="10">
        <v>0.7</v>
      </c>
      <c r="E907" s="10">
        <v>40</v>
      </c>
    </row>
    <row r="908" spans="1:5">
      <c r="A908" t="s">
        <v>5689</v>
      </c>
      <c r="B908" t="s">
        <v>326</v>
      </c>
      <c r="C908" s="10">
        <v>12</v>
      </c>
      <c r="D908" s="10">
        <v>1</v>
      </c>
      <c r="E908" s="10">
        <v>40</v>
      </c>
    </row>
    <row r="909" spans="1:5">
      <c r="A909" t="s">
        <v>327</v>
      </c>
      <c r="B909" t="s">
        <v>328</v>
      </c>
      <c r="C909" s="10">
        <v>6</v>
      </c>
      <c r="D909" s="10">
        <v>0.7</v>
      </c>
      <c r="E909" s="10">
        <v>40</v>
      </c>
    </row>
    <row r="910" spans="1:5">
      <c r="A910" t="s">
        <v>9576</v>
      </c>
      <c r="B910" t="s">
        <v>328</v>
      </c>
      <c r="C910" s="10">
        <v>3</v>
      </c>
      <c r="D910" s="10">
        <v>0.7</v>
      </c>
      <c r="E910" s="10">
        <v>40</v>
      </c>
    </row>
    <row r="911" spans="1:5">
      <c r="A911" t="s">
        <v>9577</v>
      </c>
      <c r="B911" t="s">
        <v>2500</v>
      </c>
      <c r="C911" s="10">
        <v>6</v>
      </c>
      <c r="D911" s="10">
        <v>0.75</v>
      </c>
      <c r="E911" s="10">
        <v>8.5</v>
      </c>
    </row>
    <row r="912" spans="1:5">
      <c r="A912" t="s">
        <v>9578</v>
      </c>
      <c r="B912" t="s">
        <v>8476</v>
      </c>
      <c r="C912" s="10">
        <v>6</v>
      </c>
      <c r="D912" s="10">
        <v>0.75</v>
      </c>
      <c r="E912" s="10">
        <v>8.5</v>
      </c>
    </row>
    <row r="913" spans="1:5">
      <c r="A913" t="s">
        <v>329</v>
      </c>
      <c r="B913" t="s">
        <v>330</v>
      </c>
      <c r="C913" s="10">
        <v>6</v>
      </c>
      <c r="D913" s="10">
        <v>0.7</v>
      </c>
      <c r="E913" s="10">
        <v>40</v>
      </c>
    </row>
    <row r="914" spans="1:5">
      <c r="A914" t="s">
        <v>331</v>
      </c>
      <c r="B914" t="s">
        <v>332</v>
      </c>
      <c r="C914" s="10">
        <v>6</v>
      </c>
      <c r="D914" s="10">
        <v>0.7</v>
      </c>
      <c r="E914" s="10">
        <v>40</v>
      </c>
    </row>
    <row r="915" spans="1:5">
      <c r="A915" t="s">
        <v>333</v>
      </c>
      <c r="B915" t="s">
        <v>334</v>
      </c>
      <c r="C915" s="10">
        <v>6</v>
      </c>
      <c r="D915" s="10">
        <v>0.7</v>
      </c>
      <c r="E915" s="10">
        <v>40</v>
      </c>
    </row>
    <row r="916" spans="1:5">
      <c r="A916" t="s">
        <v>6001</v>
      </c>
      <c r="B916" t="s">
        <v>6002</v>
      </c>
      <c r="C916" s="10">
        <v>3</v>
      </c>
      <c r="D916" s="10">
        <v>0.7</v>
      </c>
      <c r="E916" s="10">
        <v>40</v>
      </c>
    </row>
    <row r="917" spans="1:5">
      <c r="A917" t="s">
        <v>4835</v>
      </c>
      <c r="B917" t="s">
        <v>4836</v>
      </c>
      <c r="C917" s="10">
        <v>6</v>
      </c>
      <c r="D917" s="10">
        <v>0.7</v>
      </c>
      <c r="E917" s="10">
        <v>37.5</v>
      </c>
    </row>
    <row r="918" spans="1:5">
      <c r="A918" t="s">
        <v>3571</v>
      </c>
      <c r="B918" t="s">
        <v>3572</v>
      </c>
      <c r="C918" s="10">
        <v>6</v>
      </c>
      <c r="D918" s="10">
        <v>0.7</v>
      </c>
      <c r="E918" s="10">
        <v>14.5</v>
      </c>
    </row>
    <row r="919" spans="1:5">
      <c r="A919" t="s">
        <v>4837</v>
      </c>
      <c r="B919" t="s">
        <v>4838</v>
      </c>
      <c r="C919" s="10">
        <v>6</v>
      </c>
      <c r="D919" s="10">
        <v>0.7</v>
      </c>
      <c r="E919" s="10">
        <v>37.5</v>
      </c>
    </row>
    <row r="920" spans="1:5">
      <c r="A920" t="s">
        <v>3573</v>
      </c>
      <c r="B920" t="s">
        <v>3574</v>
      </c>
      <c r="C920" s="10">
        <v>6</v>
      </c>
      <c r="D920" s="10">
        <v>0.7</v>
      </c>
      <c r="E920" s="10">
        <v>15</v>
      </c>
    </row>
    <row r="921" spans="1:5">
      <c r="A921" t="s">
        <v>2900</v>
      </c>
      <c r="B921" t="s">
        <v>2901</v>
      </c>
      <c r="C921" s="10">
        <v>6</v>
      </c>
      <c r="D921" s="10">
        <v>0.75</v>
      </c>
      <c r="E921" s="10">
        <v>13</v>
      </c>
    </row>
    <row r="922" spans="1:5">
      <c r="A922" t="s">
        <v>9579</v>
      </c>
      <c r="B922" t="s">
        <v>2032</v>
      </c>
      <c r="C922" s="10">
        <v>24</v>
      </c>
      <c r="D922" s="10">
        <v>0.2</v>
      </c>
      <c r="E922" s="10">
        <v>43</v>
      </c>
    </row>
    <row r="923" spans="1:5">
      <c r="A923" t="s">
        <v>5377</v>
      </c>
      <c r="B923" t="s">
        <v>2032</v>
      </c>
      <c r="C923" s="10">
        <v>6</v>
      </c>
      <c r="D923" s="10">
        <v>0.7</v>
      </c>
      <c r="E923" s="10">
        <v>43</v>
      </c>
    </row>
    <row r="924" spans="1:5">
      <c r="A924" t="s">
        <v>2031</v>
      </c>
      <c r="B924" t="s">
        <v>2032</v>
      </c>
      <c r="C924" s="10">
        <v>6</v>
      </c>
      <c r="D924" s="10">
        <v>1</v>
      </c>
      <c r="E924" s="10">
        <v>43</v>
      </c>
    </row>
    <row r="925" spans="1:5">
      <c r="A925" t="s">
        <v>5378</v>
      </c>
      <c r="B925" t="s">
        <v>5379</v>
      </c>
      <c r="C925" s="10">
        <v>6</v>
      </c>
      <c r="D925" s="10">
        <v>0.7</v>
      </c>
      <c r="E925" s="10">
        <v>43</v>
      </c>
    </row>
    <row r="926" spans="1:5">
      <c r="A926" t="s">
        <v>9580</v>
      </c>
      <c r="B926" t="s">
        <v>8477</v>
      </c>
      <c r="C926" s="10">
        <v>1</v>
      </c>
      <c r="D926" s="10">
        <v>0.7</v>
      </c>
      <c r="E926" s="10">
        <v>43</v>
      </c>
    </row>
    <row r="927" spans="1:5">
      <c r="A927" t="s">
        <v>9581</v>
      </c>
      <c r="B927" t="s">
        <v>8477</v>
      </c>
      <c r="C927" s="10">
        <v>6</v>
      </c>
      <c r="D927" s="10">
        <v>0.7</v>
      </c>
      <c r="E927" s="10">
        <v>43</v>
      </c>
    </row>
    <row r="928" spans="1:5">
      <c r="A928" t="s">
        <v>5380</v>
      </c>
      <c r="B928" t="s">
        <v>5381</v>
      </c>
      <c r="C928" s="10">
        <v>6</v>
      </c>
      <c r="D928" s="10">
        <v>0.7</v>
      </c>
      <c r="E928" s="10">
        <v>43</v>
      </c>
    </row>
    <row r="929" spans="1:5">
      <c r="A929" t="s">
        <v>5382</v>
      </c>
      <c r="B929" t="s">
        <v>5383</v>
      </c>
      <c r="C929" s="10">
        <v>6</v>
      </c>
      <c r="D929" s="10">
        <v>0.7</v>
      </c>
      <c r="E929" s="10">
        <v>43</v>
      </c>
    </row>
    <row r="930" spans="1:5">
      <c r="A930" t="s">
        <v>3575</v>
      </c>
      <c r="B930" t="s">
        <v>3576</v>
      </c>
      <c r="C930" s="10">
        <v>6</v>
      </c>
      <c r="D930" s="10">
        <v>0.7</v>
      </c>
      <c r="E930" s="10">
        <v>41.8</v>
      </c>
    </row>
    <row r="931" spans="1:5">
      <c r="A931" t="s">
        <v>335</v>
      </c>
      <c r="B931" t="s">
        <v>336</v>
      </c>
      <c r="C931" s="10">
        <v>6</v>
      </c>
      <c r="D931" s="10">
        <v>0.7</v>
      </c>
      <c r="E931" s="10">
        <v>40</v>
      </c>
    </row>
    <row r="932" spans="1:5">
      <c r="A932" t="s">
        <v>9582</v>
      </c>
      <c r="B932" t="s">
        <v>8478</v>
      </c>
      <c r="C932" s="10">
        <v>6</v>
      </c>
      <c r="D932" s="10">
        <v>0.7</v>
      </c>
      <c r="E932" s="10">
        <v>48</v>
      </c>
    </row>
    <row r="933" spans="1:5">
      <c r="A933" t="s">
        <v>3577</v>
      </c>
      <c r="B933" t="s">
        <v>3578</v>
      </c>
      <c r="C933" s="10">
        <v>6</v>
      </c>
      <c r="D933" s="10">
        <v>0.7</v>
      </c>
      <c r="E933" s="10">
        <v>58.1</v>
      </c>
    </row>
    <row r="934" spans="1:5">
      <c r="A934" t="s">
        <v>5690</v>
      </c>
      <c r="B934" t="s">
        <v>5691</v>
      </c>
      <c r="C934" s="10">
        <v>12</v>
      </c>
      <c r="D934" s="10">
        <v>1</v>
      </c>
      <c r="E934" s="10">
        <v>40</v>
      </c>
    </row>
    <row r="935" spans="1:5">
      <c r="A935" t="s">
        <v>337</v>
      </c>
      <c r="B935" t="s">
        <v>338</v>
      </c>
      <c r="C935" s="10">
        <v>6</v>
      </c>
      <c r="D935" s="10">
        <v>0.7</v>
      </c>
      <c r="E935" s="10">
        <v>40</v>
      </c>
    </row>
    <row r="936" spans="1:5">
      <c r="A936" t="s">
        <v>5692</v>
      </c>
      <c r="B936" t="s">
        <v>5693</v>
      </c>
      <c r="C936" s="10">
        <v>12</v>
      </c>
      <c r="D936" s="10">
        <v>1</v>
      </c>
      <c r="E936" s="10">
        <v>40</v>
      </c>
    </row>
    <row r="937" spans="1:5">
      <c r="A937" t="s">
        <v>9583</v>
      </c>
      <c r="B937" t="s">
        <v>8479</v>
      </c>
      <c r="C937" s="10">
        <v>12</v>
      </c>
      <c r="D937" s="10">
        <v>1</v>
      </c>
      <c r="E937" s="10">
        <v>40</v>
      </c>
    </row>
    <row r="938" spans="1:5">
      <c r="A938" t="s">
        <v>3579</v>
      </c>
      <c r="B938" t="s">
        <v>3580</v>
      </c>
      <c r="C938" s="10">
        <v>6</v>
      </c>
      <c r="D938" s="10">
        <v>0.7</v>
      </c>
      <c r="E938" s="10">
        <v>25</v>
      </c>
    </row>
    <row r="939" spans="1:5">
      <c r="A939" t="s">
        <v>3581</v>
      </c>
      <c r="B939" t="s">
        <v>2034</v>
      </c>
      <c r="C939" s="10">
        <v>6</v>
      </c>
      <c r="D939" s="10">
        <v>0.7</v>
      </c>
      <c r="E939" s="10">
        <v>35</v>
      </c>
    </row>
    <row r="940" spans="1:5">
      <c r="A940" t="s">
        <v>6814</v>
      </c>
      <c r="B940" t="s">
        <v>2034</v>
      </c>
      <c r="C940" s="10">
        <v>12</v>
      </c>
      <c r="D940" s="10">
        <v>1</v>
      </c>
      <c r="E940" s="10">
        <v>35</v>
      </c>
    </row>
    <row r="941" spans="1:5">
      <c r="A941" t="s">
        <v>2033</v>
      </c>
      <c r="B941" t="s">
        <v>2034</v>
      </c>
      <c r="C941" s="10">
        <v>6</v>
      </c>
      <c r="D941" s="10">
        <v>1</v>
      </c>
      <c r="E941" s="10">
        <v>35</v>
      </c>
    </row>
    <row r="942" spans="1:5">
      <c r="A942" t="s">
        <v>1646</v>
      </c>
      <c r="B942" t="s">
        <v>1647</v>
      </c>
      <c r="C942" s="10">
        <v>6</v>
      </c>
      <c r="D942" s="10">
        <v>1.5</v>
      </c>
      <c r="E942" s="10">
        <v>35</v>
      </c>
    </row>
    <row r="943" spans="1:5">
      <c r="A943" t="s">
        <v>6122</v>
      </c>
      <c r="B943" t="s">
        <v>6123</v>
      </c>
      <c r="C943" s="10">
        <v>48</v>
      </c>
      <c r="D943" s="10">
        <v>0.2</v>
      </c>
      <c r="E943" s="10">
        <v>35</v>
      </c>
    </row>
    <row r="944" spans="1:5">
      <c r="A944" t="s">
        <v>6124</v>
      </c>
      <c r="B944" t="s">
        <v>6123</v>
      </c>
      <c r="C944" s="10">
        <v>4</v>
      </c>
      <c r="D944" s="10">
        <v>3</v>
      </c>
      <c r="E944" s="10">
        <v>35</v>
      </c>
    </row>
    <row r="945" spans="1:5">
      <c r="A945" t="s">
        <v>3582</v>
      </c>
      <c r="B945" t="s">
        <v>3583</v>
      </c>
      <c r="C945" s="10">
        <v>6</v>
      </c>
      <c r="D945" s="10">
        <v>0.7</v>
      </c>
      <c r="E945" s="10">
        <v>25</v>
      </c>
    </row>
    <row r="946" spans="1:5">
      <c r="A946" t="s">
        <v>4839</v>
      </c>
      <c r="B946" t="s">
        <v>2036</v>
      </c>
      <c r="C946" s="10">
        <v>6</v>
      </c>
      <c r="D946" s="10">
        <v>0.7</v>
      </c>
      <c r="E946" s="10">
        <v>37.5</v>
      </c>
    </row>
    <row r="947" spans="1:5">
      <c r="A947" t="s">
        <v>2035</v>
      </c>
      <c r="B947" t="s">
        <v>2036</v>
      </c>
      <c r="C947" s="10">
        <v>6</v>
      </c>
      <c r="D947" s="10">
        <v>1</v>
      </c>
      <c r="E947" s="10">
        <v>37.5</v>
      </c>
    </row>
    <row r="948" spans="1:5">
      <c r="A948" t="s">
        <v>4840</v>
      </c>
      <c r="B948" t="s">
        <v>4841</v>
      </c>
      <c r="C948" s="10">
        <v>6</v>
      </c>
      <c r="D948" s="10">
        <v>0.7</v>
      </c>
      <c r="E948" s="10">
        <v>37.5</v>
      </c>
    </row>
    <row r="949" spans="1:5">
      <c r="A949" t="s">
        <v>6003</v>
      </c>
      <c r="B949" t="s">
        <v>6004</v>
      </c>
      <c r="C949" s="10">
        <v>4</v>
      </c>
      <c r="D949" s="10">
        <v>0.7</v>
      </c>
      <c r="E949" s="10">
        <v>40</v>
      </c>
    </row>
    <row r="950" spans="1:5">
      <c r="A950" t="s">
        <v>6005</v>
      </c>
      <c r="B950" t="s">
        <v>6006</v>
      </c>
      <c r="C950" s="10">
        <v>4</v>
      </c>
      <c r="D950" s="10">
        <v>0.7</v>
      </c>
      <c r="E950" s="10">
        <v>40</v>
      </c>
    </row>
    <row r="951" spans="1:5">
      <c r="A951" t="s">
        <v>1747</v>
      </c>
      <c r="B951" t="s">
        <v>1748</v>
      </c>
      <c r="C951" s="10">
        <v>6</v>
      </c>
      <c r="D951" s="10">
        <v>0.5</v>
      </c>
      <c r="E951" s="10">
        <v>24</v>
      </c>
    </row>
    <row r="952" spans="1:5">
      <c r="A952" t="s">
        <v>9584</v>
      </c>
      <c r="B952" t="s">
        <v>8480</v>
      </c>
      <c r="C952" s="10">
        <v>6</v>
      </c>
      <c r="D952" s="10">
        <v>0.7</v>
      </c>
      <c r="E952" s="10">
        <v>40</v>
      </c>
    </row>
    <row r="953" spans="1:5">
      <c r="A953" t="s">
        <v>9585</v>
      </c>
      <c r="B953" t="s">
        <v>8481</v>
      </c>
      <c r="C953" s="10">
        <v>3</v>
      </c>
      <c r="D953" s="10">
        <v>0.7</v>
      </c>
      <c r="E953" s="10">
        <v>40</v>
      </c>
    </row>
    <row r="954" spans="1:5">
      <c r="A954" t="s">
        <v>339</v>
      </c>
      <c r="B954" t="s">
        <v>340</v>
      </c>
      <c r="C954" s="10">
        <v>6</v>
      </c>
      <c r="D954" s="10">
        <v>0.7</v>
      </c>
      <c r="E954" s="10">
        <v>40</v>
      </c>
    </row>
    <row r="955" spans="1:5">
      <c r="A955" t="s">
        <v>341</v>
      </c>
      <c r="B955" t="s">
        <v>340</v>
      </c>
      <c r="C955" s="10">
        <v>6</v>
      </c>
      <c r="D955" s="10">
        <v>0.7</v>
      </c>
      <c r="E955" s="10">
        <v>40</v>
      </c>
    </row>
    <row r="956" spans="1:5">
      <c r="A956" t="s">
        <v>342</v>
      </c>
      <c r="B956" t="s">
        <v>343</v>
      </c>
      <c r="C956" s="10">
        <v>6</v>
      </c>
      <c r="D956" s="10">
        <v>0.7</v>
      </c>
      <c r="E956" s="10">
        <v>40</v>
      </c>
    </row>
    <row r="957" spans="1:5">
      <c r="A957" t="s">
        <v>3584</v>
      </c>
      <c r="B957" t="s">
        <v>3585</v>
      </c>
      <c r="C957" s="10">
        <v>6</v>
      </c>
      <c r="D957" s="10">
        <v>0.7</v>
      </c>
      <c r="E957" s="10">
        <v>55.5</v>
      </c>
    </row>
    <row r="958" spans="1:5">
      <c r="A958" t="s">
        <v>3586</v>
      </c>
      <c r="B958" t="s">
        <v>3585</v>
      </c>
      <c r="C958" s="10">
        <v>6</v>
      </c>
      <c r="D958" s="10">
        <v>0.7</v>
      </c>
      <c r="E958" s="10">
        <v>55.5</v>
      </c>
    </row>
    <row r="959" spans="1:5">
      <c r="A959" t="s">
        <v>344</v>
      </c>
      <c r="B959" t="s">
        <v>345</v>
      </c>
      <c r="C959" s="10">
        <v>6</v>
      </c>
      <c r="D959" s="10">
        <v>0.7</v>
      </c>
      <c r="E959" s="10">
        <v>40</v>
      </c>
    </row>
    <row r="960" spans="1:5">
      <c r="A960" t="s">
        <v>346</v>
      </c>
      <c r="B960" t="s">
        <v>347</v>
      </c>
      <c r="C960" s="10">
        <v>6</v>
      </c>
      <c r="D960" s="10">
        <v>0.7</v>
      </c>
      <c r="E960" s="10">
        <v>40</v>
      </c>
    </row>
    <row r="961" spans="1:5">
      <c r="A961" t="s">
        <v>348</v>
      </c>
      <c r="B961" t="s">
        <v>349</v>
      </c>
      <c r="C961" s="10">
        <v>6</v>
      </c>
      <c r="D961" s="10">
        <v>0.7</v>
      </c>
      <c r="E961" s="10">
        <v>40</v>
      </c>
    </row>
    <row r="962" spans="1:5">
      <c r="A962" t="s">
        <v>350</v>
      </c>
      <c r="B962" t="s">
        <v>351</v>
      </c>
      <c r="C962" s="10">
        <v>6</v>
      </c>
      <c r="D962" s="10">
        <v>0.7</v>
      </c>
      <c r="E962" s="10">
        <v>40</v>
      </c>
    </row>
    <row r="963" spans="1:5">
      <c r="A963" t="s">
        <v>352</v>
      </c>
      <c r="B963" t="s">
        <v>353</v>
      </c>
      <c r="C963" s="10">
        <v>6</v>
      </c>
      <c r="D963" s="10">
        <v>0.7</v>
      </c>
      <c r="E963" s="10">
        <v>40</v>
      </c>
    </row>
    <row r="964" spans="1:5">
      <c r="A964" t="s">
        <v>6125</v>
      </c>
      <c r="B964" t="s">
        <v>6126</v>
      </c>
      <c r="C964" s="10">
        <v>4</v>
      </c>
      <c r="D964" s="10">
        <v>0.7</v>
      </c>
      <c r="E964" s="10">
        <v>41.1</v>
      </c>
    </row>
    <row r="965" spans="1:5">
      <c r="A965" t="s">
        <v>3587</v>
      </c>
      <c r="B965" t="s">
        <v>3588</v>
      </c>
      <c r="C965" s="10">
        <v>6</v>
      </c>
      <c r="D965" s="10">
        <v>0.7</v>
      </c>
      <c r="E965" s="10">
        <v>40.299999999999997</v>
      </c>
    </row>
    <row r="966" spans="1:5">
      <c r="A966" t="s">
        <v>6007</v>
      </c>
      <c r="B966" t="s">
        <v>6008</v>
      </c>
      <c r="C966" s="10">
        <v>4</v>
      </c>
      <c r="D966" s="10">
        <v>0.7</v>
      </c>
      <c r="E966" s="10">
        <v>40</v>
      </c>
    </row>
    <row r="967" spans="1:5">
      <c r="A967" t="s">
        <v>3589</v>
      </c>
      <c r="B967" t="s">
        <v>3590</v>
      </c>
      <c r="C967" s="10">
        <v>6</v>
      </c>
      <c r="D967" s="10">
        <v>0.7</v>
      </c>
      <c r="E967" s="10">
        <v>40.299999999999997</v>
      </c>
    </row>
    <row r="968" spans="1:5">
      <c r="A968" t="s">
        <v>9586</v>
      </c>
      <c r="B968" t="s">
        <v>8482</v>
      </c>
      <c r="C968" s="10">
        <v>6</v>
      </c>
      <c r="D968" s="10">
        <v>0.7</v>
      </c>
      <c r="E968" s="10">
        <v>40</v>
      </c>
    </row>
    <row r="969" spans="1:5">
      <c r="A969" t="s">
        <v>9587</v>
      </c>
      <c r="B969" t="s">
        <v>8483</v>
      </c>
      <c r="C969" s="10">
        <v>6</v>
      </c>
      <c r="D969" s="10">
        <v>0.7</v>
      </c>
      <c r="E969" s="10">
        <v>36</v>
      </c>
    </row>
    <row r="970" spans="1:5">
      <c r="A970" t="s">
        <v>9588</v>
      </c>
      <c r="B970" t="s">
        <v>8484</v>
      </c>
      <c r="C970" s="10">
        <v>12</v>
      </c>
      <c r="D970" s="10">
        <v>0.5</v>
      </c>
      <c r="E970" s="10">
        <v>26</v>
      </c>
    </row>
    <row r="971" spans="1:5">
      <c r="A971" t="s">
        <v>3591</v>
      </c>
      <c r="B971" t="s">
        <v>3592</v>
      </c>
      <c r="C971" s="10">
        <v>6</v>
      </c>
      <c r="D971" s="10">
        <v>0.7</v>
      </c>
      <c r="E971" s="10">
        <v>17</v>
      </c>
    </row>
    <row r="972" spans="1:5">
      <c r="A972" t="s">
        <v>6815</v>
      </c>
      <c r="B972" t="s">
        <v>3592</v>
      </c>
      <c r="C972" s="10">
        <v>12</v>
      </c>
      <c r="D972" s="10">
        <v>1</v>
      </c>
      <c r="E972" s="10">
        <v>17</v>
      </c>
    </row>
    <row r="973" spans="1:5">
      <c r="A973" t="s">
        <v>6009</v>
      </c>
      <c r="B973" t="s">
        <v>6010</v>
      </c>
      <c r="C973" s="10">
        <v>3</v>
      </c>
      <c r="D973" s="10">
        <v>0.7</v>
      </c>
      <c r="E973" s="10">
        <v>40</v>
      </c>
    </row>
    <row r="974" spans="1:5">
      <c r="A974" t="s">
        <v>6011</v>
      </c>
      <c r="B974" t="s">
        <v>6012</v>
      </c>
      <c r="C974" s="10">
        <v>3</v>
      </c>
      <c r="D974" s="10">
        <v>0.7</v>
      </c>
      <c r="E974" s="10">
        <v>40</v>
      </c>
    </row>
    <row r="975" spans="1:5">
      <c r="A975" t="s">
        <v>6013</v>
      </c>
      <c r="B975" t="s">
        <v>6014</v>
      </c>
      <c r="C975" s="10">
        <v>3</v>
      </c>
      <c r="D975" s="10">
        <v>0.7</v>
      </c>
      <c r="E975" s="10">
        <v>40</v>
      </c>
    </row>
    <row r="976" spans="1:5">
      <c r="A976" t="s">
        <v>354</v>
      </c>
      <c r="B976" t="s">
        <v>355</v>
      </c>
      <c r="C976" s="10">
        <v>6</v>
      </c>
      <c r="D976" s="10">
        <v>0.7</v>
      </c>
      <c r="E976" s="10">
        <v>40</v>
      </c>
    </row>
    <row r="977" spans="1:5">
      <c r="A977" t="s">
        <v>356</v>
      </c>
      <c r="B977" t="s">
        <v>357</v>
      </c>
      <c r="C977" s="10">
        <v>6</v>
      </c>
      <c r="D977" s="10">
        <v>0.7</v>
      </c>
      <c r="E977" s="10">
        <v>40</v>
      </c>
    </row>
    <row r="978" spans="1:5">
      <c r="A978" t="s">
        <v>358</v>
      </c>
      <c r="B978" t="s">
        <v>359</v>
      </c>
      <c r="C978" s="10">
        <v>6</v>
      </c>
      <c r="D978" s="10">
        <v>0.7</v>
      </c>
      <c r="E978" s="10">
        <v>40</v>
      </c>
    </row>
    <row r="979" spans="1:5">
      <c r="A979" t="s">
        <v>360</v>
      </c>
      <c r="B979" t="s">
        <v>361</v>
      </c>
      <c r="C979" s="10">
        <v>6</v>
      </c>
      <c r="D979" s="10">
        <v>0.7</v>
      </c>
      <c r="E979" s="10">
        <v>40</v>
      </c>
    </row>
    <row r="980" spans="1:5">
      <c r="A980" t="s">
        <v>9589</v>
      </c>
      <c r="B980" t="s">
        <v>8485</v>
      </c>
      <c r="C980" s="10">
        <v>6</v>
      </c>
      <c r="D980" s="10">
        <v>0.7</v>
      </c>
      <c r="E980" s="10">
        <v>46</v>
      </c>
    </row>
    <row r="981" spans="1:5">
      <c r="A981" t="s">
        <v>5170</v>
      </c>
      <c r="B981" t="s">
        <v>5171</v>
      </c>
      <c r="C981" s="10">
        <v>6</v>
      </c>
      <c r="D981" s="10">
        <v>0.7</v>
      </c>
      <c r="E981" s="10">
        <v>46</v>
      </c>
    </row>
    <row r="982" spans="1:5">
      <c r="A982" t="s">
        <v>3593</v>
      </c>
      <c r="B982" t="s">
        <v>3594</v>
      </c>
      <c r="C982" s="10">
        <v>6</v>
      </c>
      <c r="D982" s="10">
        <v>0.7</v>
      </c>
      <c r="E982" s="10">
        <v>28</v>
      </c>
    </row>
    <row r="983" spans="1:5">
      <c r="A983" t="s">
        <v>3595</v>
      </c>
      <c r="B983" t="s">
        <v>3596</v>
      </c>
      <c r="C983" s="10">
        <v>6</v>
      </c>
      <c r="D983" s="10">
        <v>0.7</v>
      </c>
      <c r="E983" s="10">
        <v>15</v>
      </c>
    </row>
    <row r="984" spans="1:5">
      <c r="A984" t="s">
        <v>9590</v>
      </c>
      <c r="B984" t="s">
        <v>8486</v>
      </c>
      <c r="C984" s="10">
        <v>6</v>
      </c>
      <c r="D984" s="10">
        <v>0.75</v>
      </c>
      <c r="E984" s="10">
        <v>12.5</v>
      </c>
    </row>
    <row r="985" spans="1:5">
      <c r="A985" t="s">
        <v>3016</v>
      </c>
      <c r="B985" t="s">
        <v>3017</v>
      </c>
      <c r="C985" s="10">
        <v>6</v>
      </c>
      <c r="D985" s="10">
        <v>0.75</v>
      </c>
      <c r="E985" s="10">
        <v>12</v>
      </c>
    </row>
    <row r="986" spans="1:5">
      <c r="A986" t="s">
        <v>3130</v>
      </c>
      <c r="B986" t="s">
        <v>3131</v>
      </c>
      <c r="C986" s="10">
        <v>6</v>
      </c>
      <c r="D986" s="10">
        <v>0.75</v>
      </c>
      <c r="E986" s="10">
        <v>12.5</v>
      </c>
    </row>
    <row r="987" spans="1:5">
      <c r="A987" t="s">
        <v>2501</v>
      </c>
      <c r="B987" t="s">
        <v>2502</v>
      </c>
      <c r="C987" s="10">
        <v>6</v>
      </c>
      <c r="D987" s="10">
        <v>0.75</v>
      </c>
      <c r="E987" s="10">
        <v>11</v>
      </c>
    </row>
    <row r="988" spans="1:5">
      <c r="A988" t="s">
        <v>3132</v>
      </c>
      <c r="B988" t="s">
        <v>3133</v>
      </c>
      <c r="C988" s="10">
        <v>6</v>
      </c>
      <c r="D988" s="10">
        <v>0.75</v>
      </c>
      <c r="E988" s="10">
        <v>12.5</v>
      </c>
    </row>
    <row r="989" spans="1:5">
      <c r="A989" t="s">
        <v>3597</v>
      </c>
      <c r="B989" t="s">
        <v>3598</v>
      </c>
      <c r="C989" s="10">
        <v>6</v>
      </c>
      <c r="D989" s="10">
        <v>0.7</v>
      </c>
      <c r="E989" s="10">
        <v>48.2</v>
      </c>
    </row>
    <row r="990" spans="1:5">
      <c r="A990" t="s">
        <v>9591</v>
      </c>
      <c r="B990" t="s">
        <v>8487</v>
      </c>
      <c r="C990" s="10">
        <v>6</v>
      </c>
      <c r="D990" s="10">
        <v>0.75</v>
      </c>
      <c r="E990" s="10">
        <v>11</v>
      </c>
    </row>
    <row r="991" spans="1:5">
      <c r="A991" t="s">
        <v>2037</v>
      </c>
      <c r="B991" t="s">
        <v>2038</v>
      </c>
      <c r="C991" s="10">
        <v>6</v>
      </c>
      <c r="D991" s="10">
        <v>1</v>
      </c>
      <c r="E991" s="10">
        <v>37.5</v>
      </c>
    </row>
    <row r="992" spans="1:5">
      <c r="A992" t="s">
        <v>2039</v>
      </c>
      <c r="B992" t="s">
        <v>2040</v>
      </c>
      <c r="C992" s="10">
        <v>6</v>
      </c>
      <c r="D992" s="10">
        <v>1</v>
      </c>
      <c r="E992" s="10">
        <v>37.5</v>
      </c>
    </row>
    <row r="993" spans="1:5">
      <c r="A993" t="s">
        <v>3599</v>
      </c>
      <c r="B993" t="s">
        <v>3600</v>
      </c>
      <c r="C993" s="10">
        <v>6</v>
      </c>
      <c r="D993" s="10">
        <v>0.7</v>
      </c>
      <c r="E993" s="10">
        <v>35</v>
      </c>
    </row>
    <row r="994" spans="1:5">
      <c r="A994" t="s">
        <v>362</v>
      </c>
      <c r="B994" t="s">
        <v>363</v>
      </c>
      <c r="C994" s="10">
        <v>6</v>
      </c>
      <c r="D994" s="10">
        <v>0.7</v>
      </c>
      <c r="E994" s="10">
        <v>40</v>
      </c>
    </row>
    <row r="995" spans="1:5">
      <c r="A995" t="s">
        <v>364</v>
      </c>
      <c r="B995" t="s">
        <v>365</v>
      </c>
      <c r="C995" s="10">
        <v>6</v>
      </c>
      <c r="D995" s="10">
        <v>0.7</v>
      </c>
      <c r="E995" s="10">
        <v>40</v>
      </c>
    </row>
    <row r="996" spans="1:5">
      <c r="A996" t="s">
        <v>3601</v>
      </c>
      <c r="B996" t="s">
        <v>3602</v>
      </c>
      <c r="C996" s="10">
        <v>6</v>
      </c>
      <c r="D996" s="10">
        <v>0.7</v>
      </c>
      <c r="E996" s="10">
        <v>15</v>
      </c>
    </row>
    <row r="997" spans="1:5">
      <c r="A997" t="s">
        <v>3603</v>
      </c>
      <c r="B997" t="s">
        <v>3604</v>
      </c>
      <c r="C997" s="10">
        <v>6</v>
      </c>
      <c r="D997" s="10">
        <v>0.7</v>
      </c>
      <c r="E997" s="10">
        <v>17</v>
      </c>
    </row>
    <row r="998" spans="1:5">
      <c r="A998" t="s">
        <v>5002</v>
      </c>
      <c r="B998" t="s">
        <v>5003</v>
      </c>
      <c r="C998" s="10">
        <v>6</v>
      </c>
      <c r="D998" s="10">
        <v>0.7</v>
      </c>
      <c r="E998" s="10">
        <v>38</v>
      </c>
    </row>
    <row r="999" spans="1:5">
      <c r="A999" t="s">
        <v>3605</v>
      </c>
      <c r="B999" t="s">
        <v>3606</v>
      </c>
      <c r="C999" s="10">
        <v>6</v>
      </c>
      <c r="D999" s="10">
        <v>0.7</v>
      </c>
      <c r="E999" s="10">
        <v>30</v>
      </c>
    </row>
    <row r="1000" spans="1:5">
      <c r="A1000" t="s">
        <v>9592</v>
      </c>
      <c r="B1000" t="s">
        <v>8488</v>
      </c>
      <c r="C1000" s="10">
        <v>6</v>
      </c>
      <c r="D1000" s="10">
        <v>0.7</v>
      </c>
      <c r="E1000" s="10">
        <v>40</v>
      </c>
    </row>
    <row r="1001" spans="1:5">
      <c r="A1001" t="s">
        <v>9593</v>
      </c>
      <c r="B1001" t="s">
        <v>8489</v>
      </c>
      <c r="C1001" s="10">
        <v>6</v>
      </c>
      <c r="D1001" s="10">
        <v>0.7</v>
      </c>
      <c r="E1001" s="10">
        <v>40</v>
      </c>
    </row>
    <row r="1002" spans="1:5">
      <c r="A1002" t="s">
        <v>366</v>
      </c>
      <c r="B1002" t="s">
        <v>367</v>
      </c>
      <c r="C1002" s="10">
        <v>6</v>
      </c>
      <c r="D1002" s="10">
        <v>0.7</v>
      </c>
      <c r="E1002" s="10">
        <v>40</v>
      </c>
    </row>
    <row r="1003" spans="1:5">
      <c r="A1003" t="s">
        <v>9594</v>
      </c>
      <c r="B1003" t="s">
        <v>8490</v>
      </c>
      <c r="C1003" s="10">
        <v>6</v>
      </c>
      <c r="D1003" s="10">
        <v>0.7</v>
      </c>
      <c r="E1003" s="10">
        <v>40</v>
      </c>
    </row>
    <row r="1004" spans="1:5">
      <c r="A1004" t="s">
        <v>368</v>
      </c>
      <c r="B1004" t="s">
        <v>369</v>
      </c>
      <c r="C1004" s="10">
        <v>6</v>
      </c>
      <c r="D1004" s="10">
        <v>0.7</v>
      </c>
      <c r="E1004" s="10">
        <v>40</v>
      </c>
    </row>
    <row r="1005" spans="1:5">
      <c r="A1005" t="s">
        <v>370</v>
      </c>
      <c r="B1005" t="s">
        <v>371</v>
      </c>
      <c r="C1005" s="10">
        <v>6</v>
      </c>
      <c r="D1005" s="10">
        <v>0.7</v>
      </c>
      <c r="E1005" s="10">
        <v>40</v>
      </c>
    </row>
    <row r="1006" spans="1:5">
      <c r="A1006" t="s">
        <v>372</v>
      </c>
      <c r="B1006" t="s">
        <v>373</v>
      </c>
      <c r="C1006" s="10">
        <v>6</v>
      </c>
      <c r="D1006" s="10">
        <v>0.7</v>
      </c>
      <c r="E1006" s="10">
        <v>40</v>
      </c>
    </row>
    <row r="1007" spans="1:5">
      <c r="A1007" t="s">
        <v>374</v>
      </c>
      <c r="B1007" t="s">
        <v>375</v>
      </c>
      <c r="C1007" s="10">
        <v>6</v>
      </c>
      <c r="D1007" s="10">
        <v>0.7</v>
      </c>
      <c r="E1007" s="10">
        <v>40</v>
      </c>
    </row>
    <row r="1008" spans="1:5">
      <c r="A1008" t="s">
        <v>376</v>
      </c>
      <c r="B1008" t="s">
        <v>377</v>
      </c>
      <c r="C1008" s="10">
        <v>6</v>
      </c>
      <c r="D1008" s="10">
        <v>0.7</v>
      </c>
      <c r="E1008" s="10">
        <v>40</v>
      </c>
    </row>
    <row r="1009" spans="1:5">
      <c r="A1009" t="s">
        <v>378</v>
      </c>
      <c r="B1009" t="s">
        <v>379</v>
      </c>
      <c r="C1009" s="10">
        <v>6</v>
      </c>
      <c r="D1009" s="10">
        <v>0.7</v>
      </c>
      <c r="E1009" s="10">
        <v>40</v>
      </c>
    </row>
    <row r="1010" spans="1:5">
      <c r="A1010" t="s">
        <v>380</v>
      </c>
      <c r="B1010" t="s">
        <v>381</v>
      </c>
      <c r="C1010" s="10">
        <v>6</v>
      </c>
      <c r="D1010" s="10">
        <v>0.7</v>
      </c>
      <c r="E1010" s="10">
        <v>40</v>
      </c>
    </row>
    <row r="1011" spans="1:5">
      <c r="A1011" t="s">
        <v>382</v>
      </c>
      <c r="B1011" t="s">
        <v>383</v>
      </c>
      <c r="C1011" s="10">
        <v>6</v>
      </c>
      <c r="D1011" s="10">
        <v>0.7</v>
      </c>
      <c r="E1011" s="10">
        <v>40</v>
      </c>
    </row>
    <row r="1012" spans="1:5">
      <c r="A1012" t="s">
        <v>9595</v>
      </c>
      <c r="B1012" t="s">
        <v>8491</v>
      </c>
      <c r="C1012" s="10">
        <v>6</v>
      </c>
      <c r="D1012" s="10">
        <v>0.7</v>
      </c>
      <c r="E1012" s="10">
        <v>43</v>
      </c>
    </row>
    <row r="1013" spans="1:5">
      <c r="A1013" t="s">
        <v>384</v>
      </c>
      <c r="B1013" t="s">
        <v>385</v>
      </c>
      <c r="C1013" s="10">
        <v>6</v>
      </c>
      <c r="D1013" s="10">
        <v>0.7</v>
      </c>
      <c r="E1013" s="10">
        <v>40</v>
      </c>
    </row>
    <row r="1014" spans="1:5">
      <c r="A1014" t="s">
        <v>386</v>
      </c>
      <c r="B1014" t="s">
        <v>387</v>
      </c>
      <c r="C1014" s="10">
        <v>6</v>
      </c>
      <c r="D1014" s="10">
        <v>0.7</v>
      </c>
      <c r="E1014" s="10">
        <v>40</v>
      </c>
    </row>
    <row r="1015" spans="1:5">
      <c r="A1015" t="s">
        <v>1749</v>
      </c>
      <c r="B1015" t="s">
        <v>1750</v>
      </c>
      <c r="C1015" s="10">
        <v>6</v>
      </c>
      <c r="D1015" s="10">
        <v>0.5</v>
      </c>
      <c r="E1015" s="10">
        <v>16.5</v>
      </c>
    </row>
    <row r="1016" spans="1:5">
      <c r="A1016" t="s">
        <v>3607</v>
      </c>
      <c r="B1016" t="s">
        <v>1750</v>
      </c>
      <c r="C1016" s="10">
        <v>6</v>
      </c>
      <c r="D1016" s="10">
        <v>0.7</v>
      </c>
      <c r="E1016" s="10">
        <v>16.5</v>
      </c>
    </row>
    <row r="1017" spans="1:5">
      <c r="A1017" t="s">
        <v>1751</v>
      </c>
      <c r="B1017" t="s">
        <v>1752</v>
      </c>
      <c r="C1017" s="10">
        <v>6</v>
      </c>
      <c r="D1017" s="10">
        <v>0.5</v>
      </c>
      <c r="E1017" s="10">
        <v>16.5</v>
      </c>
    </row>
    <row r="1018" spans="1:5">
      <c r="A1018" t="s">
        <v>2503</v>
      </c>
      <c r="B1018" t="s">
        <v>2504</v>
      </c>
      <c r="C1018" s="10">
        <v>6</v>
      </c>
      <c r="D1018" s="10">
        <v>0.75</v>
      </c>
      <c r="E1018" s="10">
        <v>11.5</v>
      </c>
    </row>
    <row r="1019" spans="1:5">
      <c r="A1019" t="s">
        <v>9596</v>
      </c>
      <c r="B1019" t="s">
        <v>2504</v>
      </c>
      <c r="C1019" s="10">
        <v>24</v>
      </c>
      <c r="D1019" s="10">
        <v>187</v>
      </c>
      <c r="E1019" s="10">
        <v>11.5</v>
      </c>
    </row>
    <row r="1020" spans="1:5">
      <c r="A1020" t="s">
        <v>3608</v>
      </c>
      <c r="B1020" t="s">
        <v>3609</v>
      </c>
      <c r="C1020" s="10">
        <v>6</v>
      </c>
      <c r="D1020" s="10">
        <v>0.7</v>
      </c>
      <c r="E1020" s="10">
        <v>36</v>
      </c>
    </row>
    <row r="1021" spans="1:5">
      <c r="A1021" t="s">
        <v>3018</v>
      </c>
      <c r="B1021" t="s">
        <v>3019</v>
      </c>
      <c r="C1021" s="10">
        <v>6</v>
      </c>
      <c r="D1021" s="10">
        <v>0.75</v>
      </c>
      <c r="E1021" s="10">
        <v>12</v>
      </c>
    </row>
    <row r="1022" spans="1:5">
      <c r="A1022" t="s">
        <v>6641</v>
      </c>
      <c r="B1022" t="s">
        <v>3611</v>
      </c>
      <c r="C1022" s="10">
        <v>12</v>
      </c>
      <c r="D1022" s="10">
        <v>0.2</v>
      </c>
      <c r="E1022" s="10">
        <v>55</v>
      </c>
    </row>
    <row r="1023" spans="1:5">
      <c r="A1023" t="s">
        <v>3610</v>
      </c>
      <c r="B1023" t="s">
        <v>3611</v>
      </c>
      <c r="C1023" s="10">
        <v>6</v>
      </c>
      <c r="D1023" s="10">
        <v>0.7</v>
      </c>
      <c r="E1023" s="10">
        <v>55</v>
      </c>
    </row>
    <row r="1024" spans="1:5">
      <c r="A1024" t="s">
        <v>6642</v>
      </c>
      <c r="B1024" t="s">
        <v>5385</v>
      </c>
      <c r="C1024" s="10">
        <v>12</v>
      </c>
      <c r="D1024" s="10">
        <v>0.2</v>
      </c>
      <c r="E1024" s="10">
        <v>43</v>
      </c>
    </row>
    <row r="1025" spans="1:5">
      <c r="A1025" t="s">
        <v>5384</v>
      </c>
      <c r="B1025" t="s">
        <v>5385</v>
      </c>
      <c r="C1025" s="10">
        <v>6</v>
      </c>
      <c r="D1025" s="10">
        <v>0.7</v>
      </c>
      <c r="E1025" s="10">
        <v>43</v>
      </c>
    </row>
    <row r="1026" spans="1:5">
      <c r="A1026" t="s">
        <v>3612</v>
      </c>
      <c r="B1026" t="s">
        <v>3613</v>
      </c>
      <c r="C1026" s="10">
        <v>6</v>
      </c>
      <c r="D1026" s="10">
        <v>0.7</v>
      </c>
      <c r="E1026" s="10">
        <v>41</v>
      </c>
    </row>
    <row r="1027" spans="1:5">
      <c r="A1027" t="s">
        <v>2902</v>
      </c>
      <c r="B1027" t="s">
        <v>2903</v>
      </c>
      <c r="C1027" s="10">
        <v>6</v>
      </c>
      <c r="D1027" s="10">
        <v>0.75</v>
      </c>
      <c r="E1027" s="10">
        <v>13</v>
      </c>
    </row>
    <row r="1028" spans="1:5">
      <c r="A1028" t="s">
        <v>9597</v>
      </c>
      <c r="B1028" t="s">
        <v>2903</v>
      </c>
      <c r="C1028" s="10">
        <v>1</v>
      </c>
      <c r="D1028" s="10">
        <v>3</v>
      </c>
      <c r="E1028" s="10">
        <v>13</v>
      </c>
    </row>
    <row r="1029" spans="1:5">
      <c r="A1029" t="s">
        <v>9598</v>
      </c>
      <c r="B1029" t="s">
        <v>8492</v>
      </c>
      <c r="C1029" s="10">
        <v>6</v>
      </c>
      <c r="D1029" s="10">
        <v>0.7</v>
      </c>
      <c r="E1029" s="10">
        <v>41</v>
      </c>
    </row>
    <row r="1030" spans="1:5">
      <c r="A1030" t="s">
        <v>3614</v>
      </c>
      <c r="B1030" t="s">
        <v>3615</v>
      </c>
      <c r="C1030" s="10">
        <v>6</v>
      </c>
      <c r="D1030" s="10">
        <v>0.7</v>
      </c>
      <c r="E1030" s="10">
        <v>41</v>
      </c>
    </row>
    <row r="1031" spans="1:5">
      <c r="A1031" t="s">
        <v>3616</v>
      </c>
      <c r="B1031" t="s">
        <v>3617</v>
      </c>
      <c r="C1031" s="10">
        <v>6</v>
      </c>
      <c r="D1031" s="10">
        <v>0.7</v>
      </c>
      <c r="E1031" s="10">
        <v>41</v>
      </c>
    </row>
    <row r="1032" spans="1:5">
      <c r="A1032" t="s">
        <v>388</v>
      </c>
      <c r="B1032" t="s">
        <v>389</v>
      </c>
      <c r="C1032" s="10">
        <v>6</v>
      </c>
      <c r="D1032" s="10">
        <v>0.7</v>
      </c>
      <c r="E1032" s="10">
        <v>40</v>
      </c>
    </row>
    <row r="1033" spans="1:5">
      <c r="A1033" t="s">
        <v>390</v>
      </c>
      <c r="B1033" t="s">
        <v>391</v>
      </c>
      <c r="C1033" s="10">
        <v>6</v>
      </c>
      <c r="D1033" s="10">
        <v>0.7</v>
      </c>
      <c r="E1033" s="10">
        <v>40</v>
      </c>
    </row>
    <row r="1034" spans="1:5">
      <c r="A1034" t="s">
        <v>3618</v>
      </c>
      <c r="B1034" t="s">
        <v>3619</v>
      </c>
      <c r="C1034" s="10">
        <v>6</v>
      </c>
      <c r="D1034" s="10">
        <v>0.7</v>
      </c>
      <c r="E1034" s="10">
        <v>41</v>
      </c>
    </row>
    <row r="1035" spans="1:5">
      <c r="A1035" t="s">
        <v>392</v>
      </c>
      <c r="B1035" t="s">
        <v>393</v>
      </c>
      <c r="C1035" s="10">
        <v>6</v>
      </c>
      <c r="D1035" s="10">
        <v>0.7</v>
      </c>
      <c r="E1035" s="10">
        <v>40</v>
      </c>
    </row>
    <row r="1036" spans="1:5">
      <c r="A1036" t="s">
        <v>9599</v>
      </c>
      <c r="B1036" t="s">
        <v>8493</v>
      </c>
      <c r="C1036" s="10">
        <v>6</v>
      </c>
      <c r="D1036" s="10">
        <v>0.75</v>
      </c>
      <c r="E1036" s="10">
        <v>14</v>
      </c>
    </row>
    <row r="1037" spans="1:5">
      <c r="A1037" t="s">
        <v>9600</v>
      </c>
      <c r="B1037" t="s">
        <v>8494</v>
      </c>
      <c r="C1037" s="10">
        <v>12</v>
      </c>
      <c r="D1037" s="10">
        <v>0.7</v>
      </c>
      <c r="E1037" s="10">
        <v>46.5</v>
      </c>
    </row>
    <row r="1038" spans="1:5">
      <c r="A1038" t="s">
        <v>2505</v>
      </c>
      <c r="B1038" t="s">
        <v>8495</v>
      </c>
      <c r="C1038" s="10">
        <v>6</v>
      </c>
      <c r="D1038" s="10">
        <v>0.75</v>
      </c>
      <c r="E1038" s="10">
        <v>13.5</v>
      </c>
    </row>
    <row r="1039" spans="1:5">
      <c r="A1039" t="s">
        <v>5896</v>
      </c>
      <c r="B1039" t="s">
        <v>395</v>
      </c>
      <c r="C1039" s="10">
        <v>120</v>
      </c>
      <c r="D1039" s="10">
        <v>0.05</v>
      </c>
      <c r="E1039" s="10">
        <v>40</v>
      </c>
    </row>
    <row r="1040" spans="1:5">
      <c r="A1040" t="s">
        <v>394</v>
      </c>
      <c r="B1040" t="s">
        <v>395</v>
      </c>
      <c r="C1040" s="10">
        <v>6</v>
      </c>
      <c r="D1040" s="10">
        <v>0.7</v>
      </c>
      <c r="E1040" s="10">
        <v>40</v>
      </c>
    </row>
    <row r="1041" spans="1:5">
      <c r="A1041" t="s">
        <v>5694</v>
      </c>
      <c r="B1041" t="s">
        <v>395</v>
      </c>
      <c r="C1041" s="10">
        <v>12</v>
      </c>
      <c r="D1041" s="10">
        <v>1</v>
      </c>
      <c r="E1041" s="10">
        <v>40</v>
      </c>
    </row>
    <row r="1042" spans="1:5">
      <c r="A1042" t="s">
        <v>5783</v>
      </c>
      <c r="B1042" t="s">
        <v>396</v>
      </c>
      <c r="C1042" s="10">
        <v>12</v>
      </c>
      <c r="D1042" s="10">
        <v>0.35</v>
      </c>
      <c r="E1042" s="10">
        <v>40</v>
      </c>
    </row>
    <row r="1043" spans="1:5">
      <c r="A1043" t="s">
        <v>9601</v>
      </c>
      <c r="B1043" t="s">
        <v>396</v>
      </c>
      <c r="C1043" s="10">
        <v>12</v>
      </c>
      <c r="D1043" s="10">
        <v>0.5</v>
      </c>
      <c r="E1043" s="10">
        <v>40</v>
      </c>
    </row>
    <row r="1044" spans="1:5">
      <c r="A1044" t="s">
        <v>9602</v>
      </c>
      <c r="B1044" t="s">
        <v>396</v>
      </c>
      <c r="C1044" s="10">
        <v>6</v>
      </c>
      <c r="D1044" s="10">
        <v>1</v>
      </c>
      <c r="E1044" s="10">
        <v>40</v>
      </c>
    </row>
    <row r="1045" spans="1:5">
      <c r="A1045" t="s">
        <v>9603</v>
      </c>
      <c r="B1045" t="s">
        <v>396</v>
      </c>
      <c r="C1045" s="10">
        <v>6</v>
      </c>
      <c r="D1045" s="10">
        <v>1.5</v>
      </c>
      <c r="E1045" s="10">
        <v>40</v>
      </c>
    </row>
    <row r="1046" spans="1:5">
      <c r="A1046" t="s">
        <v>5897</v>
      </c>
      <c r="B1046" t="s">
        <v>5898</v>
      </c>
      <c r="C1046" s="10">
        <v>2</v>
      </c>
      <c r="D1046" s="10">
        <v>4.5</v>
      </c>
      <c r="E1046" s="10">
        <v>40</v>
      </c>
    </row>
    <row r="1047" spans="1:5">
      <c r="A1047" t="s">
        <v>9604</v>
      </c>
      <c r="B1047" t="s">
        <v>8496</v>
      </c>
      <c r="C1047" s="10">
        <v>6</v>
      </c>
      <c r="D1047" s="10">
        <v>1</v>
      </c>
      <c r="E1047" s="10">
        <v>40</v>
      </c>
    </row>
    <row r="1048" spans="1:5">
      <c r="A1048" t="s">
        <v>397</v>
      </c>
      <c r="B1048" t="s">
        <v>398</v>
      </c>
      <c r="C1048" s="10">
        <v>6</v>
      </c>
      <c r="D1048" s="10">
        <v>0.7</v>
      </c>
      <c r="E1048" s="10">
        <v>40</v>
      </c>
    </row>
    <row r="1049" spans="1:5">
      <c r="A1049" t="s">
        <v>1437</v>
      </c>
      <c r="B1049" t="s">
        <v>398</v>
      </c>
      <c r="C1049" s="10">
        <v>6</v>
      </c>
      <c r="D1049" s="10">
        <v>1</v>
      </c>
      <c r="E1049" s="10">
        <v>40</v>
      </c>
    </row>
    <row r="1050" spans="1:5">
      <c r="A1050" t="s">
        <v>399</v>
      </c>
      <c r="B1050" t="s">
        <v>400</v>
      </c>
      <c r="C1050" s="10">
        <v>6</v>
      </c>
      <c r="D1050" s="10">
        <v>0.7</v>
      </c>
      <c r="E1050" s="10">
        <v>40</v>
      </c>
    </row>
    <row r="1051" spans="1:5">
      <c r="A1051" t="s">
        <v>401</v>
      </c>
      <c r="B1051" t="s">
        <v>402</v>
      </c>
      <c r="C1051" s="10">
        <v>6</v>
      </c>
      <c r="D1051" s="10">
        <v>0.7</v>
      </c>
      <c r="E1051" s="10">
        <v>40</v>
      </c>
    </row>
    <row r="1052" spans="1:5">
      <c r="A1052" t="s">
        <v>9605</v>
      </c>
      <c r="B1052" t="s">
        <v>8497</v>
      </c>
      <c r="C1052" s="10">
        <v>6</v>
      </c>
      <c r="D1052" s="10">
        <v>1</v>
      </c>
      <c r="E1052" s="10">
        <v>40</v>
      </c>
    </row>
    <row r="1053" spans="1:5">
      <c r="A1053" t="s">
        <v>403</v>
      </c>
      <c r="B1053" t="s">
        <v>404</v>
      </c>
      <c r="C1053" s="10">
        <v>6</v>
      </c>
      <c r="D1053" s="10">
        <v>0.7</v>
      </c>
      <c r="E1053" s="10">
        <v>40</v>
      </c>
    </row>
    <row r="1054" spans="1:5">
      <c r="A1054" t="s">
        <v>405</v>
      </c>
      <c r="B1054" t="s">
        <v>406</v>
      </c>
      <c r="C1054" s="10">
        <v>6</v>
      </c>
      <c r="D1054" s="10">
        <v>0.7</v>
      </c>
      <c r="E1054" s="10">
        <v>40</v>
      </c>
    </row>
    <row r="1055" spans="1:5">
      <c r="A1055" t="s">
        <v>407</v>
      </c>
      <c r="B1055" t="s">
        <v>408</v>
      </c>
      <c r="C1055" s="10">
        <v>6</v>
      </c>
      <c r="D1055" s="10">
        <v>0.7</v>
      </c>
      <c r="E1055" s="10">
        <v>40</v>
      </c>
    </row>
    <row r="1056" spans="1:5">
      <c r="A1056" t="s">
        <v>409</v>
      </c>
      <c r="B1056" t="s">
        <v>410</v>
      </c>
      <c r="C1056" s="10">
        <v>6</v>
      </c>
      <c r="D1056" s="10">
        <v>0.7</v>
      </c>
      <c r="E1056" s="10">
        <v>40</v>
      </c>
    </row>
    <row r="1057" spans="1:5">
      <c r="A1057" t="s">
        <v>6015</v>
      </c>
      <c r="B1057" t="s">
        <v>6016</v>
      </c>
      <c r="C1057" s="10">
        <v>3</v>
      </c>
      <c r="D1057" s="10">
        <v>0.7</v>
      </c>
      <c r="E1057" s="10">
        <v>40</v>
      </c>
    </row>
    <row r="1058" spans="1:5">
      <c r="A1058" t="s">
        <v>1557</v>
      </c>
      <c r="B1058" t="s">
        <v>1558</v>
      </c>
      <c r="C1058" s="10">
        <v>6</v>
      </c>
      <c r="D1058" s="10">
        <v>0.5</v>
      </c>
      <c r="E1058" s="10">
        <v>40</v>
      </c>
    </row>
    <row r="1059" spans="1:5">
      <c r="A1059" t="s">
        <v>9606</v>
      </c>
      <c r="B1059" t="s">
        <v>8498</v>
      </c>
      <c r="C1059" s="10">
        <v>6</v>
      </c>
      <c r="D1059" s="10">
        <v>0.7</v>
      </c>
      <c r="E1059" s="10">
        <v>40</v>
      </c>
    </row>
    <row r="1060" spans="1:5">
      <c r="A1060" t="s">
        <v>1559</v>
      </c>
      <c r="B1060" t="s">
        <v>1560</v>
      </c>
      <c r="C1060" s="10">
        <v>6</v>
      </c>
      <c r="D1060" s="10">
        <v>0.15</v>
      </c>
      <c r="E1060" s="10">
        <v>40</v>
      </c>
    </row>
    <row r="1061" spans="1:5">
      <c r="A1061" t="s">
        <v>411</v>
      </c>
      <c r="B1061" t="s">
        <v>412</v>
      </c>
      <c r="C1061" s="10">
        <v>6</v>
      </c>
      <c r="D1061" s="10">
        <v>0.7</v>
      </c>
      <c r="E1061" s="10">
        <v>40</v>
      </c>
    </row>
    <row r="1062" spans="1:5">
      <c r="A1062" t="s">
        <v>5784</v>
      </c>
      <c r="B1062" t="s">
        <v>412</v>
      </c>
      <c r="C1062" s="10">
        <v>12</v>
      </c>
      <c r="D1062" s="10">
        <v>0.7</v>
      </c>
      <c r="E1062" s="10">
        <v>40</v>
      </c>
    </row>
    <row r="1063" spans="1:5">
      <c r="A1063" t="s">
        <v>9607</v>
      </c>
      <c r="B1063" t="s">
        <v>8499</v>
      </c>
      <c r="C1063" s="10">
        <v>1</v>
      </c>
      <c r="D1063" s="10">
        <v>1</v>
      </c>
      <c r="E1063" s="10">
        <v>43</v>
      </c>
    </row>
    <row r="1064" spans="1:5">
      <c r="A1064" t="s">
        <v>413</v>
      </c>
      <c r="B1064" t="s">
        <v>414</v>
      </c>
      <c r="C1064" s="10">
        <v>6</v>
      </c>
      <c r="D1064" s="10">
        <v>0.7</v>
      </c>
      <c r="E1064" s="10">
        <v>40</v>
      </c>
    </row>
    <row r="1065" spans="1:5">
      <c r="A1065" t="s">
        <v>415</v>
      </c>
      <c r="B1065" t="s">
        <v>416</v>
      </c>
      <c r="C1065" s="10">
        <v>6</v>
      </c>
      <c r="D1065" s="10">
        <v>0.7</v>
      </c>
      <c r="E1065" s="10">
        <v>40</v>
      </c>
    </row>
    <row r="1066" spans="1:5">
      <c r="A1066" t="s">
        <v>1753</v>
      </c>
      <c r="B1066" t="s">
        <v>1754</v>
      </c>
      <c r="C1066" s="10">
        <v>6</v>
      </c>
      <c r="D1066" s="10">
        <v>0.5</v>
      </c>
      <c r="E1066" s="10">
        <v>18</v>
      </c>
    </row>
    <row r="1067" spans="1:5">
      <c r="A1067" t="s">
        <v>417</v>
      </c>
      <c r="B1067" t="s">
        <v>418</v>
      </c>
      <c r="C1067" s="10">
        <v>6</v>
      </c>
      <c r="D1067" s="10">
        <v>0.7</v>
      </c>
      <c r="E1067" s="10">
        <v>40</v>
      </c>
    </row>
    <row r="1068" spans="1:5">
      <c r="A1068" t="s">
        <v>9608</v>
      </c>
      <c r="B1068" t="s">
        <v>8500</v>
      </c>
      <c r="C1068" s="10">
        <v>6</v>
      </c>
      <c r="D1068" s="10">
        <v>0.7</v>
      </c>
      <c r="E1068" s="10">
        <v>40</v>
      </c>
    </row>
    <row r="1069" spans="1:5">
      <c r="A1069" t="s">
        <v>419</v>
      </c>
      <c r="B1069" t="s">
        <v>420</v>
      </c>
      <c r="C1069" s="10">
        <v>6</v>
      </c>
      <c r="D1069" s="10">
        <v>0.7</v>
      </c>
      <c r="E1069" s="10">
        <v>40</v>
      </c>
    </row>
    <row r="1070" spans="1:5">
      <c r="A1070" t="s">
        <v>421</v>
      </c>
      <c r="B1070" t="s">
        <v>8501</v>
      </c>
      <c r="C1070" s="10">
        <v>6</v>
      </c>
      <c r="D1070" s="10">
        <v>0.7</v>
      </c>
      <c r="E1070" s="10">
        <v>40</v>
      </c>
    </row>
    <row r="1071" spans="1:5">
      <c r="A1071" t="s">
        <v>1755</v>
      </c>
      <c r="B1071" t="s">
        <v>1756</v>
      </c>
      <c r="C1071" s="10">
        <v>6</v>
      </c>
      <c r="D1071" s="10">
        <v>0.5</v>
      </c>
      <c r="E1071" s="10">
        <v>18</v>
      </c>
    </row>
    <row r="1072" spans="1:5">
      <c r="A1072" t="s">
        <v>9609</v>
      </c>
      <c r="B1072" t="s">
        <v>8502</v>
      </c>
      <c r="C1072" s="10">
        <v>6</v>
      </c>
      <c r="D1072" s="10">
        <v>1</v>
      </c>
      <c r="E1072" s="10">
        <v>40</v>
      </c>
    </row>
    <row r="1073" spans="1:5">
      <c r="A1073" t="s">
        <v>422</v>
      </c>
      <c r="B1073" t="s">
        <v>423</v>
      </c>
      <c r="C1073" s="10">
        <v>6</v>
      </c>
      <c r="D1073" s="10">
        <v>0.7</v>
      </c>
      <c r="E1073" s="10">
        <v>40</v>
      </c>
    </row>
    <row r="1074" spans="1:5">
      <c r="A1074" t="s">
        <v>2506</v>
      </c>
      <c r="B1074" t="s">
        <v>2507</v>
      </c>
      <c r="C1074" s="10">
        <v>6</v>
      </c>
      <c r="D1074" s="10">
        <v>0.75</v>
      </c>
      <c r="E1074" s="10">
        <v>10</v>
      </c>
    </row>
    <row r="1075" spans="1:5">
      <c r="A1075" t="s">
        <v>1648</v>
      </c>
      <c r="B1075" t="s">
        <v>1649</v>
      </c>
      <c r="C1075" s="10">
        <v>6</v>
      </c>
      <c r="D1075" s="10">
        <v>0.72</v>
      </c>
      <c r="E1075" s="10">
        <v>15.8</v>
      </c>
    </row>
    <row r="1076" spans="1:5">
      <c r="A1076" t="s">
        <v>1650</v>
      </c>
      <c r="B1076" t="s">
        <v>1651</v>
      </c>
      <c r="C1076" s="10">
        <v>6</v>
      </c>
      <c r="D1076" s="10">
        <v>0.72</v>
      </c>
      <c r="E1076" s="10">
        <v>14.5</v>
      </c>
    </row>
    <row r="1077" spans="1:5">
      <c r="A1077" t="s">
        <v>1652</v>
      </c>
      <c r="B1077" t="s">
        <v>1653</v>
      </c>
      <c r="C1077" s="10">
        <v>6</v>
      </c>
      <c r="D1077" s="10">
        <v>0.72</v>
      </c>
      <c r="E1077" s="10">
        <v>14.3</v>
      </c>
    </row>
    <row r="1078" spans="1:5">
      <c r="A1078" t="s">
        <v>2508</v>
      </c>
      <c r="B1078" t="s">
        <v>2509</v>
      </c>
      <c r="C1078" s="10">
        <v>6</v>
      </c>
      <c r="D1078" s="10">
        <v>0.75</v>
      </c>
      <c r="E1078" s="10">
        <v>10</v>
      </c>
    </row>
    <row r="1079" spans="1:5">
      <c r="A1079" t="s">
        <v>2510</v>
      </c>
      <c r="B1079" t="s">
        <v>2511</v>
      </c>
      <c r="C1079" s="10">
        <v>6</v>
      </c>
      <c r="D1079" s="10">
        <v>0.75</v>
      </c>
      <c r="E1079" s="10">
        <v>14.5</v>
      </c>
    </row>
    <row r="1080" spans="1:5">
      <c r="A1080" t="s">
        <v>2512</v>
      </c>
      <c r="B1080" t="s">
        <v>2513</v>
      </c>
      <c r="C1080" s="10">
        <v>6</v>
      </c>
      <c r="D1080" s="10">
        <v>0.75</v>
      </c>
      <c r="E1080" s="10">
        <v>14.7</v>
      </c>
    </row>
    <row r="1081" spans="1:5">
      <c r="A1081" t="s">
        <v>2514</v>
      </c>
      <c r="B1081" t="s">
        <v>2515</v>
      </c>
      <c r="C1081" s="10">
        <v>6</v>
      </c>
      <c r="D1081" s="10">
        <v>0.75</v>
      </c>
      <c r="E1081" s="10">
        <v>13.5</v>
      </c>
    </row>
    <row r="1082" spans="1:5">
      <c r="A1082" t="s">
        <v>2516</v>
      </c>
      <c r="B1082" t="s">
        <v>2517</v>
      </c>
      <c r="C1082" s="10">
        <v>6</v>
      </c>
      <c r="D1082" s="10">
        <v>0.75</v>
      </c>
      <c r="E1082" s="10">
        <v>14</v>
      </c>
    </row>
    <row r="1083" spans="1:5">
      <c r="A1083" t="s">
        <v>3620</v>
      </c>
      <c r="B1083" t="s">
        <v>3621</v>
      </c>
      <c r="C1083" s="10">
        <v>6</v>
      </c>
      <c r="D1083" s="10">
        <v>0.7</v>
      </c>
      <c r="E1083" s="10">
        <v>42</v>
      </c>
    </row>
    <row r="1084" spans="1:5">
      <c r="A1084" t="s">
        <v>3622</v>
      </c>
      <c r="B1084" t="s">
        <v>3623</v>
      </c>
      <c r="C1084" s="10">
        <v>6</v>
      </c>
      <c r="D1084" s="10">
        <v>0.7</v>
      </c>
      <c r="E1084" s="10">
        <v>20</v>
      </c>
    </row>
    <row r="1085" spans="1:5">
      <c r="A1085" t="s">
        <v>3624</v>
      </c>
      <c r="B1085" t="s">
        <v>3625</v>
      </c>
      <c r="C1085" s="10">
        <v>6</v>
      </c>
      <c r="D1085" s="10">
        <v>0.7</v>
      </c>
      <c r="E1085" s="10">
        <v>20</v>
      </c>
    </row>
    <row r="1086" spans="1:5">
      <c r="A1086" t="s">
        <v>3626</v>
      </c>
      <c r="B1086" t="s">
        <v>3627</v>
      </c>
      <c r="C1086" s="10">
        <v>6</v>
      </c>
      <c r="D1086" s="10">
        <v>0.7</v>
      </c>
      <c r="E1086" s="10">
        <v>34</v>
      </c>
    </row>
    <row r="1087" spans="1:5">
      <c r="A1087" t="s">
        <v>3628</v>
      </c>
      <c r="B1087" t="s">
        <v>3629</v>
      </c>
      <c r="C1087" s="10">
        <v>6</v>
      </c>
      <c r="D1087" s="10">
        <v>0.7</v>
      </c>
      <c r="E1087" s="10">
        <v>30</v>
      </c>
    </row>
    <row r="1088" spans="1:5">
      <c r="A1088" t="s">
        <v>3630</v>
      </c>
      <c r="B1088" t="s">
        <v>3631</v>
      </c>
      <c r="C1088" s="10">
        <v>6</v>
      </c>
      <c r="D1088" s="10">
        <v>0.7</v>
      </c>
      <c r="E1088" s="10">
        <v>45.2</v>
      </c>
    </row>
    <row r="1089" spans="1:5">
      <c r="A1089" t="s">
        <v>2518</v>
      </c>
      <c r="B1089" t="s">
        <v>2519</v>
      </c>
      <c r="C1089" s="10">
        <v>6</v>
      </c>
      <c r="D1089" s="10">
        <v>0.75</v>
      </c>
      <c r="E1089" s="10">
        <v>7</v>
      </c>
    </row>
    <row r="1090" spans="1:5">
      <c r="A1090" t="s">
        <v>4842</v>
      </c>
      <c r="B1090" t="s">
        <v>4843</v>
      </c>
      <c r="C1090" s="10">
        <v>6</v>
      </c>
      <c r="D1090" s="10">
        <v>0.7</v>
      </c>
      <c r="E1090" s="10">
        <v>37.5</v>
      </c>
    </row>
    <row r="1091" spans="1:5">
      <c r="A1091" t="s">
        <v>4844</v>
      </c>
      <c r="B1091" t="s">
        <v>4845</v>
      </c>
      <c r="C1091" s="10">
        <v>6</v>
      </c>
      <c r="D1091" s="10">
        <v>0.7</v>
      </c>
      <c r="E1091" s="10">
        <v>37.5</v>
      </c>
    </row>
    <row r="1092" spans="1:5">
      <c r="A1092" t="s">
        <v>4846</v>
      </c>
      <c r="B1092" t="s">
        <v>4847</v>
      </c>
      <c r="C1092" s="10">
        <v>6</v>
      </c>
      <c r="D1092" s="10">
        <v>0.7</v>
      </c>
      <c r="E1092" s="10">
        <v>37.5</v>
      </c>
    </row>
    <row r="1093" spans="1:5">
      <c r="A1093" t="s">
        <v>9610</v>
      </c>
      <c r="B1093" t="s">
        <v>8503</v>
      </c>
      <c r="C1093" s="10">
        <v>6</v>
      </c>
      <c r="D1093" s="10">
        <v>0.7</v>
      </c>
      <c r="E1093" s="10">
        <v>37.5</v>
      </c>
    </row>
    <row r="1094" spans="1:5">
      <c r="A1094" t="s">
        <v>4848</v>
      </c>
      <c r="B1094" t="s">
        <v>4849</v>
      </c>
      <c r="C1094" s="10">
        <v>6</v>
      </c>
      <c r="D1094" s="10">
        <v>0.7</v>
      </c>
      <c r="E1094" s="10">
        <v>37.5</v>
      </c>
    </row>
    <row r="1095" spans="1:5">
      <c r="A1095" t="s">
        <v>4850</v>
      </c>
      <c r="B1095" t="s">
        <v>4851</v>
      </c>
      <c r="C1095" s="10">
        <v>6</v>
      </c>
      <c r="D1095" s="10">
        <v>0.7</v>
      </c>
      <c r="E1095" s="10">
        <v>37.5</v>
      </c>
    </row>
    <row r="1096" spans="1:5">
      <c r="A1096" t="s">
        <v>4852</v>
      </c>
      <c r="B1096" t="s">
        <v>4853</v>
      </c>
      <c r="C1096" s="10">
        <v>6</v>
      </c>
      <c r="D1096" s="10">
        <v>0.7</v>
      </c>
      <c r="E1096" s="10">
        <v>37.5</v>
      </c>
    </row>
    <row r="1097" spans="1:5">
      <c r="A1097" t="s">
        <v>9611</v>
      </c>
      <c r="B1097" t="s">
        <v>8504</v>
      </c>
      <c r="C1097" s="10">
        <v>6</v>
      </c>
      <c r="D1097" s="10">
        <v>0.7</v>
      </c>
      <c r="E1097" s="10">
        <v>37.5</v>
      </c>
    </row>
    <row r="1098" spans="1:5">
      <c r="A1098" t="s">
        <v>5899</v>
      </c>
      <c r="B1098" t="s">
        <v>425</v>
      </c>
      <c r="C1098" s="10">
        <v>24</v>
      </c>
      <c r="D1098" s="10">
        <v>0.2</v>
      </c>
      <c r="E1098" s="10">
        <v>40</v>
      </c>
    </row>
    <row r="1099" spans="1:5">
      <c r="A1099" t="s">
        <v>424</v>
      </c>
      <c r="B1099" t="s">
        <v>425</v>
      </c>
      <c r="C1099" s="10">
        <v>6</v>
      </c>
      <c r="D1099" s="10">
        <v>0.7</v>
      </c>
      <c r="E1099" s="10">
        <v>40</v>
      </c>
    </row>
    <row r="1100" spans="1:5">
      <c r="A1100" t="s">
        <v>5695</v>
      </c>
      <c r="B1100" t="s">
        <v>425</v>
      </c>
      <c r="C1100" s="10">
        <v>12</v>
      </c>
      <c r="D1100" s="10">
        <v>1</v>
      </c>
      <c r="E1100" s="10">
        <v>40</v>
      </c>
    </row>
    <row r="1101" spans="1:5">
      <c r="A1101" t="s">
        <v>1561</v>
      </c>
      <c r="B1101" t="s">
        <v>425</v>
      </c>
      <c r="C1101" s="10">
        <v>6</v>
      </c>
      <c r="D1101" s="10">
        <v>1.75</v>
      </c>
      <c r="E1101" s="10">
        <v>40</v>
      </c>
    </row>
    <row r="1102" spans="1:5">
      <c r="A1102" t="s">
        <v>5900</v>
      </c>
      <c r="B1102" t="s">
        <v>425</v>
      </c>
      <c r="C1102" s="10">
        <v>2</v>
      </c>
      <c r="D1102" s="10">
        <v>3</v>
      </c>
      <c r="E1102" s="10">
        <v>40</v>
      </c>
    </row>
    <row r="1103" spans="1:5">
      <c r="A1103" t="s">
        <v>3632</v>
      </c>
      <c r="B1103" t="s">
        <v>3633</v>
      </c>
      <c r="C1103" s="10">
        <v>6</v>
      </c>
      <c r="D1103" s="10">
        <v>0.7</v>
      </c>
      <c r="E1103" s="10">
        <v>44</v>
      </c>
    </row>
    <row r="1104" spans="1:5">
      <c r="A1104" t="s">
        <v>3634</v>
      </c>
      <c r="B1104" t="s">
        <v>3635</v>
      </c>
      <c r="C1104" s="10">
        <v>6</v>
      </c>
      <c r="D1104" s="10">
        <v>0.7</v>
      </c>
      <c r="E1104" s="10">
        <v>41.5</v>
      </c>
    </row>
    <row r="1105" spans="1:5">
      <c r="A1105" t="s">
        <v>1757</v>
      </c>
      <c r="B1105" t="s">
        <v>1758</v>
      </c>
      <c r="C1105" s="10">
        <v>6</v>
      </c>
      <c r="D1105" s="10">
        <v>0.5</v>
      </c>
      <c r="E1105" s="10">
        <v>46</v>
      </c>
    </row>
    <row r="1106" spans="1:5">
      <c r="A1106" t="s">
        <v>5696</v>
      </c>
      <c r="B1106" t="s">
        <v>1438</v>
      </c>
      <c r="C1106" s="10">
        <v>12</v>
      </c>
      <c r="D1106" s="10">
        <v>1</v>
      </c>
      <c r="E1106" s="10">
        <v>40</v>
      </c>
    </row>
    <row r="1107" spans="1:5">
      <c r="A1107" t="s">
        <v>6017</v>
      </c>
      <c r="B1107" t="s">
        <v>6018</v>
      </c>
      <c r="C1107" s="10">
        <v>3</v>
      </c>
      <c r="D1107" s="10">
        <v>0.7</v>
      </c>
      <c r="E1107" s="10">
        <v>40</v>
      </c>
    </row>
    <row r="1108" spans="1:5">
      <c r="A1108" t="s">
        <v>6019</v>
      </c>
      <c r="B1108" t="s">
        <v>6020</v>
      </c>
      <c r="C1108" s="10">
        <v>3</v>
      </c>
      <c r="D1108" s="10">
        <v>0.7</v>
      </c>
      <c r="E1108" s="10">
        <v>40</v>
      </c>
    </row>
    <row r="1109" spans="1:5">
      <c r="A1109" t="s">
        <v>9612</v>
      </c>
      <c r="B1109" t="s">
        <v>8505</v>
      </c>
      <c r="C1109" s="10">
        <v>3</v>
      </c>
      <c r="D1109" s="10">
        <v>0.7</v>
      </c>
      <c r="E1109" s="10">
        <v>42</v>
      </c>
    </row>
    <row r="1110" spans="1:5">
      <c r="A1110" t="s">
        <v>9613</v>
      </c>
      <c r="B1110" t="s">
        <v>8506</v>
      </c>
      <c r="C1110" s="10">
        <v>6</v>
      </c>
      <c r="D1110" s="10">
        <v>0.7</v>
      </c>
      <c r="E1110" s="10">
        <v>40</v>
      </c>
    </row>
    <row r="1111" spans="1:5">
      <c r="A1111" t="s">
        <v>9614</v>
      </c>
      <c r="B1111" t="s">
        <v>8506</v>
      </c>
      <c r="C1111" s="10">
        <v>6</v>
      </c>
      <c r="D1111" s="10">
        <v>0.7</v>
      </c>
      <c r="E1111" s="10">
        <v>40</v>
      </c>
    </row>
    <row r="1112" spans="1:5">
      <c r="A1112" t="s">
        <v>9615</v>
      </c>
      <c r="B1112" t="s">
        <v>8507</v>
      </c>
      <c r="C1112" s="10">
        <v>6</v>
      </c>
      <c r="D1112" s="10">
        <v>0.7</v>
      </c>
      <c r="E1112" s="10">
        <v>40</v>
      </c>
    </row>
    <row r="1113" spans="1:5">
      <c r="A1113" t="s">
        <v>9616</v>
      </c>
      <c r="B1113" t="s">
        <v>8507</v>
      </c>
      <c r="C1113" s="10">
        <v>6</v>
      </c>
      <c r="D1113" s="10">
        <v>0.7</v>
      </c>
      <c r="E1113" s="10">
        <v>40</v>
      </c>
    </row>
    <row r="1114" spans="1:5">
      <c r="A1114" t="s">
        <v>9617</v>
      </c>
      <c r="B1114" t="s">
        <v>8507</v>
      </c>
      <c r="C1114" s="10">
        <v>4</v>
      </c>
      <c r="D1114" s="10">
        <v>1.75</v>
      </c>
      <c r="E1114" s="10">
        <v>40</v>
      </c>
    </row>
    <row r="1115" spans="1:5">
      <c r="A1115" t="s">
        <v>9618</v>
      </c>
      <c r="B1115" t="s">
        <v>8508</v>
      </c>
      <c r="C1115" s="10">
        <v>6</v>
      </c>
      <c r="D1115" s="10">
        <v>0.7</v>
      </c>
      <c r="E1115" s="10">
        <v>40</v>
      </c>
    </row>
    <row r="1116" spans="1:5">
      <c r="A1116" t="s">
        <v>9619</v>
      </c>
      <c r="B1116" t="s">
        <v>8509</v>
      </c>
      <c r="C1116" s="10">
        <v>6</v>
      </c>
      <c r="D1116" s="10">
        <v>0.7</v>
      </c>
      <c r="E1116" s="10">
        <v>40</v>
      </c>
    </row>
    <row r="1117" spans="1:5">
      <c r="A1117" t="s">
        <v>426</v>
      </c>
      <c r="B1117" t="s">
        <v>427</v>
      </c>
      <c r="C1117" s="10">
        <v>6</v>
      </c>
      <c r="D1117" s="10">
        <v>0.7</v>
      </c>
      <c r="E1117" s="10">
        <v>40</v>
      </c>
    </row>
    <row r="1118" spans="1:5">
      <c r="A1118" t="s">
        <v>9620</v>
      </c>
      <c r="B1118" t="s">
        <v>8510</v>
      </c>
      <c r="C1118" s="10">
        <v>6</v>
      </c>
      <c r="D1118" s="10">
        <v>0.7</v>
      </c>
      <c r="E1118" s="10">
        <v>42</v>
      </c>
    </row>
    <row r="1119" spans="1:5">
      <c r="A1119" t="s">
        <v>9621</v>
      </c>
      <c r="B1119" t="s">
        <v>1439</v>
      </c>
      <c r="C1119" s="10">
        <v>6</v>
      </c>
      <c r="D1119" s="10">
        <v>1</v>
      </c>
      <c r="E1119" s="10">
        <v>40</v>
      </c>
    </row>
    <row r="1120" spans="1:5">
      <c r="A1120" t="s">
        <v>2041</v>
      </c>
      <c r="B1120" t="s">
        <v>1439</v>
      </c>
      <c r="C1120" s="10">
        <v>6</v>
      </c>
      <c r="D1120" s="10">
        <v>1</v>
      </c>
      <c r="E1120" s="10">
        <v>50</v>
      </c>
    </row>
    <row r="1121" spans="1:5">
      <c r="A1121" t="s">
        <v>428</v>
      </c>
      <c r="B1121" t="s">
        <v>429</v>
      </c>
      <c r="C1121" s="10">
        <v>6</v>
      </c>
      <c r="D1121" s="10">
        <v>0.7</v>
      </c>
      <c r="E1121" s="10">
        <v>40</v>
      </c>
    </row>
    <row r="1122" spans="1:5">
      <c r="A1122" t="s">
        <v>3636</v>
      </c>
      <c r="B1122" t="s">
        <v>8511</v>
      </c>
      <c r="C1122" s="10">
        <v>6</v>
      </c>
      <c r="D1122" s="10">
        <v>0.7</v>
      </c>
      <c r="E1122" s="10">
        <v>50</v>
      </c>
    </row>
    <row r="1123" spans="1:5">
      <c r="A1123" t="s">
        <v>430</v>
      </c>
      <c r="B1123" t="s">
        <v>431</v>
      </c>
      <c r="C1123" s="10">
        <v>6</v>
      </c>
      <c r="D1123" s="10">
        <v>0.7</v>
      </c>
      <c r="E1123" s="10">
        <v>40</v>
      </c>
    </row>
    <row r="1124" spans="1:5">
      <c r="A1124" t="s">
        <v>432</v>
      </c>
      <c r="B1124" t="s">
        <v>433</v>
      </c>
      <c r="C1124" s="10">
        <v>6</v>
      </c>
      <c r="D1124" s="10">
        <v>0.7</v>
      </c>
      <c r="E1124" s="10">
        <v>40</v>
      </c>
    </row>
    <row r="1125" spans="1:5">
      <c r="A1125" t="s">
        <v>3637</v>
      </c>
      <c r="B1125" t="s">
        <v>3638</v>
      </c>
      <c r="C1125" s="10">
        <v>6</v>
      </c>
      <c r="D1125" s="10">
        <v>0.7</v>
      </c>
      <c r="E1125" s="10">
        <v>42</v>
      </c>
    </row>
    <row r="1126" spans="1:5">
      <c r="A1126" t="s">
        <v>434</v>
      </c>
      <c r="B1126" t="s">
        <v>435</v>
      </c>
      <c r="C1126" s="10">
        <v>6</v>
      </c>
      <c r="D1126" s="10">
        <v>0.7</v>
      </c>
      <c r="E1126" s="10">
        <v>40</v>
      </c>
    </row>
    <row r="1127" spans="1:5">
      <c r="A1127" t="s">
        <v>436</v>
      </c>
      <c r="B1127" t="s">
        <v>437</v>
      </c>
      <c r="C1127" s="10">
        <v>6</v>
      </c>
      <c r="D1127" s="10">
        <v>0.7</v>
      </c>
      <c r="E1127" s="10">
        <v>40</v>
      </c>
    </row>
    <row r="1128" spans="1:5">
      <c r="A1128" t="s">
        <v>438</v>
      </c>
      <c r="B1128" t="s">
        <v>439</v>
      </c>
      <c r="C1128" s="10">
        <v>6</v>
      </c>
      <c r="D1128" s="10">
        <v>0.7</v>
      </c>
      <c r="E1128" s="10">
        <v>40</v>
      </c>
    </row>
    <row r="1129" spans="1:5">
      <c r="A1129" t="s">
        <v>9622</v>
      </c>
      <c r="B1129" t="s">
        <v>8512</v>
      </c>
      <c r="C1129" s="10">
        <v>6</v>
      </c>
      <c r="D1129" s="10">
        <v>1</v>
      </c>
      <c r="E1129" s="10">
        <v>40</v>
      </c>
    </row>
    <row r="1130" spans="1:5">
      <c r="A1130" t="s">
        <v>3639</v>
      </c>
      <c r="B1130" t="s">
        <v>3640</v>
      </c>
      <c r="C1130" s="10">
        <v>6</v>
      </c>
      <c r="D1130" s="10">
        <v>0.7</v>
      </c>
      <c r="E1130" s="10">
        <v>48</v>
      </c>
    </row>
    <row r="1131" spans="1:5">
      <c r="A1131" t="s">
        <v>9623</v>
      </c>
      <c r="B1131" t="s">
        <v>8513</v>
      </c>
      <c r="C1131" s="10">
        <v>6</v>
      </c>
      <c r="D1131" s="10">
        <v>0.7</v>
      </c>
      <c r="E1131" s="10">
        <v>58.5</v>
      </c>
    </row>
    <row r="1132" spans="1:5">
      <c r="A1132" t="s">
        <v>5172</v>
      </c>
      <c r="B1132" t="s">
        <v>5173</v>
      </c>
      <c r="C1132" s="10">
        <v>6</v>
      </c>
      <c r="D1132" s="10">
        <v>0.7</v>
      </c>
      <c r="E1132" s="10">
        <v>46</v>
      </c>
    </row>
    <row r="1133" spans="1:5">
      <c r="A1133" t="s">
        <v>3641</v>
      </c>
      <c r="B1133" t="s">
        <v>3642</v>
      </c>
      <c r="C1133" s="10">
        <v>6</v>
      </c>
      <c r="D1133" s="10">
        <v>0.7</v>
      </c>
      <c r="E1133" s="10">
        <v>29</v>
      </c>
    </row>
    <row r="1134" spans="1:5">
      <c r="A1134" t="s">
        <v>6127</v>
      </c>
      <c r="B1134" t="s">
        <v>6128</v>
      </c>
      <c r="C1134" s="10">
        <v>3</v>
      </c>
      <c r="D1134" s="10">
        <v>0.7</v>
      </c>
      <c r="E1134" s="10">
        <v>44</v>
      </c>
    </row>
    <row r="1135" spans="1:5">
      <c r="A1135" t="s">
        <v>5004</v>
      </c>
      <c r="B1135" t="s">
        <v>5005</v>
      </c>
      <c r="C1135" s="10">
        <v>6</v>
      </c>
      <c r="D1135" s="10">
        <v>0.7</v>
      </c>
      <c r="E1135" s="10">
        <v>38</v>
      </c>
    </row>
    <row r="1136" spans="1:5">
      <c r="A1136" t="s">
        <v>3643</v>
      </c>
      <c r="B1136" t="s">
        <v>3644</v>
      </c>
      <c r="C1136" s="10">
        <v>6</v>
      </c>
      <c r="D1136" s="10">
        <v>0.7</v>
      </c>
      <c r="E1136" s="10">
        <v>35</v>
      </c>
    </row>
    <row r="1137" spans="1:5">
      <c r="A1137" t="s">
        <v>1759</v>
      </c>
      <c r="B1137" t="s">
        <v>1760</v>
      </c>
      <c r="C1137" s="10">
        <v>6</v>
      </c>
      <c r="D1137" s="10">
        <v>0.5</v>
      </c>
      <c r="E1137" s="10">
        <v>20</v>
      </c>
    </row>
    <row r="1138" spans="1:5">
      <c r="A1138" t="s">
        <v>2042</v>
      </c>
      <c r="B1138" t="s">
        <v>1760</v>
      </c>
      <c r="C1138" s="10">
        <v>6</v>
      </c>
      <c r="D1138" s="10">
        <v>1</v>
      </c>
      <c r="E1138" s="10">
        <v>20</v>
      </c>
    </row>
    <row r="1139" spans="1:5">
      <c r="A1139" t="s">
        <v>2043</v>
      </c>
      <c r="B1139" t="s">
        <v>2044</v>
      </c>
      <c r="C1139" s="10">
        <v>6</v>
      </c>
      <c r="D1139" s="10">
        <v>1</v>
      </c>
      <c r="E1139" s="10">
        <v>20</v>
      </c>
    </row>
    <row r="1140" spans="1:5">
      <c r="A1140" t="s">
        <v>2045</v>
      </c>
      <c r="B1140" t="s">
        <v>2046</v>
      </c>
      <c r="C1140" s="10">
        <v>6</v>
      </c>
      <c r="D1140" s="10">
        <v>1</v>
      </c>
      <c r="E1140" s="10">
        <v>14.5</v>
      </c>
    </row>
    <row r="1141" spans="1:5">
      <c r="A1141" t="s">
        <v>5901</v>
      </c>
      <c r="B1141" t="s">
        <v>441</v>
      </c>
      <c r="C1141" s="10">
        <v>120</v>
      </c>
      <c r="D1141" s="10">
        <v>0.05</v>
      </c>
      <c r="E1141" s="10">
        <v>40</v>
      </c>
    </row>
    <row r="1142" spans="1:5">
      <c r="A1142" t="s">
        <v>5785</v>
      </c>
      <c r="B1142" t="s">
        <v>441</v>
      </c>
      <c r="C1142" s="10">
        <v>12</v>
      </c>
      <c r="D1142" s="10">
        <v>0.35</v>
      </c>
      <c r="E1142" s="10">
        <v>40</v>
      </c>
    </row>
    <row r="1143" spans="1:5">
      <c r="A1143" t="s">
        <v>440</v>
      </c>
      <c r="B1143" t="s">
        <v>441</v>
      </c>
      <c r="C1143" s="10">
        <v>6</v>
      </c>
      <c r="D1143" s="10">
        <v>0.7</v>
      </c>
      <c r="E1143" s="10">
        <v>40</v>
      </c>
    </row>
    <row r="1144" spans="1:5">
      <c r="A1144" t="s">
        <v>1440</v>
      </c>
      <c r="B1144" t="s">
        <v>441</v>
      </c>
      <c r="C1144" s="10">
        <v>6</v>
      </c>
      <c r="D1144" s="10">
        <v>1</v>
      </c>
      <c r="E1144" s="10">
        <v>40</v>
      </c>
    </row>
    <row r="1145" spans="1:5">
      <c r="A1145" t="s">
        <v>5697</v>
      </c>
      <c r="B1145" t="s">
        <v>441</v>
      </c>
      <c r="C1145" s="10">
        <v>12</v>
      </c>
      <c r="D1145" s="10">
        <v>1</v>
      </c>
      <c r="E1145" s="10">
        <v>40</v>
      </c>
    </row>
    <row r="1146" spans="1:5">
      <c r="A1146" t="s">
        <v>9624</v>
      </c>
      <c r="B1146" t="s">
        <v>8514</v>
      </c>
      <c r="C1146" s="10">
        <v>12</v>
      </c>
      <c r="D1146" s="10">
        <v>0.7</v>
      </c>
      <c r="E1146" s="10">
        <v>40</v>
      </c>
    </row>
    <row r="1147" spans="1:5">
      <c r="A1147" t="s">
        <v>6129</v>
      </c>
      <c r="B1147" t="s">
        <v>6130</v>
      </c>
      <c r="C1147" s="10">
        <v>3</v>
      </c>
      <c r="D1147" s="10">
        <v>0.75</v>
      </c>
      <c r="E1147" s="10">
        <v>12.5</v>
      </c>
    </row>
    <row r="1148" spans="1:5">
      <c r="A1148" t="s">
        <v>6131</v>
      </c>
      <c r="B1148" t="s">
        <v>6132</v>
      </c>
      <c r="C1148" s="10">
        <v>3</v>
      </c>
      <c r="D1148" s="10">
        <v>0.75</v>
      </c>
      <c r="E1148" s="10">
        <v>14</v>
      </c>
    </row>
    <row r="1149" spans="1:5">
      <c r="A1149" t="s">
        <v>2904</v>
      </c>
      <c r="B1149" t="s">
        <v>2905</v>
      </c>
      <c r="C1149" s="10">
        <v>6</v>
      </c>
      <c r="D1149" s="10">
        <v>0.75</v>
      </c>
      <c r="E1149" s="10">
        <v>13</v>
      </c>
    </row>
    <row r="1150" spans="1:5">
      <c r="A1150" t="s">
        <v>9625</v>
      </c>
      <c r="B1150" t="s">
        <v>8515</v>
      </c>
      <c r="C1150" s="10">
        <v>6</v>
      </c>
      <c r="D1150" s="10">
        <v>0.75</v>
      </c>
      <c r="E1150" s="10">
        <v>13</v>
      </c>
    </row>
    <row r="1151" spans="1:5">
      <c r="A1151" t="s">
        <v>9626</v>
      </c>
      <c r="B1151" t="s">
        <v>8516</v>
      </c>
      <c r="C1151" s="10">
        <v>6</v>
      </c>
      <c r="D1151" s="10">
        <v>0.75</v>
      </c>
      <c r="E1151" s="10">
        <v>13.5</v>
      </c>
    </row>
    <row r="1152" spans="1:5">
      <c r="A1152" t="s">
        <v>9627</v>
      </c>
      <c r="B1152" t="s">
        <v>8517</v>
      </c>
      <c r="C1152" s="10">
        <v>6</v>
      </c>
      <c r="D1152" s="10">
        <v>0.75</v>
      </c>
      <c r="E1152" s="10">
        <v>14</v>
      </c>
    </row>
    <row r="1153" spans="1:5">
      <c r="A1153" t="s">
        <v>9628</v>
      </c>
      <c r="B1153" t="s">
        <v>8518</v>
      </c>
      <c r="C1153" s="10">
        <v>6</v>
      </c>
      <c r="D1153" s="10">
        <v>0.75</v>
      </c>
      <c r="E1153" s="10">
        <v>13</v>
      </c>
    </row>
    <row r="1154" spans="1:5">
      <c r="A1154" t="s">
        <v>3645</v>
      </c>
      <c r="B1154" t="s">
        <v>3646</v>
      </c>
      <c r="C1154" s="10">
        <v>6</v>
      </c>
      <c r="D1154" s="10">
        <v>0.7</v>
      </c>
      <c r="E1154" s="10">
        <v>47</v>
      </c>
    </row>
    <row r="1155" spans="1:5">
      <c r="A1155" t="s">
        <v>442</v>
      </c>
      <c r="B1155" t="s">
        <v>443</v>
      </c>
      <c r="C1155" s="10">
        <v>6</v>
      </c>
      <c r="D1155" s="10">
        <v>0.7</v>
      </c>
      <c r="E1155" s="10">
        <v>40</v>
      </c>
    </row>
    <row r="1156" spans="1:5">
      <c r="A1156" t="s">
        <v>3647</v>
      </c>
      <c r="B1156" t="s">
        <v>3648</v>
      </c>
      <c r="C1156" s="10">
        <v>6</v>
      </c>
      <c r="D1156" s="10">
        <v>0.7</v>
      </c>
      <c r="E1156" s="10">
        <v>54</v>
      </c>
    </row>
    <row r="1157" spans="1:5">
      <c r="A1157" t="s">
        <v>444</v>
      </c>
      <c r="B1157" t="s">
        <v>445</v>
      </c>
      <c r="C1157" s="10">
        <v>6</v>
      </c>
      <c r="D1157" s="10">
        <v>0.7</v>
      </c>
      <c r="E1157" s="10">
        <v>40</v>
      </c>
    </row>
    <row r="1158" spans="1:5">
      <c r="A1158" t="s">
        <v>1654</v>
      </c>
      <c r="B1158" t="s">
        <v>1655</v>
      </c>
      <c r="C1158" s="10">
        <v>6</v>
      </c>
      <c r="D1158" s="10">
        <v>0.15</v>
      </c>
      <c r="E1158" s="10">
        <v>44.7</v>
      </c>
    </row>
    <row r="1159" spans="1:5">
      <c r="A1159" t="s">
        <v>5386</v>
      </c>
      <c r="B1159" t="s">
        <v>5387</v>
      </c>
      <c r="C1159" s="10">
        <v>6</v>
      </c>
      <c r="D1159" s="10">
        <v>0.7</v>
      </c>
      <c r="E1159" s="10">
        <v>43</v>
      </c>
    </row>
    <row r="1160" spans="1:5">
      <c r="A1160" t="s">
        <v>5388</v>
      </c>
      <c r="B1160" t="s">
        <v>5389</v>
      </c>
      <c r="C1160" s="10">
        <v>6</v>
      </c>
      <c r="D1160" s="10">
        <v>0.7</v>
      </c>
      <c r="E1160" s="10">
        <v>43</v>
      </c>
    </row>
    <row r="1161" spans="1:5">
      <c r="A1161" t="s">
        <v>5390</v>
      </c>
      <c r="B1161" t="s">
        <v>5391</v>
      </c>
      <c r="C1161" s="10">
        <v>6</v>
      </c>
      <c r="D1161" s="10">
        <v>0.7</v>
      </c>
      <c r="E1161" s="10">
        <v>43</v>
      </c>
    </row>
    <row r="1162" spans="1:5">
      <c r="A1162" t="s">
        <v>5392</v>
      </c>
      <c r="B1162" t="s">
        <v>5393</v>
      </c>
      <c r="C1162" s="10">
        <v>6</v>
      </c>
      <c r="D1162" s="10">
        <v>0.7</v>
      </c>
      <c r="E1162" s="10">
        <v>43</v>
      </c>
    </row>
    <row r="1163" spans="1:5">
      <c r="A1163" t="s">
        <v>5174</v>
      </c>
      <c r="B1163" t="s">
        <v>5175</v>
      </c>
      <c r="C1163" s="10">
        <v>6</v>
      </c>
      <c r="D1163" s="10">
        <v>0.7</v>
      </c>
      <c r="E1163" s="10">
        <v>46</v>
      </c>
    </row>
    <row r="1164" spans="1:5">
      <c r="A1164" t="s">
        <v>5176</v>
      </c>
      <c r="B1164" t="s">
        <v>5177</v>
      </c>
      <c r="C1164" s="10">
        <v>6</v>
      </c>
      <c r="D1164" s="10">
        <v>0.7</v>
      </c>
      <c r="E1164" s="10">
        <v>46</v>
      </c>
    </row>
    <row r="1165" spans="1:5">
      <c r="A1165" t="s">
        <v>5178</v>
      </c>
      <c r="B1165" t="s">
        <v>5179</v>
      </c>
      <c r="C1165" s="10">
        <v>6</v>
      </c>
      <c r="D1165" s="10">
        <v>0.7</v>
      </c>
      <c r="E1165" s="10">
        <v>46</v>
      </c>
    </row>
    <row r="1166" spans="1:5">
      <c r="A1166" t="s">
        <v>3649</v>
      </c>
      <c r="B1166" t="s">
        <v>3650</v>
      </c>
      <c r="C1166" s="10">
        <v>6</v>
      </c>
      <c r="D1166" s="10">
        <v>0.7</v>
      </c>
      <c r="E1166" s="10">
        <v>56.7</v>
      </c>
    </row>
    <row r="1167" spans="1:5">
      <c r="A1167" t="s">
        <v>5180</v>
      </c>
      <c r="B1167" t="s">
        <v>5181</v>
      </c>
      <c r="C1167" s="10">
        <v>6</v>
      </c>
      <c r="D1167" s="10">
        <v>0.7</v>
      </c>
      <c r="E1167" s="10">
        <v>46</v>
      </c>
    </row>
    <row r="1168" spans="1:5">
      <c r="A1168" t="s">
        <v>5182</v>
      </c>
      <c r="B1168" t="s">
        <v>5183</v>
      </c>
      <c r="C1168" s="10">
        <v>6</v>
      </c>
      <c r="D1168" s="10">
        <v>0.7</v>
      </c>
      <c r="E1168" s="10">
        <v>46</v>
      </c>
    </row>
    <row r="1169" spans="1:5">
      <c r="A1169" t="s">
        <v>8303</v>
      </c>
      <c r="B1169" t="s">
        <v>8519</v>
      </c>
      <c r="C1169" s="10">
        <v>6</v>
      </c>
      <c r="D1169" s="10">
        <v>0.7</v>
      </c>
      <c r="E1169" s="10">
        <v>43</v>
      </c>
    </row>
    <row r="1170" spans="1:5">
      <c r="A1170" t="s">
        <v>446</v>
      </c>
      <c r="B1170" t="s">
        <v>447</v>
      </c>
      <c r="C1170" s="10">
        <v>6</v>
      </c>
      <c r="D1170" s="10">
        <v>0.7</v>
      </c>
      <c r="E1170" s="10">
        <v>40</v>
      </c>
    </row>
    <row r="1171" spans="1:5">
      <c r="A1171" t="s">
        <v>5394</v>
      </c>
      <c r="B1171" t="s">
        <v>5395</v>
      </c>
      <c r="C1171" s="10">
        <v>6</v>
      </c>
      <c r="D1171" s="10">
        <v>0.7</v>
      </c>
      <c r="E1171" s="10">
        <v>43</v>
      </c>
    </row>
    <row r="1172" spans="1:5">
      <c r="A1172" t="s">
        <v>448</v>
      </c>
      <c r="B1172" t="s">
        <v>449</v>
      </c>
      <c r="C1172" s="10">
        <v>6</v>
      </c>
      <c r="D1172" s="10">
        <v>0.7</v>
      </c>
      <c r="E1172" s="10">
        <v>40</v>
      </c>
    </row>
    <row r="1173" spans="1:5">
      <c r="A1173" t="s">
        <v>5006</v>
      </c>
      <c r="B1173" t="s">
        <v>5007</v>
      </c>
      <c r="C1173" s="10">
        <v>6</v>
      </c>
      <c r="D1173" s="10">
        <v>0.7</v>
      </c>
      <c r="E1173" s="10">
        <v>38</v>
      </c>
    </row>
    <row r="1174" spans="1:5">
      <c r="A1174" t="s">
        <v>3651</v>
      </c>
      <c r="B1174" t="s">
        <v>3652</v>
      </c>
      <c r="C1174" s="10">
        <v>6</v>
      </c>
      <c r="D1174" s="10">
        <v>0.7</v>
      </c>
      <c r="E1174" s="10">
        <v>52.5</v>
      </c>
    </row>
    <row r="1175" spans="1:5">
      <c r="A1175" t="s">
        <v>3653</v>
      </c>
      <c r="B1175" t="s">
        <v>3654</v>
      </c>
      <c r="C1175" s="10">
        <v>6</v>
      </c>
      <c r="D1175" s="10">
        <v>0.7</v>
      </c>
      <c r="E1175" s="10">
        <v>53</v>
      </c>
    </row>
    <row r="1176" spans="1:5">
      <c r="A1176" t="s">
        <v>3655</v>
      </c>
      <c r="B1176" t="s">
        <v>3656</v>
      </c>
      <c r="C1176" s="10">
        <v>6</v>
      </c>
      <c r="D1176" s="10">
        <v>0.7</v>
      </c>
      <c r="E1176" s="10">
        <v>54.5</v>
      </c>
    </row>
    <row r="1177" spans="1:5">
      <c r="A1177" t="s">
        <v>3657</v>
      </c>
      <c r="B1177" t="s">
        <v>3658</v>
      </c>
      <c r="C1177" s="10">
        <v>6</v>
      </c>
      <c r="D1177" s="10">
        <v>0.7</v>
      </c>
      <c r="E1177" s="10">
        <v>55.5</v>
      </c>
    </row>
    <row r="1178" spans="1:5">
      <c r="A1178" t="s">
        <v>3659</v>
      </c>
      <c r="B1178" t="s">
        <v>3660</v>
      </c>
      <c r="C1178" s="10">
        <v>6</v>
      </c>
      <c r="D1178" s="10">
        <v>0.7</v>
      </c>
      <c r="E1178" s="10">
        <v>54</v>
      </c>
    </row>
    <row r="1179" spans="1:5">
      <c r="A1179" t="s">
        <v>9629</v>
      </c>
      <c r="B1179" t="s">
        <v>8520</v>
      </c>
      <c r="C1179" s="10">
        <v>6</v>
      </c>
      <c r="D1179" s="10">
        <v>0.7</v>
      </c>
      <c r="E1179" s="10">
        <v>56.5</v>
      </c>
    </row>
    <row r="1180" spans="1:5">
      <c r="A1180" t="s">
        <v>3661</v>
      </c>
      <c r="B1180" t="s">
        <v>3662</v>
      </c>
      <c r="C1180" s="10">
        <v>6</v>
      </c>
      <c r="D1180" s="10">
        <v>0.7</v>
      </c>
      <c r="E1180" s="10">
        <v>14</v>
      </c>
    </row>
    <row r="1181" spans="1:5">
      <c r="A1181" t="s">
        <v>3663</v>
      </c>
      <c r="B1181" t="s">
        <v>3664</v>
      </c>
      <c r="C1181" s="10">
        <v>6</v>
      </c>
      <c r="D1181" s="10">
        <v>0.7</v>
      </c>
      <c r="E1181" s="10">
        <v>14.9</v>
      </c>
    </row>
    <row r="1182" spans="1:5">
      <c r="A1182" t="s">
        <v>3665</v>
      </c>
      <c r="B1182" t="s">
        <v>3666</v>
      </c>
      <c r="C1182" s="10">
        <v>6</v>
      </c>
      <c r="D1182" s="10">
        <v>0.7</v>
      </c>
      <c r="E1182" s="10">
        <v>10</v>
      </c>
    </row>
    <row r="1183" spans="1:5">
      <c r="A1183" t="s">
        <v>3667</v>
      </c>
      <c r="B1183" t="s">
        <v>3668</v>
      </c>
      <c r="C1183" s="10">
        <v>6</v>
      </c>
      <c r="D1183" s="10">
        <v>0.7</v>
      </c>
      <c r="E1183" s="10">
        <v>14.9</v>
      </c>
    </row>
    <row r="1184" spans="1:5">
      <c r="A1184" t="s">
        <v>3669</v>
      </c>
      <c r="B1184" t="s">
        <v>3670</v>
      </c>
      <c r="C1184" s="10">
        <v>6</v>
      </c>
      <c r="D1184" s="10">
        <v>0.7</v>
      </c>
      <c r="E1184" s="10">
        <v>10</v>
      </c>
    </row>
    <row r="1185" spans="1:5">
      <c r="A1185" t="s">
        <v>3671</v>
      </c>
      <c r="B1185" t="s">
        <v>3672</v>
      </c>
      <c r="C1185" s="10">
        <v>6</v>
      </c>
      <c r="D1185" s="10">
        <v>0.7</v>
      </c>
      <c r="E1185" s="10">
        <v>10</v>
      </c>
    </row>
    <row r="1186" spans="1:5">
      <c r="A1186" t="s">
        <v>3673</v>
      </c>
      <c r="B1186" t="s">
        <v>3674</v>
      </c>
      <c r="C1186" s="10">
        <v>6</v>
      </c>
      <c r="D1186" s="10">
        <v>0.7</v>
      </c>
      <c r="E1186" s="10">
        <v>14.9</v>
      </c>
    </row>
    <row r="1187" spans="1:5">
      <c r="A1187" t="s">
        <v>3675</v>
      </c>
      <c r="B1187" t="s">
        <v>3676</v>
      </c>
      <c r="C1187" s="10">
        <v>6</v>
      </c>
      <c r="D1187" s="10">
        <v>0.7</v>
      </c>
      <c r="E1187" s="10">
        <v>10</v>
      </c>
    </row>
    <row r="1188" spans="1:5">
      <c r="A1188" t="s">
        <v>3677</v>
      </c>
      <c r="B1188" t="s">
        <v>3678</v>
      </c>
      <c r="C1188" s="10">
        <v>6</v>
      </c>
      <c r="D1188" s="10">
        <v>0.7</v>
      </c>
      <c r="E1188" s="10">
        <v>14.9</v>
      </c>
    </row>
    <row r="1189" spans="1:5">
      <c r="A1189" t="s">
        <v>6643</v>
      </c>
      <c r="B1189" t="s">
        <v>6644</v>
      </c>
      <c r="C1189" s="10">
        <v>12</v>
      </c>
      <c r="D1189" s="10">
        <v>0.5</v>
      </c>
      <c r="E1189" s="10">
        <v>10</v>
      </c>
    </row>
    <row r="1190" spans="1:5">
      <c r="A1190" t="s">
        <v>3679</v>
      </c>
      <c r="B1190" t="s">
        <v>3680</v>
      </c>
      <c r="C1190" s="10">
        <v>6</v>
      </c>
      <c r="D1190" s="10">
        <v>0.7</v>
      </c>
      <c r="E1190" s="10">
        <v>10</v>
      </c>
    </row>
    <row r="1191" spans="1:5">
      <c r="A1191" t="s">
        <v>3681</v>
      </c>
      <c r="B1191" t="s">
        <v>3682</v>
      </c>
      <c r="C1191" s="10">
        <v>6</v>
      </c>
      <c r="D1191" s="10">
        <v>0.7</v>
      </c>
      <c r="E1191" s="10">
        <v>10</v>
      </c>
    </row>
    <row r="1192" spans="1:5">
      <c r="A1192" t="s">
        <v>3683</v>
      </c>
      <c r="B1192" t="s">
        <v>3684</v>
      </c>
      <c r="C1192" s="10">
        <v>6</v>
      </c>
      <c r="D1192" s="10">
        <v>0.7</v>
      </c>
      <c r="E1192" s="10">
        <v>10</v>
      </c>
    </row>
    <row r="1193" spans="1:5">
      <c r="A1193" t="s">
        <v>3685</v>
      </c>
      <c r="B1193" t="s">
        <v>3686</v>
      </c>
      <c r="C1193" s="10">
        <v>6</v>
      </c>
      <c r="D1193" s="10">
        <v>0.7</v>
      </c>
      <c r="E1193" s="10">
        <v>10</v>
      </c>
    </row>
    <row r="1194" spans="1:5">
      <c r="A1194" t="s">
        <v>3687</v>
      </c>
      <c r="B1194" t="s">
        <v>3688</v>
      </c>
      <c r="C1194" s="10">
        <v>6</v>
      </c>
      <c r="D1194" s="10">
        <v>0.7</v>
      </c>
      <c r="E1194" s="10">
        <v>10</v>
      </c>
    </row>
    <row r="1195" spans="1:5">
      <c r="A1195" t="s">
        <v>3689</v>
      </c>
      <c r="B1195" t="s">
        <v>3690</v>
      </c>
      <c r="C1195" s="10">
        <v>6</v>
      </c>
      <c r="D1195" s="10">
        <v>0.7</v>
      </c>
      <c r="E1195" s="10">
        <v>10</v>
      </c>
    </row>
    <row r="1196" spans="1:5">
      <c r="A1196" t="s">
        <v>3691</v>
      </c>
      <c r="B1196" t="s">
        <v>3692</v>
      </c>
      <c r="C1196" s="10">
        <v>6</v>
      </c>
      <c r="D1196" s="10">
        <v>0.7</v>
      </c>
      <c r="E1196" s="10">
        <v>14.9</v>
      </c>
    </row>
    <row r="1197" spans="1:5">
      <c r="A1197" t="s">
        <v>1761</v>
      </c>
      <c r="B1197" t="s">
        <v>1762</v>
      </c>
      <c r="C1197" s="10">
        <v>6</v>
      </c>
      <c r="D1197" s="10">
        <v>0.5</v>
      </c>
      <c r="E1197" s="10">
        <v>42</v>
      </c>
    </row>
    <row r="1198" spans="1:5">
      <c r="A1198" t="s">
        <v>1562</v>
      </c>
      <c r="B1198" t="s">
        <v>1563</v>
      </c>
      <c r="C1198" s="10">
        <v>6</v>
      </c>
      <c r="D1198" s="10">
        <v>0.5</v>
      </c>
      <c r="E1198" s="10">
        <v>40</v>
      </c>
    </row>
    <row r="1199" spans="1:5">
      <c r="A1199" t="s">
        <v>1763</v>
      </c>
      <c r="B1199" t="s">
        <v>1764</v>
      </c>
      <c r="C1199" s="10">
        <v>6</v>
      </c>
      <c r="D1199" s="10">
        <v>0.5</v>
      </c>
      <c r="E1199" s="10">
        <v>0</v>
      </c>
    </row>
    <row r="1200" spans="1:5">
      <c r="A1200" t="s">
        <v>1765</v>
      </c>
      <c r="B1200" t="s">
        <v>1766</v>
      </c>
      <c r="C1200" s="10">
        <v>6</v>
      </c>
      <c r="D1200" s="10">
        <v>0.5</v>
      </c>
      <c r="E1200" s="10">
        <v>41</v>
      </c>
    </row>
    <row r="1201" spans="1:5">
      <c r="A1201" t="s">
        <v>1564</v>
      </c>
      <c r="B1201" t="s">
        <v>1565</v>
      </c>
      <c r="C1201" s="10">
        <v>6</v>
      </c>
      <c r="D1201" s="10">
        <v>0.5</v>
      </c>
      <c r="E1201" s="10">
        <v>40</v>
      </c>
    </row>
    <row r="1202" spans="1:5">
      <c r="A1202" t="s">
        <v>9630</v>
      </c>
      <c r="B1202" t="s">
        <v>8521</v>
      </c>
      <c r="C1202" s="10">
        <v>6</v>
      </c>
      <c r="D1202" s="10">
        <v>0.75</v>
      </c>
      <c r="E1202" s="10">
        <v>14</v>
      </c>
    </row>
    <row r="1203" spans="1:5">
      <c r="A1203" t="s">
        <v>2906</v>
      </c>
      <c r="B1203" t="s">
        <v>2907</v>
      </c>
      <c r="C1203" s="10">
        <v>6</v>
      </c>
      <c r="D1203" s="10">
        <v>0.75</v>
      </c>
      <c r="E1203" s="10">
        <v>13</v>
      </c>
    </row>
    <row r="1204" spans="1:5">
      <c r="A1204" t="s">
        <v>9631</v>
      </c>
      <c r="B1204" t="s">
        <v>8522</v>
      </c>
      <c r="C1204" s="10">
        <v>6</v>
      </c>
      <c r="D1204" s="10">
        <v>0.75</v>
      </c>
      <c r="E1204" s="10">
        <v>12</v>
      </c>
    </row>
    <row r="1205" spans="1:5">
      <c r="A1205" t="s">
        <v>2520</v>
      </c>
      <c r="B1205" t="s">
        <v>2521</v>
      </c>
      <c r="C1205" s="10">
        <v>6</v>
      </c>
      <c r="D1205" s="10">
        <v>0.75</v>
      </c>
      <c r="E1205" s="10">
        <v>14.5</v>
      </c>
    </row>
    <row r="1206" spans="1:5">
      <c r="A1206" t="s">
        <v>2522</v>
      </c>
      <c r="B1206" t="s">
        <v>2523</v>
      </c>
      <c r="C1206" s="10">
        <v>6</v>
      </c>
      <c r="D1206" s="10">
        <v>0.75</v>
      </c>
      <c r="E1206" s="10">
        <v>14.5</v>
      </c>
    </row>
    <row r="1207" spans="1:5">
      <c r="A1207" t="s">
        <v>2908</v>
      </c>
      <c r="B1207" t="s">
        <v>2909</v>
      </c>
      <c r="C1207" s="10">
        <v>6</v>
      </c>
      <c r="D1207" s="10">
        <v>0.75</v>
      </c>
      <c r="E1207" s="10">
        <v>13</v>
      </c>
    </row>
    <row r="1208" spans="1:5">
      <c r="A1208" t="s">
        <v>2910</v>
      </c>
      <c r="B1208" t="s">
        <v>2911</v>
      </c>
      <c r="C1208" s="10">
        <v>6</v>
      </c>
      <c r="D1208" s="10">
        <v>0.75</v>
      </c>
      <c r="E1208" s="10">
        <v>13</v>
      </c>
    </row>
    <row r="1209" spans="1:5">
      <c r="A1209" t="s">
        <v>9632</v>
      </c>
      <c r="B1209" t="s">
        <v>8523</v>
      </c>
      <c r="C1209" s="10">
        <v>6</v>
      </c>
      <c r="D1209" s="10">
        <v>0.75</v>
      </c>
      <c r="E1209" s="10">
        <v>13.5</v>
      </c>
    </row>
    <row r="1210" spans="1:5">
      <c r="A1210" t="s">
        <v>2524</v>
      </c>
      <c r="B1210" t="s">
        <v>2525</v>
      </c>
      <c r="C1210" s="10">
        <v>6</v>
      </c>
      <c r="D1210" s="10">
        <v>0.75</v>
      </c>
      <c r="E1210" s="10">
        <v>14</v>
      </c>
    </row>
    <row r="1211" spans="1:5">
      <c r="A1211" t="s">
        <v>3020</v>
      </c>
      <c r="B1211" t="s">
        <v>3021</v>
      </c>
      <c r="C1211" s="10">
        <v>6</v>
      </c>
      <c r="D1211" s="10">
        <v>0.75</v>
      </c>
      <c r="E1211" s="10">
        <v>12</v>
      </c>
    </row>
    <row r="1212" spans="1:5">
      <c r="A1212" t="s">
        <v>2526</v>
      </c>
      <c r="B1212" t="s">
        <v>2527</v>
      </c>
      <c r="C1212" s="10">
        <v>6</v>
      </c>
      <c r="D1212" s="10">
        <v>0.75</v>
      </c>
      <c r="E1212" s="10">
        <v>13.5</v>
      </c>
    </row>
    <row r="1213" spans="1:5">
      <c r="A1213" t="s">
        <v>3022</v>
      </c>
      <c r="B1213" t="s">
        <v>3023</v>
      </c>
      <c r="C1213" s="10">
        <v>6</v>
      </c>
      <c r="D1213" s="10">
        <v>0.75</v>
      </c>
      <c r="E1213" s="10">
        <v>12</v>
      </c>
    </row>
    <row r="1214" spans="1:5">
      <c r="A1214" t="s">
        <v>9633</v>
      </c>
      <c r="B1214" t="s">
        <v>8524</v>
      </c>
      <c r="C1214" s="10">
        <v>6</v>
      </c>
      <c r="D1214" s="10">
        <v>0.75</v>
      </c>
      <c r="E1214" s="10">
        <v>13.5</v>
      </c>
    </row>
    <row r="1215" spans="1:5">
      <c r="A1215" t="s">
        <v>2528</v>
      </c>
      <c r="B1215" t="s">
        <v>2529</v>
      </c>
      <c r="C1215" s="10">
        <v>6</v>
      </c>
      <c r="D1215" s="10">
        <v>0.75</v>
      </c>
      <c r="E1215" s="10">
        <v>13.5</v>
      </c>
    </row>
    <row r="1216" spans="1:5">
      <c r="A1216" t="s">
        <v>450</v>
      </c>
      <c r="B1216" t="s">
        <v>8525</v>
      </c>
      <c r="C1216" s="10">
        <v>6</v>
      </c>
      <c r="D1216" s="10">
        <v>0.7</v>
      </c>
      <c r="E1216" s="10">
        <v>40</v>
      </c>
    </row>
    <row r="1217" spans="1:5">
      <c r="A1217" t="s">
        <v>9634</v>
      </c>
      <c r="B1217" t="s">
        <v>8526</v>
      </c>
      <c r="C1217" s="10">
        <v>6</v>
      </c>
      <c r="D1217" s="10">
        <v>0.7</v>
      </c>
      <c r="E1217" s="10">
        <v>40</v>
      </c>
    </row>
    <row r="1218" spans="1:5">
      <c r="A1218" t="s">
        <v>451</v>
      </c>
      <c r="B1218" t="s">
        <v>452</v>
      </c>
      <c r="C1218" s="10">
        <v>6</v>
      </c>
      <c r="D1218" s="10">
        <v>0.7</v>
      </c>
      <c r="E1218" s="10">
        <v>40</v>
      </c>
    </row>
    <row r="1219" spans="1:5">
      <c r="A1219" t="s">
        <v>9635</v>
      </c>
      <c r="B1219" t="s">
        <v>8527</v>
      </c>
      <c r="C1219" s="10">
        <v>6</v>
      </c>
      <c r="D1219" s="10">
        <v>0.7</v>
      </c>
      <c r="E1219" s="10">
        <v>40</v>
      </c>
    </row>
    <row r="1220" spans="1:5">
      <c r="A1220" t="s">
        <v>453</v>
      </c>
      <c r="B1220" t="s">
        <v>454</v>
      </c>
      <c r="C1220" s="10">
        <v>6</v>
      </c>
      <c r="D1220" s="10">
        <v>0.7</v>
      </c>
      <c r="E1220" s="10">
        <v>40</v>
      </c>
    </row>
    <row r="1221" spans="1:5">
      <c r="A1221" t="s">
        <v>6133</v>
      </c>
      <c r="B1221" t="s">
        <v>6134</v>
      </c>
      <c r="C1221" s="10">
        <v>24</v>
      </c>
      <c r="D1221" s="10">
        <v>0.33</v>
      </c>
      <c r="E1221" s="10">
        <v>4.5</v>
      </c>
    </row>
    <row r="1222" spans="1:5">
      <c r="A1222" t="s">
        <v>6135</v>
      </c>
      <c r="B1222" t="s">
        <v>6134</v>
      </c>
      <c r="C1222" s="10">
        <v>24</v>
      </c>
      <c r="D1222" s="10">
        <v>0.35499999999999998</v>
      </c>
      <c r="E1222" s="10">
        <v>4.5</v>
      </c>
    </row>
    <row r="1223" spans="1:5">
      <c r="A1223" t="s">
        <v>9636</v>
      </c>
      <c r="B1223" t="s">
        <v>6134</v>
      </c>
      <c r="C1223" s="10">
        <v>24</v>
      </c>
      <c r="D1223" s="10">
        <v>0.35499999999999998</v>
      </c>
      <c r="E1223" s="10">
        <v>4.5</v>
      </c>
    </row>
    <row r="1224" spans="1:5">
      <c r="A1224" t="s">
        <v>6136</v>
      </c>
      <c r="B1224" t="s">
        <v>6134</v>
      </c>
      <c r="C1224" s="10">
        <v>24</v>
      </c>
      <c r="D1224" s="10">
        <v>0.35499999999999998</v>
      </c>
      <c r="E1224" s="10">
        <v>4.5</v>
      </c>
    </row>
    <row r="1225" spans="1:5">
      <c r="A1225" t="s">
        <v>6137</v>
      </c>
      <c r="B1225" t="s">
        <v>6134</v>
      </c>
      <c r="C1225" s="10">
        <v>24</v>
      </c>
      <c r="D1225" s="10">
        <v>0.35499999999999998</v>
      </c>
      <c r="E1225" s="10">
        <v>4.5</v>
      </c>
    </row>
    <row r="1226" spans="1:5">
      <c r="A1226" t="s">
        <v>6138</v>
      </c>
      <c r="B1226" t="s">
        <v>6134</v>
      </c>
      <c r="C1226" s="10">
        <v>24</v>
      </c>
      <c r="D1226" s="10">
        <v>0.35499999999999998</v>
      </c>
      <c r="E1226" s="10">
        <v>4.5</v>
      </c>
    </row>
    <row r="1227" spans="1:5">
      <c r="A1227" t="s">
        <v>5008</v>
      </c>
      <c r="B1227" t="s">
        <v>5009</v>
      </c>
      <c r="C1227" s="10">
        <v>6</v>
      </c>
      <c r="D1227" s="10">
        <v>0.7</v>
      </c>
      <c r="E1227" s="10">
        <v>38</v>
      </c>
    </row>
    <row r="1228" spans="1:5">
      <c r="A1228" t="s">
        <v>5010</v>
      </c>
      <c r="B1228" t="s">
        <v>5011</v>
      </c>
      <c r="C1228" s="10">
        <v>6</v>
      </c>
      <c r="D1228" s="10">
        <v>0.7</v>
      </c>
      <c r="E1228" s="10">
        <v>38</v>
      </c>
    </row>
    <row r="1229" spans="1:5">
      <c r="A1229" t="s">
        <v>5012</v>
      </c>
      <c r="B1229" t="s">
        <v>5013</v>
      </c>
      <c r="C1229" s="10">
        <v>6</v>
      </c>
      <c r="D1229" s="10">
        <v>0.7</v>
      </c>
      <c r="E1229" s="10">
        <v>38</v>
      </c>
    </row>
    <row r="1230" spans="1:5">
      <c r="A1230" t="s">
        <v>455</v>
      </c>
      <c r="B1230" t="s">
        <v>456</v>
      </c>
      <c r="C1230" s="10">
        <v>6</v>
      </c>
      <c r="D1230" s="10">
        <v>0.7</v>
      </c>
      <c r="E1230" s="10">
        <v>40</v>
      </c>
    </row>
    <row r="1231" spans="1:5">
      <c r="A1231" t="s">
        <v>457</v>
      </c>
      <c r="B1231" t="s">
        <v>458</v>
      </c>
      <c r="C1231" s="10">
        <v>6</v>
      </c>
      <c r="D1231" s="10">
        <v>0.7</v>
      </c>
      <c r="E1231" s="10">
        <v>40</v>
      </c>
    </row>
    <row r="1232" spans="1:5">
      <c r="A1232" t="s">
        <v>3693</v>
      </c>
      <c r="B1232" t="s">
        <v>3694</v>
      </c>
      <c r="C1232" s="10">
        <v>6</v>
      </c>
      <c r="D1232" s="10">
        <v>0.7</v>
      </c>
      <c r="E1232" s="10">
        <v>46.2</v>
      </c>
    </row>
    <row r="1233" spans="1:5">
      <c r="A1233" t="s">
        <v>3695</v>
      </c>
      <c r="B1233" t="s">
        <v>3696</v>
      </c>
      <c r="C1233" s="10">
        <v>6</v>
      </c>
      <c r="D1233" s="10">
        <v>0.7</v>
      </c>
      <c r="E1233" s="10">
        <v>50.6</v>
      </c>
    </row>
    <row r="1234" spans="1:5">
      <c r="A1234" t="s">
        <v>459</v>
      </c>
      <c r="B1234" t="s">
        <v>8528</v>
      </c>
      <c r="C1234" s="10">
        <v>6</v>
      </c>
      <c r="D1234" s="10">
        <v>0.7</v>
      </c>
      <c r="E1234" s="10">
        <v>40</v>
      </c>
    </row>
    <row r="1235" spans="1:5">
      <c r="A1235" t="s">
        <v>3697</v>
      </c>
      <c r="B1235" t="s">
        <v>3698</v>
      </c>
      <c r="C1235" s="10">
        <v>6</v>
      </c>
      <c r="D1235" s="10">
        <v>0.7</v>
      </c>
      <c r="E1235" s="10">
        <v>74</v>
      </c>
    </row>
    <row r="1236" spans="1:5">
      <c r="A1236" t="s">
        <v>6021</v>
      </c>
      <c r="B1236" t="s">
        <v>6022</v>
      </c>
      <c r="C1236" s="10">
        <v>1</v>
      </c>
      <c r="D1236" s="10">
        <v>0.7</v>
      </c>
      <c r="E1236" s="10">
        <v>40</v>
      </c>
    </row>
    <row r="1237" spans="1:5">
      <c r="A1237" t="s">
        <v>460</v>
      </c>
      <c r="B1237" t="s">
        <v>461</v>
      </c>
      <c r="C1237" s="10">
        <v>6</v>
      </c>
      <c r="D1237" s="10">
        <v>0.7</v>
      </c>
      <c r="E1237" s="10">
        <v>40</v>
      </c>
    </row>
    <row r="1238" spans="1:5">
      <c r="A1238" t="s">
        <v>9637</v>
      </c>
      <c r="B1238" t="s">
        <v>8529</v>
      </c>
      <c r="C1238" s="10">
        <v>6</v>
      </c>
      <c r="D1238" s="10">
        <v>0.7</v>
      </c>
      <c r="E1238" s="10">
        <v>40</v>
      </c>
    </row>
    <row r="1239" spans="1:5">
      <c r="A1239" t="s">
        <v>462</v>
      </c>
      <c r="B1239" t="s">
        <v>463</v>
      </c>
      <c r="C1239" s="10">
        <v>6</v>
      </c>
      <c r="D1239" s="10">
        <v>0.7</v>
      </c>
      <c r="E1239" s="10">
        <v>40</v>
      </c>
    </row>
    <row r="1240" spans="1:5">
      <c r="A1240" t="s">
        <v>464</v>
      </c>
      <c r="B1240" t="s">
        <v>465</v>
      </c>
      <c r="C1240" s="10">
        <v>6</v>
      </c>
      <c r="D1240" s="10">
        <v>0.7</v>
      </c>
      <c r="E1240" s="10">
        <v>40</v>
      </c>
    </row>
    <row r="1241" spans="1:5">
      <c r="A1241" t="s">
        <v>9638</v>
      </c>
      <c r="B1241" t="s">
        <v>8530</v>
      </c>
      <c r="C1241" s="10">
        <v>12</v>
      </c>
      <c r="D1241" s="10">
        <v>0.7</v>
      </c>
      <c r="E1241" s="10">
        <v>40</v>
      </c>
    </row>
    <row r="1242" spans="1:5">
      <c r="A1242" t="s">
        <v>9639</v>
      </c>
      <c r="B1242" t="s">
        <v>8531</v>
      </c>
      <c r="C1242" s="10">
        <v>6</v>
      </c>
      <c r="D1242" s="10">
        <v>0.7</v>
      </c>
      <c r="E1242" s="10">
        <v>44.3</v>
      </c>
    </row>
    <row r="1243" spans="1:5">
      <c r="A1243" t="s">
        <v>5396</v>
      </c>
      <c r="B1243" t="s">
        <v>5397</v>
      </c>
      <c r="C1243" s="10">
        <v>6</v>
      </c>
      <c r="D1243" s="10">
        <v>0.7</v>
      </c>
      <c r="E1243" s="10">
        <v>43</v>
      </c>
    </row>
    <row r="1244" spans="1:5">
      <c r="A1244" t="s">
        <v>3699</v>
      </c>
      <c r="B1244" t="s">
        <v>3700</v>
      </c>
      <c r="C1244" s="10">
        <v>6</v>
      </c>
      <c r="D1244" s="10">
        <v>0.7</v>
      </c>
      <c r="E1244" s="10">
        <v>47</v>
      </c>
    </row>
    <row r="1245" spans="1:5">
      <c r="A1245" t="s">
        <v>466</v>
      </c>
      <c r="B1245" t="s">
        <v>467</v>
      </c>
      <c r="C1245" s="10">
        <v>6</v>
      </c>
      <c r="D1245" s="10">
        <v>0.7</v>
      </c>
      <c r="E1245" s="10">
        <v>40</v>
      </c>
    </row>
    <row r="1246" spans="1:5">
      <c r="A1246" t="s">
        <v>9640</v>
      </c>
      <c r="B1246" t="s">
        <v>8532</v>
      </c>
      <c r="C1246" s="10">
        <v>6</v>
      </c>
      <c r="D1246" s="10">
        <v>1</v>
      </c>
      <c r="E1246" s="10">
        <v>40</v>
      </c>
    </row>
    <row r="1247" spans="1:5">
      <c r="A1247" t="s">
        <v>9641</v>
      </c>
      <c r="B1247" t="s">
        <v>8533</v>
      </c>
      <c r="C1247" s="10">
        <v>6</v>
      </c>
      <c r="D1247" s="10">
        <v>1</v>
      </c>
      <c r="E1247" s="10">
        <v>40</v>
      </c>
    </row>
    <row r="1248" spans="1:5">
      <c r="A1248" t="s">
        <v>6645</v>
      </c>
      <c r="B1248" t="s">
        <v>5185</v>
      </c>
      <c r="C1248" s="10">
        <v>12</v>
      </c>
      <c r="D1248" s="10">
        <v>0.2</v>
      </c>
      <c r="E1248" s="10">
        <v>46</v>
      </c>
    </row>
    <row r="1249" spans="1:5">
      <c r="A1249" t="s">
        <v>5184</v>
      </c>
      <c r="B1249" t="s">
        <v>5185</v>
      </c>
      <c r="C1249" s="10">
        <v>6</v>
      </c>
      <c r="D1249" s="10">
        <v>0.7</v>
      </c>
      <c r="E1249" s="10">
        <v>46</v>
      </c>
    </row>
    <row r="1250" spans="1:5">
      <c r="A1250" t="s">
        <v>5186</v>
      </c>
      <c r="B1250" t="s">
        <v>5187</v>
      </c>
      <c r="C1250" s="10">
        <v>6</v>
      </c>
      <c r="D1250" s="10">
        <v>0.7</v>
      </c>
      <c r="E1250" s="10">
        <v>46</v>
      </c>
    </row>
    <row r="1251" spans="1:5">
      <c r="A1251" t="s">
        <v>5188</v>
      </c>
      <c r="B1251" t="s">
        <v>5189</v>
      </c>
      <c r="C1251" s="10">
        <v>6</v>
      </c>
      <c r="D1251" s="10">
        <v>0.7</v>
      </c>
      <c r="E1251" s="10">
        <v>46</v>
      </c>
    </row>
    <row r="1252" spans="1:5">
      <c r="A1252" t="s">
        <v>3701</v>
      </c>
      <c r="B1252" t="s">
        <v>3702</v>
      </c>
      <c r="C1252" s="10">
        <v>6</v>
      </c>
      <c r="D1252" s="10">
        <v>0.7</v>
      </c>
      <c r="E1252" s="10">
        <v>17</v>
      </c>
    </row>
    <row r="1253" spans="1:5">
      <c r="A1253" t="s">
        <v>6646</v>
      </c>
      <c r="B1253" t="s">
        <v>6647</v>
      </c>
      <c r="C1253" s="10">
        <v>12</v>
      </c>
      <c r="D1253" s="10">
        <v>0.7</v>
      </c>
      <c r="E1253" s="10">
        <v>30</v>
      </c>
    </row>
    <row r="1254" spans="1:5">
      <c r="A1254" t="s">
        <v>6648</v>
      </c>
      <c r="B1254" t="s">
        <v>6649</v>
      </c>
      <c r="C1254" s="10">
        <v>12</v>
      </c>
      <c r="D1254" s="10">
        <v>0.7</v>
      </c>
      <c r="E1254" s="10">
        <v>30</v>
      </c>
    </row>
    <row r="1255" spans="1:5">
      <c r="A1255" t="s">
        <v>2530</v>
      </c>
      <c r="B1255" t="s">
        <v>2531</v>
      </c>
      <c r="C1255" s="10">
        <v>6</v>
      </c>
      <c r="D1255" s="10">
        <v>0.75</v>
      </c>
      <c r="E1255" s="10">
        <v>19.5</v>
      </c>
    </row>
    <row r="1256" spans="1:5">
      <c r="A1256" t="s">
        <v>4854</v>
      </c>
      <c r="B1256" t="s">
        <v>4855</v>
      </c>
      <c r="C1256" s="10">
        <v>6</v>
      </c>
      <c r="D1256" s="10">
        <v>0.7</v>
      </c>
      <c r="E1256" s="10">
        <v>37.5</v>
      </c>
    </row>
    <row r="1257" spans="1:5">
      <c r="A1257" t="s">
        <v>9642</v>
      </c>
      <c r="B1257" t="s">
        <v>468</v>
      </c>
      <c r="C1257" s="10">
        <v>6</v>
      </c>
      <c r="D1257" s="10">
        <v>0.7</v>
      </c>
      <c r="E1257" s="10">
        <v>40</v>
      </c>
    </row>
    <row r="1258" spans="1:5">
      <c r="A1258" t="s">
        <v>469</v>
      </c>
      <c r="B1258" t="s">
        <v>468</v>
      </c>
      <c r="C1258" s="10">
        <v>6</v>
      </c>
      <c r="D1258" s="10">
        <v>0.7</v>
      </c>
      <c r="E1258" s="10">
        <v>40</v>
      </c>
    </row>
    <row r="1259" spans="1:5">
      <c r="A1259" t="s">
        <v>6023</v>
      </c>
      <c r="B1259" t="s">
        <v>6024</v>
      </c>
      <c r="C1259" s="10">
        <v>4</v>
      </c>
      <c r="D1259" s="10">
        <v>0.7</v>
      </c>
      <c r="E1259" s="10">
        <v>40</v>
      </c>
    </row>
    <row r="1260" spans="1:5">
      <c r="A1260" t="s">
        <v>470</v>
      </c>
      <c r="B1260" t="s">
        <v>471</v>
      </c>
      <c r="C1260" s="10">
        <v>6</v>
      </c>
      <c r="D1260" s="10">
        <v>0.7</v>
      </c>
      <c r="E1260" s="10">
        <v>40</v>
      </c>
    </row>
    <row r="1261" spans="1:5">
      <c r="A1261" t="s">
        <v>9643</v>
      </c>
      <c r="B1261" t="s">
        <v>471</v>
      </c>
      <c r="C1261" s="10">
        <v>6</v>
      </c>
      <c r="D1261" s="10">
        <v>1</v>
      </c>
      <c r="E1261" s="10">
        <v>40</v>
      </c>
    </row>
    <row r="1262" spans="1:5">
      <c r="A1262" t="s">
        <v>5902</v>
      </c>
      <c r="B1262" t="s">
        <v>471</v>
      </c>
      <c r="C1262" s="10">
        <v>3</v>
      </c>
      <c r="D1262" s="10">
        <v>1.75</v>
      </c>
      <c r="E1262" s="10">
        <v>40</v>
      </c>
    </row>
    <row r="1263" spans="1:5">
      <c r="A1263" t="s">
        <v>5903</v>
      </c>
      <c r="B1263" t="s">
        <v>471</v>
      </c>
      <c r="C1263" s="10">
        <v>2</v>
      </c>
      <c r="D1263" s="10">
        <v>3</v>
      </c>
      <c r="E1263" s="10">
        <v>40</v>
      </c>
    </row>
    <row r="1264" spans="1:5">
      <c r="A1264" t="s">
        <v>472</v>
      </c>
      <c r="B1264" t="s">
        <v>473</v>
      </c>
      <c r="C1264" s="10">
        <v>6</v>
      </c>
      <c r="D1264" s="10">
        <v>0.7</v>
      </c>
      <c r="E1264" s="10">
        <v>40</v>
      </c>
    </row>
    <row r="1265" spans="1:5">
      <c r="A1265" t="s">
        <v>9644</v>
      </c>
      <c r="B1265" t="s">
        <v>8534</v>
      </c>
      <c r="C1265" s="10">
        <v>4</v>
      </c>
      <c r="D1265" s="10">
        <v>0.7</v>
      </c>
      <c r="E1265" s="10">
        <v>40</v>
      </c>
    </row>
    <row r="1266" spans="1:5">
      <c r="A1266" t="s">
        <v>474</v>
      </c>
      <c r="B1266" t="s">
        <v>475</v>
      </c>
      <c r="C1266" s="10">
        <v>6</v>
      </c>
      <c r="D1266" s="10">
        <v>0.7</v>
      </c>
      <c r="E1266" s="10">
        <v>40</v>
      </c>
    </row>
    <row r="1267" spans="1:5">
      <c r="A1267" t="s">
        <v>476</v>
      </c>
      <c r="B1267" t="s">
        <v>477</v>
      </c>
      <c r="C1267" s="10">
        <v>6</v>
      </c>
      <c r="D1267" s="10">
        <v>0.7</v>
      </c>
      <c r="E1267" s="10">
        <v>40</v>
      </c>
    </row>
    <row r="1268" spans="1:5">
      <c r="A1268" t="s">
        <v>478</v>
      </c>
      <c r="B1268" t="s">
        <v>479</v>
      </c>
      <c r="C1268" s="10">
        <v>6</v>
      </c>
      <c r="D1268" s="10">
        <v>0.7</v>
      </c>
      <c r="E1268" s="10">
        <v>40</v>
      </c>
    </row>
    <row r="1269" spans="1:5">
      <c r="A1269" t="s">
        <v>6139</v>
      </c>
      <c r="B1269" t="s">
        <v>6140</v>
      </c>
      <c r="C1269" s="10">
        <v>120</v>
      </c>
      <c r="D1269" s="10">
        <v>1</v>
      </c>
      <c r="E1269" s="10">
        <v>0</v>
      </c>
    </row>
    <row r="1270" spans="1:5">
      <c r="A1270" t="s">
        <v>2912</v>
      </c>
      <c r="B1270" t="s">
        <v>2913</v>
      </c>
      <c r="C1270" s="10">
        <v>6</v>
      </c>
      <c r="D1270" s="10">
        <v>0.75</v>
      </c>
      <c r="E1270" s="10">
        <v>13</v>
      </c>
    </row>
    <row r="1271" spans="1:5">
      <c r="A1271" t="s">
        <v>2532</v>
      </c>
      <c r="B1271" t="s">
        <v>2533</v>
      </c>
      <c r="C1271" s="10">
        <v>6</v>
      </c>
      <c r="D1271" s="10">
        <v>0.75</v>
      </c>
      <c r="E1271" s="10">
        <v>13.5</v>
      </c>
    </row>
    <row r="1272" spans="1:5">
      <c r="A1272" t="s">
        <v>480</v>
      </c>
      <c r="B1272" t="s">
        <v>481</v>
      </c>
      <c r="C1272" s="10">
        <v>6</v>
      </c>
      <c r="D1272" s="10">
        <v>0.7</v>
      </c>
      <c r="E1272" s="10">
        <v>40</v>
      </c>
    </row>
    <row r="1273" spans="1:5">
      <c r="A1273" t="s">
        <v>3703</v>
      </c>
      <c r="B1273" t="s">
        <v>3704</v>
      </c>
      <c r="C1273" s="10">
        <v>6</v>
      </c>
      <c r="D1273" s="10">
        <v>0.7</v>
      </c>
      <c r="E1273" s="10">
        <v>50</v>
      </c>
    </row>
    <row r="1274" spans="1:5">
      <c r="A1274" t="s">
        <v>3705</v>
      </c>
      <c r="B1274" t="s">
        <v>2048</v>
      </c>
      <c r="C1274" s="10">
        <v>6</v>
      </c>
      <c r="D1274" s="10">
        <v>0.7</v>
      </c>
      <c r="E1274" s="10">
        <v>16.5</v>
      </c>
    </row>
    <row r="1275" spans="1:5">
      <c r="A1275" t="s">
        <v>2047</v>
      </c>
      <c r="B1275" t="s">
        <v>2048</v>
      </c>
      <c r="C1275" s="10">
        <v>6</v>
      </c>
      <c r="D1275" s="10">
        <v>1</v>
      </c>
      <c r="E1275" s="10">
        <v>16.5</v>
      </c>
    </row>
    <row r="1276" spans="1:5">
      <c r="A1276" t="s">
        <v>6816</v>
      </c>
      <c r="B1276" t="s">
        <v>2048</v>
      </c>
      <c r="C1276" s="10">
        <v>12</v>
      </c>
      <c r="D1276" s="10">
        <v>1</v>
      </c>
      <c r="E1276" s="10">
        <v>16.5</v>
      </c>
    </row>
    <row r="1277" spans="1:5">
      <c r="A1277" t="s">
        <v>1441</v>
      </c>
      <c r="B1277" t="s">
        <v>1442</v>
      </c>
      <c r="C1277" s="10">
        <v>6</v>
      </c>
      <c r="D1277" s="10">
        <v>1</v>
      </c>
      <c r="E1277" s="10">
        <v>40</v>
      </c>
    </row>
    <row r="1278" spans="1:5">
      <c r="A1278" t="s">
        <v>9645</v>
      </c>
      <c r="B1278" t="s">
        <v>5399</v>
      </c>
      <c r="C1278" s="10">
        <v>24</v>
      </c>
      <c r="D1278" s="10">
        <v>0.2</v>
      </c>
      <c r="E1278" s="10">
        <v>43</v>
      </c>
    </row>
    <row r="1279" spans="1:5">
      <c r="A1279" t="s">
        <v>5398</v>
      </c>
      <c r="B1279" t="s">
        <v>5399</v>
      </c>
      <c r="C1279" s="10">
        <v>6</v>
      </c>
      <c r="D1279" s="10">
        <v>0.7</v>
      </c>
      <c r="E1279" s="10">
        <v>43</v>
      </c>
    </row>
    <row r="1280" spans="1:5">
      <c r="A1280" t="s">
        <v>9646</v>
      </c>
      <c r="B1280" t="s">
        <v>8535</v>
      </c>
      <c r="C1280" s="10">
        <v>6</v>
      </c>
      <c r="D1280" s="10">
        <v>0.7</v>
      </c>
      <c r="E1280" s="10">
        <v>43</v>
      </c>
    </row>
    <row r="1281" spans="1:5">
      <c r="A1281" t="s">
        <v>5400</v>
      </c>
      <c r="B1281" t="s">
        <v>5401</v>
      </c>
      <c r="C1281" s="10">
        <v>6</v>
      </c>
      <c r="D1281" s="10">
        <v>0.7</v>
      </c>
      <c r="E1281" s="10">
        <v>43</v>
      </c>
    </row>
    <row r="1282" spans="1:5">
      <c r="A1282" t="s">
        <v>9647</v>
      </c>
      <c r="B1282" t="s">
        <v>8536</v>
      </c>
      <c r="C1282" s="10">
        <v>6</v>
      </c>
      <c r="D1282" s="10">
        <v>0.7</v>
      </c>
      <c r="E1282" s="10">
        <v>43</v>
      </c>
    </row>
    <row r="1283" spans="1:5">
      <c r="A1283" t="s">
        <v>5402</v>
      </c>
      <c r="B1283" t="s">
        <v>5403</v>
      </c>
      <c r="C1283" s="10">
        <v>6</v>
      </c>
      <c r="D1283" s="10">
        <v>0.7</v>
      </c>
      <c r="E1283" s="10">
        <v>43</v>
      </c>
    </row>
    <row r="1284" spans="1:5">
      <c r="A1284" t="s">
        <v>3706</v>
      </c>
      <c r="B1284" t="s">
        <v>3707</v>
      </c>
      <c r="C1284" s="10">
        <v>6</v>
      </c>
      <c r="D1284" s="10">
        <v>0.7</v>
      </c>
      <c r="E1284" s="10">
        <v>41.8</v>
      </c>
    </row>
    <row r="1285" spans="1:5">
      <c r="A1285" t="s">
        <v>9648</v>
      </c>
      <c r="B1285" t="s">
        <v>8537</v>
      </c>
      <c r="C1285" s="10">
        <v>6</v>
      </c>
      <c r="D1285" s="10">
        <v>0.7</v>
      </c>
      <c r="E1285" s="10">
        <v>0</v>
      </c>
    </row>
    <row r="1286" spans="1:5">
      <c r="A1286" t="s">
        <v>482</v>
      </c>
      <c r="B1286" t="s">
        <v>483</v>
      </c>
      <c r="C1286" s="10">
        <v>6</v>
      </c>
      <c r="D1286" s="10">
        <v>0.7</v>
      </c>
      <c r="E1286" s="10">
        <v>40</v>
      </c>
    </row>
    <row r="1287" spans="1:5">
      <c r="A1287" t="s">
        <v>5698</v>
      </c>
      <c r="B1287" t="s">
        <v>483</v>
      </c>
      <c r="C1287" s="10">
        <v>12</v>
      </c>
      <c r="D1287" s="10">
        <v>1</v>
      </c>
      <c r="E1287" s="10">
        <v>40</v>
      </c>
    </row>
    <row r="1288" spans="1:5">
      <c r="A1288" t="s">
        <v>3708</v>
      </c>
      <c r="B1288" t="s">
        <v>3709</v>
      </c>
      <c r="C1288" s="10">
        <v>6</v>
      </c>
      <c r="D1288" s="10">
        <v>0.7</v>
      </c>
      <c r="E1288" s="10">
        <v>16</v>
      </c>
    </row>
    <row r="1289" spans="1:5">
      <c r="A1289" t="s">
        <v>1767</v>
      </c>
      <c r="B1289" t="s">
        <v>1768</v>
      </c>
      <c r="C1289" s="10">
        <v>6</v>
      </c>
      <c r="D1289" s="10">
        <v>0.5</v>
      </c>
      <c r="E1289" s="10">
        <v>52.2</v>
      </c>
    </row>
    <row r="1290" spans="1:5">
      <c r="A1290" t="s">
        <v>1769</v>
      </c>
      <c r="B1290" t="s">
        <v>1770</v>
      </c>
      <c r="C1290" s="10">
        <v>6</v>
      </c>
      <c r="D1290" s="10">
        <v>0.5</v>
      </c>
      <c r="E1290" s="10">
        <v>49.1</v>
      </c>
    </row>
    <row r="1291" spans="1:5">
      <c r="A1291" t="s">
        <v>1771</v>
      </c>
      <c r="B1291" t="s">
        <v>1772</v>
      </c>
      <c r="C1291" s="10">
        <v>6</v>
      </c>
      <c r="D1291" s="10">
        <v>0.5</v>
      </c>
      <c r="E1291" s="10">
        <v>55</v>
      </c>
    </row>
    <row r="1292" spans="1:5">
      <c r="A1292" t="s">
        <v>9649</v>
      </c>
      <c r="B1292" t="s">
        <v>8538</v>
      </c>
      <c r="C1292" s="10">
        <v>6</v>
      </c>
      <c r="D1292" s="10">
        <v>0.5</v>
      </c>
      <c r="E1292" s="10">
        <v>49.6</v>
      </c>
    </row>
    <row r="1293" spans="1:5">
      <c r="A1293" t="s">
        <v>9650</v>
      </c>
      <c r="B1293" t="s">
        <v>8539</v>
      </c>
      <c r="C1293" s="10">
        <v>6</v>
      </c>
      <c r="D1293" s="10">
        <v>0.7</v>
      </c>
      <c r="E1293" s="10">
        <v>47.8</v>
      </c>
    </row>
    <row r="1294" spans="1:5">
      <c r="A1294" t="s">
        <v>9651</v>
      </c>
      <c r="B1294" t="s">
        <v>8540</v>
      </c>
      <c r="C1294" s="10">
        <v>6</v>
      </c>
      <c r="D1294" s="10">
        <v>0.7</v>
      </c>
      <c r="E1294" s="10">
        <v>40</v>
      </c>
    </row>
    <row r="1295" spans="1:5">
      <c r="A1295" t="s">
        <v>5699</v>
      </c>
      <c r="B1295" t="s">
        <v>5700</v>
      </c>
      <c r="C1295" s="10">
        <v>12</v>
      </c>
      <c r="D1295" s="10">
        <v>1</v>
      </c>
      <c r="E1295" s="10">
        <v>40</v>
      </c>
    </row>
    <row r="1296" spans="1:5">
      <c r="A1296" t="s">
        <v>5701</v>
      </c>
      <c r="B1296" t="s">
        <v>5700</v>
      </c>
      <c r="C1296" s="10">
        <v>12</v>
      </c>
      <c r="D1296" s="10">
        <v>1</v>
      </c>
      <c r="E1296" s="10">
        <v>40</v>
      </c>
    </row>
    <row r="1297" spans="1:5">
      <c r="A1297" t="s">
        <v>9652</v>
      </c>
      <c r="B1297" t="s">
        <v>8541</v>
      </c>
      <c r="C1297" s="10">
        <v>6</v>
      </c>
      <c r="D1297" s="10">
        <v>0.7</v>
      </c>
      <c r="E1297" s="10">
        <v>40</v>
      </c>
    </row>
    <row r="1298" spans="1:5">
      <c r="A1298" t="s">
        <v>9653</v>
      </c>
      <c r="B1298" t="s">
        <v>8542</v>
      </c>
      <c r="C1298" s="10">
        <v>6</v>
      </c>
      <c r="D1298" s="10">
        <v>0.75</v>
      </c>
      <c r="E1298" s="10">
        <v>13.5</v>
      </c>
    </row>
    <row r="1299" spans="1:5">
      <c r="A1299" t="s">
        <v>2534</v>
      </c>
      <c r="B1299" t="s">
        <v>2535</v>
      </c>
      <c r="C1299" s="10">
        <v>6</v>
      </c>
      <c r="D1299" s="10">
        <v>0.75</v>
      </c>
      <c r="E1299" s="10">
        <v>13.5</v>
      </c>
    </row>
    <row r="1300" spans="1:5">
      <c r="A1300" t="s">
        <v>2536</v>
      </c>
      <c r="B1300" t="s">
        <v>2537</v>
      </c>
      <c r="C1300" s="10">
        <v>6</v>
      </c>
      <c r="D1300" s="10">
        <v>0.75</v>
      </c>
      <c r="E1300" s="10">
        <v>14.5</v>
      </c>
    </row>
    <row r="1301" spans="1:5">
      <c r="A1301" t="s">
        <v>9654</v>
      </c>
      <c r="B1301" t="s">
        <v>8543</v>
      </c>
      <c r="C1301" s="10">
        <v>6</v>
      </c>
      <c r="D1301" s="10">
        <v>0.75</v>
      </c>
      <c r="E1301" s="10">
        <v>13</v>
      </c>
    </row>
    <row r="1302" spans="1:5">
      <c r="A1302" t="s">
        <v>2538</v>
      </c>
      <c r="B1302" t="s">
        <v>2539</v>
      </c>
      <c r="C1302" s="10">
        <v>6</v>
      </c>
      <c r="D1302" s="10">
        <v>0.75</v>
      </c>
      <c r="E1302" s="10">
        <v>13.5</v>
      </c>
    </row>
    <row r="1303" spans="1:5">
      <c r="A1303" t="s">
        <v>9655</v>
      </c>
      <c r="B1303" t="s">
        <v>8544</v>
      </c>
      <c r="C1303" s="10">
        <v>2</v>
      </c>
      <c r="D1303" s="10">
        <v>0.7</v>
      </c>
      <c r="E1303" s="10">
        <v>40.44</v>
      </c>
    </row>
    <row r="1304" spans="1:5">
      <c r="A1304" t="s">
        <v>3134</v>
      </c>
      <c r="B1304" t="s">
        <v>3135</v>
      </c>
      <c r="C1304" s="10">
        <v>6</v>
      </c>
      <c r="D1304" s="10">
        <v>0.75</v>
      </c>
      <c r="E1304" s="10">
        <v>12.5</v>
      </c>
    </row>
    <row r="1305" spans="1:5">
      <c r="A1305" t="s">
        <v>2540</v>
      </c>
      <c r="B1305" t="s">
        <v>2541</v>
      </c>
      <c r="C1305" s="10">
        <v>6</v>
      </c>
      <c r="D1305" s="10">
        <v>0.75</v>
      </c>
      <c r="E1305" s="10">
        <v>13.5</v>
      </c>
    </row>
    <row r="1306" spans="1:5">
      <c r="A1306" t="s">
        <v>3710</v>
      </c>
      <c r="B1306" t="s">
        <v>3711</v>
      </c>
      <c r="C1306" s="10">
        <v>6</v>
      </c>
      <c r="D1306" s="10">
        <v>0.7</v>
      </c>
      <c r="E1306" s="10">
        <v>30</v>
      </c>
    </row>
    <row r="1307" spans="1:5">
      <c r="A1307" t="s">
        <v>3712</v>
      </c>
      <c r="B1307" t="s">
        <v>3713</v>
      </c>
      <c r="C1307" s="10">
        <v>6</v>
      </c>
      <c r="D1307" s="10">
        <v>0.7</v>
      </c>
      <c r="E1307" s="10">
        <v>20</v>
      </c>
    </row>
    <row r="1308" spans="1:5">
      <c r="A1308" t="s">
        <v>3714</v>
      </c>
      <c r="B1308" t="s">
        <v>3715</v>
      </c>
      <c r="C1308" s="10">
        <v>6</v>
      </c>
      <c r="D1308" s="10">
        <v>0.7</v>
      </c>
      <c r="E1308" s="10">
        <v>15</v>
      </c>
    </row>
    <row r="1309" spans="1:5">
      <c r="A1309" t="s">
        <v>3716</v>
      </c>
      <c r="B1309" t="s">
        <v>3717</v>
      </c>
      <c r="C1309" s="10">
        <v>6</v>
      </c>
      <c r="D1309" s="10">
        <v>0.7</v>
      </c>
      <c r="E1309" s="10">
        <v>20</v>
      </c>
    </row>
    <row r="1310" spans="1:5">
      <c r="A1310" t="s">
        <v>3718</v>
      </c>
      <c r="B1310" t="s">
        <v>3719</v>
      </c>
      <c r="C1310" s="10">
        <v>6</v>
      </c>
      <c r="D1310" s="10">
        <v>0.7</v>
      </c>
      <c r="E1310" s="10">
        <v>15</v>
      </c>
    </row>
    <row r="1311" spans="1:5">
      <c r="A1311" t="s">
        <v>3720</v>
      </c>
      <c r="B1311" t="s">
        <v>3721</v>
      </c>
      <c r="C1311" s="10">
        <v>6</v>
      </c>
      <c r="D1311" s="10">
        <v>0.7</v>
      </c>
      <c r="E1311" s="10">
        <v>15</v>
      </c>
    </row>
    <row r="1312" spans="1:5">
      <c r="A1312" t="s">
        <v>3722</v>
      </c>
      <c r="B1312" t="s">
        <v>3723</v>
      </c>
      <c r="C1312" s="10">
        <v>6</v>
      </c>
      <c r="D1312" s="10">
        <v>0.7</v>
      </c>
      <c r="E1312" s="10">
        <v>15</v>
      </c>
    </row>
    <row r="1313" spans="1:5">
      <c r="A1313" t="s">
        <v>2049</v>
      </c>
      <c r="B1313" t="s">
        <v>2050</v>
      </c>
      <c r="C1313" s="10">
        <v>6</v>
      </c>
      <c r="D1313" s="10">
        <v>1</v>
      </c>
      <c r="E1313" s="10">
        <v>25</v>
      </c>
    </row>
    <row r="1314" spans="1:5">
      <c r="A1314" t="s">
        <v>3724</v>
      </c>
      <c r="B1314" t="s">
        <v>3725</v>
      </c>
      <c r="C1314" s="10">
        <v>6</v>
      </c>
      <c r="D1314" s="10">
        <v>0.7</v>
      </c>
      <c r="E1314" s="10">
        <v>15</v>
      </c>
    </row>
    <row r="1315" spans="1:5">
      <c r="A1315" t="s">
        <v>3726</v>
      </c>
      <c r="B1315" t="s">
        <v>3727</v>
      </c>
      <c r="C1315" s="10">
        <v>6</v>
      </c>
      <c r="D1315" s="10">
        <v>0.7</v>
      </c>
      <c r="E1315" s="10">
        <v>15</v>
      </c>
    </row>
    <row r="1316" spans="1:5">
      <c r="A1316" t="s">
        <v>3728</v>
      </c>
      <c r="B1316" t="s">
        <v>3729</v>
      </c>
      <c r="C1316" s="10">
        <v>6</v>
      </c>
      <c r="D1316" s="10">
        <v>0.7</v>
      </c>
      <c r="E1316" s="10">
        <v>20</v>
      </c>
    </row>
    <row r="1317" spans="1:5">
      <c r="A1317" t="s">
        <v>3730</v>
      </c>
      <c r="B1317" t="s">
        <v>3731</v>
      </c>
      <c r="C1317" s="10">
        <v>6</v>
      </c>
      <c r="D1317" s="10">
        <v>0.7</v>
      </c>
      <c r="E1317" s="10">
        <v>24</v>
      </c>
    </row>
    <row r="1318" spans="1:5">
      <c r="A1318" t="s">
        <v>3732</v>
      </c>
      <c r="B1318" t="s">
        <v>3733</v>
      </c>
      <c r="C1318" s="10">
        <v>6</v>
      </c>
      <c r="D1318" s="10">
        <v>0.7</v>
      </c>
      <c r="E1318" s="10">
        <v>15</v>
      </c>
    </row>
    <row r="1319" spans="1:5">
      <c r="A1319" t="s">
        <v>3734</v>
      </c>
      <c r="B1319" t="s">
        <v>3735</v>
      </c>
      <c r="C1319" s="10">
        <v>6</v>
      </c>
      <c r="D1319" s="10">
        <v>0.7</v>
      </c>
      <c r="E1319" s="10">
        <v>24</v>
      </c>
    </row>
    <row r="1320" spans="1:5">
      <c r="A1320" t="s">
        <v>3736</v>
      </c>
      <c r="B1320" t="s">
        <v>3737</v>
      </c>
      <c r="C1320" s="10">
        <v>6</v>
      </c>
      <c r="D1320" s="10">
        <v>0.7</v>
      </c>
      <c r="E1320" s="10">
        <v>24</v>
      </c>
    </row>
    <row r="1321" spans="1:5">
      <c r="A1321" t="s">
        <v>9656</v>
      </c>
      <c r="B1321" t="s">
        <v>2052</v>
      </c>
      <c r="C1321" s="10">
        <v>8</v>
      </c>
      <c r="D1321" s="10">
        <v>0.02</v>
      </c>
      <c r="E1321" s="10">
        <v>14.9</v>
      </c>
    </row>
    <row r="1322" spans="1:5">
      <c r="A1322" t="s">
        <v>6650</v>
      </c>
      <c r="B1322" t="s">
        <v>2052</v>
      </c>
      <c r="C1322" s="10">
        <v>12</v>
      </c>
      <c r="D1322" s="10">
        <v>0.1</v>
      </c>
      <c r="E1322" s="10">
        <v>20</v>
      </c>
    </row>
    <row r="1323" spans="1:5">
      <c r="A1323" t="s">
        <v>3738</v>
      </c>
      <c r="B1323" t="s">
        <v>2052</v>
      </c>
      <c r="C1323" s="10">
        <v>6</v>
      </c>
      <c r="D1323" s="10">
        <v>0.7</v>
      </c>
      <c r="E1323" s="10">
        <v>20</v>
      </c>
    </row>
    <row r="1324" spans="1:5">
      <c r="A1324" t="s">
        <v>2051</v>
      </c>
      <c r="B1324" t="s">
        <v>2052</v>
      </c>
      <c r="C1324" s="10">
        <v>6</v>
      </c>
      <c r="D1324" s="10">
        <v>1</v>
      </c>
      <c r="E1324" s="10">
        <v>20</v>
      </c>
    </row>
    <row r="1325" spans="1:5">
      <c r="A1325" t="s">
        <v>3739</v>
      </c>
      <c r="B1325" t="s">
        <v>3740</v>
      </c>
      <c r="C1325" s="10">
        <v>6</v>
      </c>
      <c r="D1325" s="10">
        <v>0.7</v>
      </c>
      <c r="E1325" s="10">
        <v>24</v>
      </c>
    </row>
    <row r="1326" spans="1:5">
      <c r="A1326" t="s">
        <v>3741</v>
      </c>
      <c r="B1326" t="s">
        <v>3742</v>
      </c>
      <c r="C1326" s="10">
        <v>6</v>
      </c>
      <c r="D1326" s="10">
        <v>0.7</v>
      </c>
      <c r="E1326" s="10">
        <v>15</v>
      </c>
    </row>
    <row r="1327" spans="1:5">
      <c r="A1327" t="s">
        <v>3743</v>
      </c>
      <c r="B1327" t="s">
        <v>3744</v>
      </c>
      <c r="C1327" s="10">
        <v>6</v>
      </c>
      <c r="D1327" s="10">
        <v>0.7</v>
      </c>
      <c r="E1327" s="10">
        <v>15</v>
      </c>
    </row>
    <row r="1328" spans="1:5">
      <c r="A1328" t="s">
        <v>3745</v>
      </c>
      <c r="B1328" t="s">
        <v>3746</v>
      </c>
      <c r="C1328" s="10">
        <v>6</v>
      </c>
      <c r="D1328" s="10">
        <v>0.7</v>
      </c>
      <c r="E1328" s="10">
        <v>15</v>
      </c>
    </row>
    <row r="1329" spans="1:5">
      <c r="A1329" t="s">
        <v>3747</v>
      </c>
      <c r="B1329" t="s">
        <v>3748</v>
      </c>
      <c r="C1329" s="10">
        <v>6</v>
      </c>
      <c r="D1329" s="10">
        <v>0.7</v>
      </c>
      <c r="E1329" s="10">
        <v>20</v>
      </c>
    </row>
    <row r="1330" spans="1:5">
      <c r="A1330" t="s">
        <v>6651</v>
      </c>
      <c r="B1330" t="s">
        <v>1566</v>
      </c>
      <c r="C1330" s="10">
        <v>12</v>
      </c>
      <c r="D1330" s="10">
        <v>0.1</v>
      </c>
      <c r="E1330" s="10">
        <v>50</v>
      </c>
    </row>
    <row r="1331" spans="1:5">
      <c r="A1331" t="s">
        <v>9657</v>
      </c>
      <c r="B1331" t="s">
        <v>1566</v>
      </c>
      <c r="C1331" s="10">
        <v>6</v>
      </c>
      <c r="D1331" s="10">
        <v>0.5</v>
      </c>
      <c r="E1331" s="10">
        <v>40</v>
      </c>
    </row>
    <row r="1332" spans="1:5">
      <c r="A1332" t="s">
        <v>3749</v>
      </c>
      <c r="B1332" t="s">
        <v>3750</v>
      </c>
      <c r="C1332" s="10">
        <v>6</v>
      </c>
      <c r="D1332" s="10">
        <v>0.7</v>
      </c>
      <c r="E1332" s="10">
        <v>15</v>
      </c>
    </row>
    <row r="1333" spans="1:5">
      <c r="A1333" t="s">
        <v>3751</v>
      </c>
      <c r="B1333" t="s">
        <v>3752</v>
      </c>
      <c r="C1333" s="10">
        <v>6</v>
      </c>
      <c r="D1333" s="10">
        <v>0.7</v>
      </c>
      <c r="E1333" s="10">
        <v>30</v>
      </c>
    </row>
    <row r="1334" spans="1:5">
      <c r="A1334" t="s">
        <v>3753</v>
      </c>
      <c r="B1334" t="s">
        <v>3754</v>
      </c>
      <c r="C1334" s="10">
        <v>6</v>
      </c>
      <c r="D1334" s="10">
        <v>0.7</v>
      </c>
      <c r="E1334" s="10">
        <v>15</v>
      </c>
    </row>
    <row r="1335" spans="1:5">
      <c r="A1335" t="s">
        <v>6652</v>
      </c>
      <c r="B1335" t="s">
        <v>6653</v>
      </c>
      <c r="C1335" s="10">
        <v>12</v>
      </c>
      <c r="D1335" s="10">
        <v>0.5</v>
      </c>
      <c r="E1335" s="10">
        <v>30</v>
      </c>
    </row>
    <row r="1336" spans="1:5">
      <c r="A1336" t="s">
        <v>3755</v>
      </c>
      <c r="B1336" t="s">
        <v>3756</v>
      </c>
      <c r="C1336" s="10">
        <v>6</v>
      </c>
      <c r="D1336" s="10">
        <v>0.7</v>
      </c>
      <c r="E1336" s="10">
        <v>30</v>
      </c>
    </row>
    <row r="1337" spans="1:5">
      <c r="A1337" t="s">
        <v>3757</v>
      </c>
      <c r="B1337" t="s">
        <v>3758</v>
      </c>
      <c r="C1337" s="10">
        <v>6</v>
      </c>
      <c r="D1337" s="10">
        <v>0.7</v>
      </c>
      <c r="E1337" s="10">
        <v>15</v>
      </c>
    </row>
    <row r="1338" spans="1:5">
      <c r="A1338" t="s">
        <v>3759</v>
      </c>
      <c r="B1338" t="s">
        <v>3760</v>
      </c>
      <c r="C1338" s="10">
        <v>6</v>
      </c>
      <c r="D1338" s="10">
        <v>0.7</v>
      </c>
      <c r="E1338" s="10">
        <v>20</v>
      </c>
    </row>
    <row r="1339" spans="1:5">
      <c r="A1339" t="s">
        <v>9658</v>
      </c>
      <c r="B1339" t="s">
        <v>8545</v>
      </c>
      <c r="C1339" s="10">
        <v>6</v>
      </c>
      <c r="D1339" s="10">
        <v>0.7</v>
      </c>
      <c r="E1339" s="10">
        <v>20</v>
      </c>
    </row>
    <row r="1340" spans="1:5">
      <c r="A1340" t="s">
        <v>3761</v>
      </c>
      <c r="B1340" t="s">
        <v>3762</v>
      </c>
      <c r="C1340" s="10">
        <v>6</v>
      </c>
      <c r="D1340" s="10">
        <v>0.7</v>
      </c>
      <c r="E1340" s="10">
        <v>14.5</v>
      </c>
    </row>
    <row r="1341" spans="1:5">
      <c r="A1341" t="s">
        <v>3763</v>
      </c>
      <c r="B1341" t="s">
        <v>3764</v>
      </c>
      <c r="C1341" s="10">
        <v>6</v>
      </c>
      <c r="D1341" s="10">
        <v>0.7</v>
      </c>
      <c r="E1341" s="10">
        <v>15</v>
      </c>
    </row>
    <row r="1342" spans="1:5">
      <c r="A1342" t="s">
        <v>3765</v>
      </c>
      <c r="B1342" t="s">
        <v>3766</v>
      </c>
      <c r="C1342" s="10">
        <v>6</v>
      </c>
      <c r="D1342" s="10">
        <v>0.7</v>
      </c>
      <c r="E1342" s="10">
        <v>15</v>
      </c>
    </row>
    <row r="1343" spans="1:5">
      <c r="A1343" t="s">
        <v>3767</v>
      </c>
      <c r="B1343" t="s">
        <v>3768</v>
      </c>
      <c r="C1343" s="10">
        <v>6</v>
      </c>
      <c r="D1343" s="10">
        <v>0.7</v>
      </c>
      <c r="E1343" s="10">
        <v>15</v>
      </c>
    </row>
    <row r="1344" spans="1:5">
      <c r="A1344" t="s">
        <v>2053</v>
      </c>
      <c r="B1344" t="s">
        <v>2054</v>
      </c>
      <c r="C1344" s="10">
        <v>6</v>
      </c>
      <c r="D1344" s="10">
        <v>1</v>
      </c>
      <c r="E1344" s="10">
        <v>28</v>
      </c>
    </row>
    <row r="1345" spans="1:5">
      <c r="A1345" t="s">
        <v>3769</v>
      </c>
      <c r="B1345" t="s">
        <v>3770</v>
      </c>
      <c r="C1345" s="10">
        <v>6</v>
      </c>
      <c r="D1345" s="10">
        <v>0.7</v>
      </c>
      <c r="E1345" s="10">
        <v>15</v>
      </c>
    </row>
    <row r="1346" spans="1:5">
      <c r="A1346" t="s">
        <v>3771</v>
      </c>
      <c r="B1346" t="s">
        <v>3772</v>
      </c>
      <c r="C1346" s="10">
        <v>6</v>
      </c>
      <c r="D1346" s="10">
        <v>0.7</v>
      </c>
      <c r="E1346" s="10">
        <v>15</v>
      </c>
    </row>
    <row r="1347" spans="1:5">
      <c r="A1347" t="s">
        <v>484</v>
      </c>
      <c r="B1347" t="s">
        <v>485</v>
      </c>
      <c r="C1347" s="10">
        <v>6</v>
      </c>
      <c r="D1347" s="10">
        <v>0.7</v>
      </c>
      <c r="E1347" s="10">
        <v>40</v>
      </c>
    </row>
    <row r="1348" spans="1:5">
      <c r="A1348" t="s">
        <v>2055</v>
      </c>
      <c r="B1348" t="s">
        <v>2056</v>
      </c>
      <c r="C1348" s="10">
        <v>6</v>
      </c>
      <c r="D1348" s="10">
        <v>1</v>
      </c>
      <c r="E1348" s="10">
        <v>35</v>
      </c>
    </row>
    <row r="1349" spans="1:5">
      <c r="A1349" t="s">
        <v>3773</v>
      </c>
      <c r="B1349" t="s">
        <v>3774</v>
      </c>
      <c r="C1349" s="10">
        <v>6</v>
      </c>
      <c r="D1349" s="10">
        <v>0.7</v>
      </c>
      <c r="E1349" s="10">
        <v>15</v>
      </c>
    </row>
    <row r="1350" spans="1:5">
      <c r="A1350" t="s">
        <v>3775</v>
      </c>
      <c r="B1350" t="s">
        <v>3776</v>
      </c>
      <c r="C1350" s="10">
        <v>6</v>
      </c>
      <c r="D1350" s="10">
        <v>0.7</v>
      </c>
      <c r="E1350" s="10">
        <v>15</v>
      </c>
    </row>
    <row r="1351" spans="1:5">
      <c r="A1351" t="s">
        <v>6903</v>
      </c>
      <c r="B1351" t="s">
        <v>6904</v>
      </c>
      <c r="C1351" s="10">
        <v>6</v>
      </c>
      <c r="D1351" s="10">
        <v>0.7</v>
      </c>
      <c r="E1351" s="10">
        <v>40</v>
      </c>
    </row>
    <row r="1352" spans="1:5">
      <c r="A1352" t="s">
        <v>6941</v>
      </c>
      <c r="B1352" t="s">
        <v>6942</v>
      </c>
      <c r="C1352" s="10">
        <v>6</v>
      </c>
      <c r="D1352" s="10">
        <v>0.7</v>
      </c>
      <c r="E1352" s="10">
        <v>37.5</v>
      </c>
    </row>
    <row r="1353" spans="1:5">
      <c r="A1353" t="s">
        <v>6943</v>
      </c>
      <c r="B1353" t="s">
        <v>6944</v>
      </c>
      <c r="C1353" s="10">
        <v>6</v>
      </c>
      <c r="D1353" s="10">
        <v>0.7</v>
      </c>
      <c r="E1353" s="10">
        <v>37.5</v>
      </c>
    </row>
    <row r="1354" spans="1:5">
      <c r="A1354" t="s">
        <v>6905</v>
      </c>
      <c r="B1354" t="s">
        <v>6906</v>
      </c>
      <c r="C1354" s="10">
        <v>6</v>
      </c>
      <c r="D1354" s="10">
        <v>0.7</v>
      </c>
      <c r="E1354" s="10">
        <v>40</v>
      </c>
    </row>
    <row r="1355" spans="1:5">
      <c r="A1355" t="s">
        <v>6926</v>
      </c>
      <c r="B1355" t="s">
        <v>6927</v>
      </c>
      <c r="C1355" s="10">
        <v>6</v>
      </c>
      <c r="D1355" s="10">
        <v>0.7</v>
      </c>
      <c r="E1355" s="10">
        <v>17</v>
      </c>
    </row>
    <row r="1356" spans="1:5">
      <c r="A1356" t="s">
        <v>6945</v>
      </c>
      <c r="B1356" t="s">
        <v>6946</v>
      </c>
      <c r="C1356" s="10">
        <v>6</v>
      </c>
      <c r="D1356" s="10">
        <v>0.7</v>
      </c>
      <c r="E1356" s="10">
        <v>37.5</v>
      </c>
    </row>
    <row r="1357" spans="1:5">
      <c r="A1357" t="s">
        <v>6928</v>
      </c>
      <c r="B1357" t="s">
        <v>6929</v>
      </c>
      <c r="C1357" s="10">
        <v>6</v>
      </c>
      <c r="D1357" s="10">
        <v>0.7</v>
      </c>
      <c r="E1357" s="10">
        <v>17</v>
      </c>
    </row>
    <row r="1358" spans="1:5">
      <c r="A1358" t="s">
        <v>6947</v>
      </c>
      <c r="B1358" t="s">
        <v>6948</v>
      </c>
      <c r="C1358" s="10">
        <v>6</v>
      </c>
      <c r="D1358" s="10">
        <v>0.7</v>
      </c>
      <c r="E1358" s="10">
        <v>37.5</v>
      </c>
    </row>
    <row r="1359" spans="1:5">
      <c r="A1359" t="s">
        <v>6930</v>
      </c>
      <c r="B1359" t="s">
        <v>6931</v>
      </c>
      <c r="C1359" s="10">
        <v>6</v>
      </c>
      <c r="D1359" s="10">
        <v>0.7</v>
      </c>
      <c r="E1359" s="10">
        <v>17</v>
      </c>
    </row>
    <row r="1360" spans="1:5">
      <c r="A1360" t="s">
        <v>6965</v>
      </c>
      <c r="B1360" t="s">
        <v>6966</v>
      </c>
      <c r="C1360" s="10">
        <v>12</v>
      </c>
      <c r="D1360" s="10">
        <v>0.15</v>
      </c>
      <c r="E1360" s="10">
        <v>37.5</v>
      </c>
    </row>
    <row r="1361" spans="1:5">
      <c r="A1361" t="s">
        <v>6949</v>
      </c>
      <c r="B1361" t="s">
        <v>6950</v>
      </c>
      <c r="C1361" s="10">
        <v>6</v>
      </c>
      <c r="D1361" s="10">
        <v>0.7</v>
      </c>
      <c r="E1361" s="10">
        <v>37.5</v>
      </c>
    </row>
    <row r="1362" spans="1:5">
      <c r="A1362" t="s">
        <v>9659</v>
      </c>
      <c r="B1362" t="s">
        <v>8546</v>
      </c>
      <c r="C1362" s="10">
        <v>6</v>
      </c>
      <c r="D1362" s="10">
        <v>0.7</v>
      </c>
      <c r="E1362" s="10">
        <v>40</v>
      </c>
    </row>
    <row r="1363" spans="1:5">
      <c r="A1363" t="s">
        <v>486</v>
      </c>
      <c r="B1363" t="s">
        <v>487</v>
      </c>
      <c r="C1363" s="10">
        <v>6</v>
      </c>
      <c r="D1363" s="10">
        <v>0.7</v>
      </c>
      <c r="E1363" s="10">
        <v>40</v>
      </c>
    </row>
    <row r="1364" spans="1:5">
      <c r="A1364" t="s">
        <v>3777</v>
      </c>
      <c r="B1364" t="s">
        <v>3778</v>
      </c>
      <c r="C1364" s="10">
        <v>6</v>
      </c>
      <c r="D1364" s="10">
        <v>0.7</v>
      </c>
      <c r="E1364" s="10">
        <v>35</v>
      </c>
    </row>
    <row r="1365" spans="1:5">
      <c r="A1365" t="s">
        <v>5904</v>
      </c>
      <c r="B1365" t="s">
        <v>5905</v>
      </c>
      <c r="C1365" s="10">
        <v>48</v>
      </c>
      <c r="D1365" s="10">
        <v>0.05</v>
      </c>
      <c r="E1365" s="10">
        <v>40</v>
      </c>
    </row>
    <row r="1366" spans="1:5">
      <c r="A1366" t="s">
        <v>3779</v>
      </c>
      <c r="B1366" t="s">
        <v>3780</v>
      </c>
      <c r="C1366" s="10">
        <v>6</v>
      </c>
      <c r="D1366" s="10">
        <v>0.7</v>
      </c>
      <c r="E1366" s="10">
        <v>46.3</v>
      </c>
    </row>
    <row r="1367" spans="1:5">
      <c r="A1367" t="s">
        <v>488</v>
      </c>
      <c r="B1367" t="s">
        <v>489</v>
      </c>
      <c r="C1367" s="10">
        <v>6</v>
      </c>
      <c r="D1367" s="10">
        <v>0.7</v>
      </c>
      <c r="E1367" s="10">
        <v>40</v>
      </c>
    </row>
    <row r="1368" spans="1:5">
      <c r="A1368" t="s">
        <v>3781</v>
      </c>
      <c r="B1368" t="s">
        <v>3782</v>
      </c>
      <c r="C1368" s="10">
        <v>6</v>
      </c>
      <c r="D1368" s="10">
        <v>0.7</v>
      </c>
      <c r="E1368" s="10">
        <v>46.3</v>
      </c>
    </row>
    <row r="1369" spans="1:5">
      <c r="A1369" t="s">
        <v>8308</v>
      </c>
      <c r="B1369" t="s">
        <v>8547</v>
      </c>
      <c r="C1369" s="10">
        <v>6</v>
      </c>
      <c r="D1369" s="10">
        <v>0.7</v>
      </c>
      <c r="E1369" s="10">
        <v>47</v>
      </c>
    </row>
    <row r="1370" spans="1:5">
      <c r="A1370" t="s">
        <v>6025</v>
      </c>
      <c r="B1370" t="s">
        <v>6026</v>
      </c>
      <c r="C1370" s="10">
        <v>1</v>
      </c>
      <c r="D1370" s="10">
        <v>0.7</v>
      </c>
      <c r="E1370" s="10">
        <v>40</v>
      </c>
    </row>
    <row r="1371" spans="1:5">
      <c r="A1371" t="s">
        <v>5906</v>
      </c>
      <c r="B1371" t="s">
        <v>491</v>
      </c>
      <c r="C1371" s="10">
        <v>24</v>
      </c>
      <c r="D1371" s="10">
        <v>0.05</v>
      </c>
      <c r="E1371" s="10">
        <v>40</v>
      </c>
    </row>
    <row r="1372" spans="1:5">
      <c r="A1372" t="s">
        <v>1567</v>
      </c>
      <c r="B1372" t="s">
        <v>491</v>
      </c>
      <c r="C1372" s="10">
        <v>6</v>
      </c>
      <c r="D1372" s="10">
        <v>0.5</v>
      </c>
      <c r="E1372" s="10">
        <v>40</v>
      </c>
    </row>
    <row r="1373" spans="1:5">
      <c r="A1373" t="s">
        <v>490</v>
      </c>
      <c r="B1373" t="s">
        <v>491</v>
      </c>
      <c r="C1373" s="10">
        <v>6</v>
      </c>
      <c r="D1373" s="10">
        <v>0.7</v>
      </c>
      <c r="E1373" s="10">
        <v>40</v>
      </c>
    </row>
    <row r="1374" spans="1:5">
      <c r="A1374" t="s">
        <v>5907</v>
      </c>
      <c r="B1374" t="s">
        <v>5908</v>
      </c>
      <c r="C1374" s="10">
        <v>1</v>
      </c>
      <c r="D1374" s="10">
        <v>1</v>
      </c>
      <c r="E1374" s="10">
        <v>40</v>
      </c>
    </row>
    <row r="1375" spans="1:5">
      <c r="A1375" t="s">
        <v>6141</v>
      </c>
      <c r="B1375" t="s">
        <v>6142</v>
      </c>
      <c r="C1375" s="10">
        <v>9</v>
      </c>
      <c r="D1375" s="10">
        <v>0.5</v>
      </c>
      <c r="E1375" s="10">
        <v>0</v>
      </c>
    </row>
    <row r="1376" spans="1:5">
      <c r="A1376" t="s">
        <v>6143</v>
      </c>
      <c r="B1376" t="s">
        <v>6144</v>
      </c>
      <c r="C1376" s="10">
        <v>9</v>
      </c>
      <c r="D1376" s="10">
        <v>0.5</v>
      </c>
      <c r="E1376" s="10">
        <v>0</v>
      </c>
    </row>
    <row r="1377" spans="1:5">
      <c r="A1377" t="s">
        <v>6145</v>
      </c>
      <c r="B1377" t="s">
        <v>6146</v>
      </c>
      <c r="C1377" s="10">
        <v>9</v>
      </c>
      <c r="D1377" s="10">
        <v>0.5</v>
      </c>
      <c r="E1377" s="10">
        <v>0</v>
      </c>
    </row>
    <row r="1378" spans="1:5">
      <c r="A1378" t="s">
        <v>6147</v>
      </c>
      <c r="B1378" t="s">
        <v>6148</v>
      </c>
      <c r="C1378" s="10">
        <v>9</v>
      </c>
      <c r="D1378" s="10">
        <v>0.5</v>
      </c>
      <c r="E1378" s="10">
        <v>0</v>
      </c>
    </row>
    <row r="1379" spans="1:5">
      <c r="A1379" t="s">
        <v>6149</v>
      </c>
      <c r="B1379" t="s">
        <v>6150</v>
      </c>
      <c r="C1379" s="10">
        <v>9</v>
      </c>
      <c r="D1379" s="10">
        <v>0.5</v>
      </c>
      <c r="E1379" s="10">
        <v>0</v>
      </c>
    </row>
    <row r="1380" spans="1:5">
      <c r="A1380" t="s">
        <v>3783</v>
      </c>
      <c r="B1380" t="s">
        <v>3784</v>
      </c>
      <c r="C1380" s="10">
        <v>6</v>
      </c>
      <c r="D1380" s="10">
        <v>0.7</v>
      </c>
      <c r="E1380" s="10">
        <v>42</v>
      </c>
    </row>
    <row r="1381" spans="1:5">
      <c r="A1381" t="s">
        <v>9660</v>
      </c>
      <c r="B1381" t="s">
        <v>8548</v>
      </c>
      <c r="C1381" s="10">
        <v>6</v>
      </c>
      <c r="D1381" s="10">
        <v>1</v>
      </c>
      <c r="E1381" s="10">
        <v>25</v>
      </c>
    </row>
    <row r="1382" spans="1:5">
      <c r="A1382" t="s">
        <v>9661</v>
      </c>
      <c r="B1382" t="s">
        <v>8549</v>
      </c>
      <c r="C1382" s="10">
        <v>6</v>
      </c>
      <c r="D1382" s="10">
        <v>0.7</v>
      </c>
      <c r="E1382" s="10">
        <v>45</v>
      </c>
    </row>
    <row r="1383" spans="1:5">
      <c r="A1383" t="s">
        <v>9662</v>
      </c>
      <c r="B1383" t="s">
        <v>8550</v>
      </c>
      <c r="C1383" s="10">
        <v>6</v>
      </c>
      <c r="D1383" s="10">
        <v>0.7</v>
      </c>
      <c r="E1383" s="10">
        <v>43</v>
      </c>
    </row>
    <row r="1384" spans="1:5">
      <c r="A1384" t="s">
        <v>9663</v>
      </c>
      <c r="B1384" t="s">
        <v>8551</v>
      </c>
      <c r="C1384" s="10">
        <v>6</v>
      </c>
      <c r="D1384" s="10">
        <v>0.7</v>
      </c>
      <c r="E1384" s="10">
        <v>42.9</v>
      </c>
    </row>
    <row r="1385" spans="1:5">
      <c r="A1385" t="s">
        <v>9664</v>
      </c>
      <c r="B1385" t="s">
        <v>8552</v>
      </c>
      <c r="C1385" s="10">
        <v>6</v>
      </c>
      <c r="D1385" s="10">
        <v>0.7</v>
      </c>
      <c r="E1385" s="10">
        <v>43.7</v>
      </c>
    </row>
    <row r="1386" spans="1:5">
      <c r="A1386" t="s">
        <v>3785</v>
      </c>
      <c r="B1386" t="s">
        <v>3786</v>
      </c>
      <c r="C1386" s="10">
        <v>6</v>
      </c>
      <c r="D1386" s="10">
        <v>0.7</v>
      </c>
      <c r="E1386" s="10">
        <v>20</v>
      </c>
    </row>
    <row r="1387" spans="1:5">
      <c r="A1387" t="s">
        <v>3787</v>
      </c>
      <c r="B1387" t="s">
        <v>3788</v>
      </c>
      <c r="C1387" s="10">
        <v>6</v>
      </c>
      <c r="D1387" s="10">
        <v>0.7</v>
      </c>
      <c r="E1387" s="10">
        <v>16</v>
      </c>
    </row>
    <row r="1388" spans="1:5">
      <c r="A1388" t="s">
        <v>3789</v>
      </c>
      <c r="B1388" t="s">
        <v>3790</v>
      </c>
      <c r="C1388" s="10">
        <v>6</v>
      </c>
      <c r="D1388" s="10">
        <v>0.7</v>
      </c>
      <c r="E1388" s="10">
        <v>18</v>
      </c>
    </row>
    <row r="1389" spans="1:5">
      <c r="A1389" t="s">
        <v>3791</v>
      </c>
      <c r="B1389" t="s">
        <v>3792</v>
      </c>
      <c r="C1389" s="10">
        <v>6</v>
      </c>
      <c r="D1389" s="10">
        <v>0.7</v>
      </c>
      <c r="E1389" s="10">
        <v>20</v>
      </c>
    </row>
    <row r="1390" spans="1:5">
      <c r="A1390" t="s">
        <v>3793</v>
      </c>
      <c r="B1390" t="s">
        <v>3794</v>
      </c>
      <c r="C1390" s="10">
        <v>6</v>
      </c>
      <c r="D1390" s="10">
        <v>0.7</v>
      </c>
      <c r="E1390" s="10">
        <v>18</v>
      </c>
    </row>
    <row r="1391" spans="1:5">
      <c r="A1391" t="s">
        <v>492</v>
      </c>
      <c r="B1391" t="s">
        <v>493</v>
      </c>
      <c r="C1391" s="10">
        <v>6</v>
      </c>
      <c r="D1391" s="10">
        <v>0.7</v>
      </c>
      <c r="E1391" s="10">
        <v>40</v>
      </c>
    </row>
    <row r="1392" spans="1:5">
      <c r="A1392" t="s">
        <v>494</v>
      </c>
      <c r="B1392" t="s">
        <v>495</v>
      </c>
      <c r="C1392" s="10">
        <v>6</v>
      </c>
      <c r="D1392" s="10">
        <v>0.7</v>
      </c>
      <c r="E1392" s="10">
        <v>40</v>
      </c>
    </row>
    <row r="1393" spans="1:5">
      <c r="A1393" t="s">
        <v>496</v>
      </c>
      <c r="B1393" t="s">
        <v>497</v>
      </c>
      <c r="C1393" s="10">
        <v>6</v>
      </c>
      <c r="D1393" s="10">
        <v>0.7</v>
      </c>
      <c r="E1393" s="10">
        <v>40</v>
      </c>
    </row>
    <row r="1394" spans="1:5">
      <c r="A1394" t="s">
        <v>498</v>
      </c>
      <c r="B1394" t="s">
        <v>499</v>
      </c>
      <c r="C1394" s="10">
        <v>6</v>
      </c>
      <c r="D1394" s="10">
        <v>0.7</v>
      </c>
      <c r="E1394" s="10">
        <v>40</v>
      </c>
    </row>
    <row r="1395" spans="1:5">
      <c r="A1395" t="s">
        <v>6151</v>
      </c>
      <c r="B1395" t="s">
        <v>6152</v>
      </c>
      <c r="C1395" s="10">
        <v>24</v>
      </c>
      <c r="D1395" s="10">
        <v>0.33</v>
      </c>
      <c r="E1395" s="10">
        <v>5.9</v>
      </c>
    </row>
    <row r="1396" spans="1:5">
      <c r="A1396" t="s">
        <v>3024</v>
      </c>
      <c r="B1396" t="s">
        <v>3025</v>
      </c>
      <c r="C1396" s="10">
        <v>6</v>
      </c>
      <c r="D1396" s="10">
        <v>0.75</v>
      </c>
      <c r="E1396" s="10">
        <v>12</v>
      </c>
    </row>
    <row r="1397" spans="1:5">
      <c r="A1397" t="s">
        <v>3795</v>
      </c>
      <c r="B1397" t="s">
        <v>3796</v>
      </c>
      <c r="C1397" s="10">
        <v>6</v>
      </c>
      <c r="D1397" s="10">
        <v>0.7</v>
      </c>
      <c r="E1397" s="10">
        <v>14.9</v>
      </c>
    </row>
    <row r="1398" spans="1:5">
      <c r="A1398" t="s">
        <v>500</v>
      </c>
      <c r="B1398" t="s">
        <v>501</v>
      </c>
      <c r="C1398" s="10">
        <v>6</v>
      </c>
      <c r="D1398" s="10">
        <v>0.7</v>
      </c>
      <c r="E1398" s="10">
        <v>40</v>
      </c>
    </row>
    <row r="1399" spans="1:5">
      <c r="A1399" t="s">
        <v>9665</v>
      </c>
      <c r="B1399" t="s">
        <v>8553</v>
      </c>
      <c r="C1399" s="10">
        <v>6</v>
      </c>
      <c r="D1399" s="10">
        <v>0.7</v>
      </c>
      <c r="E1399" s="10">
        <v>40</v>
      </c>
    </row>
    <row r="1400" spans="1:5">
      <c r="A1400" t="s">
        <v>502</v>
      </c>
      <c r="B1400" t="s">
        <v>503</v>
      </c>
      <c r="C1400" s="10">
        <v>6</v>
      </c>
      <c r="D1400" s="10">
        <v>0.7</v>
      </c>
      <c r="E1400" s="10">
        <v>40</v>
      </c>
    </row>
    <row r="1401" spans="1:5">
      <c r="A1401" t="s">
        <v>9666</v>
      </c>
      <c r="B1401" t="s">
        <v>8554</v>
      </c>
      <c r="C1401" s="10">
        <v>6</v>
      </c>
      <c r="D1401" s="10">
        <v>1</v>
      </c>
      <c r="E1401" s="10">
        <v>40</v>
      </c>
    </row>
    <row r="1402" spans="1:5">
      <c r="A1402" t="s">
        <v>9667</v>
      </c>
      <c r="B1402" t="s">
        <v>8555</v>
      </c>
      <c r="C1402" s="10">
        <v>6</v>
      </c>
      <c r="D1402" s="10">
        <v>1</v>
      </c>
      <c r="E1402" s="10">
        <v>40</v>
      </c>
    </row>
    <row r="1403" spans="1:5">
      <c r="A1403" t="s">
        <v>504</v>
      </c>
      <c r="B1403" t="s">
        <v>505</v>
      </c>
      <c r="C1403" s="10">
        <v>6</v>
      </c>
      <c r="D1403" s="10">
        <v>0.7</v>
      </c>
      <c r="E1403" s="10">
        <v>40</v>
      </c>
    </row>
    <row r="1404" spans="1:5">
      <c r="A1404" t="s">
        <v>1773</v>
      </c>
      <c r="B1404" t="s">
        <v>1774</v>
      </c>
      <c r="C1404" s="10">
        <v>6</v>
      </c>
      <c r="D1404" s="10">
        <v>0.5</v>
      </c>
      <c r="E1404" s="10">
        <v>46</v>
      </c>
    </row>
    <row r="1405" spans="1:5">
      <c r="A1405" t="s">
        <v>1775</v>
      </c>
      <c r="B1405" t="s">
        <v>1776</v>
      </c>
      <c r="C1405" s="10">
        <v>6</v>
      </c>
      <c r="D1405" s="10">
        <v>0.5</v>
      </c>
      <c r="E1405" s="10">
        <v>46</v>
      </c>
    </row>
    <row r="1406" spans="1:5">
      <c r="A1406" t="s">
        <v>506</v>
      </c>
      <c r="B1406" t="s">
        <v>507</v>
      </c>
      <c r="C1406" s="10">
        <v>6</v>
      </c>
      <c r="D1406" s="10">
        <v>0.7</v>
      </c>
      <c r="E1406" s="10">
        <v>40</v>
      </c>
    </row>
    <row r="1407" spans="1:5">
      <c r="A1407" t="s">
        <v>508</v>
      </c>
      <c r="B1407" t="s">
        <v>509</v>
      </c>
      <c r="C1407" s="10">
        <v>6</v>
      </c>
      <c r="D1407" s="10">
        <v>0.7</v>
      </c>
      <c r="E1407" s="10">
        <v>40</v>
      </c>
    </row>
    <row r="1408" spans="1:5">
      <c r="A1408" t="s">
        <v>510</v>
      </c>
      <c r="B1408" t="s">
        <v>511</v>
      </c>
      <c r="C1408" s="10">
        <v>6</v>
      </c>
      <c r="D1408" s="10">
        <v>0.7</v>
      </c>
      <c r="E1408" s="10">
        <v>40</v>
      </c>
    </row>
    <row r="1409" spans="1:5">
      <c r="A1409" t="s">
        <v>512</v>
      </c>
      <c r="B1409" t="s">
        <v>513</v>
      </c>
      <c r="C1409" s="10">
        <v>6</v>
      </c>
      <c r="D1409" s="10">
        <v>0.7</v>
      </c>
      <c r="E1409" s="10">
        <v>40</v>
      </c>
    </row>
    <row r="1410" spans="1:5">
      <c r="A1410" t="s">
        <v>514</v>
      </c>
      <c r="B1410" t="s">
        <v>515</v>
      </c>
      <c r="C1410" s="10">
        <v>6</v>
      </c>
      <c r="D1410" s="10">
        <v>0.7</v>
      </c>
      <c r="E1410" s="10">
        <v>40</v>
      </c>
    </row>
    <row r="1411" spans="1:5">
      <c r="A1411" t="s">
        <v>1568</v>
      </c>
      <c r="B1411" t="s">
        <v>1569</v>
      </c>
      <c r="C1411" s="10">
        <v>6</v>
      </c>
      <c r="D1411" s="10">
        <v>0.6</v>
      </c>
      <c r="E1411" s="10">
        <v>40</v>
      </c>
    </row>
    <row r="1412" spans="1:5">
      <c r="A1412" t="s">
        <v>516</v>
      </c>
      <c r="B1412" t="s">
        <v>517</v>
      </c>
      <c r="C1412" s="10">
        <v>6</v>
      </c>
      <c r="D1412" s="10">
        <v>0.7</v>
      </c>
      <c r="E1412" s="10">
        <v>40</v>
      </c>
    </row>
    <row r="1413" spans="1:5">
      <c r="A1413" t="s">
        <v>5702</v>
      </c>
      <c r="B1413" t="s">
        <v>517</v>
      </c>
      <c r="C1413" s="10">
        <v>12</v>
      </c>
      <c r="D1413" s="10">
        <v>1</v>
      </c>
      <c r="E1413" s="10">
        <v>40</v>
      </c>
    </row>
    <row r="1414" spans="1:5">
      <c r="A1414" t="s">
        <v>519</v>
      </c>
      <c r="B1414" t="s">
        <v>518</v>
      </c>
      <c r="C1414" s="10">
        <v>6</v>
      </c>
      <c r="D1414" s="10">
        <v>0.7</v>
      </c>
      <c r="E1414" s="10">
        <v>40</v>
      </c>
    </row>
    <row r="1415" spans="1:5">
      <c r="A1415" t="s">
        <v>520</v>
      </c>
      <c r="B1415" t="s">
        <v>521</v>
      </c>
      <c r="C1415" s="10">
        <v>6</v>
      </c>
      <c r="D1415" s="10">
        <v>0.7</v>
      </c>
      <c r="E1415" s="10">
        <v>40</v>
      </c>
    </row>
    <row r="1416" spans="1:5">
      <c r="A1416" t="s">
        <v>522</v>
      </c>
      <c r="B1416" t="s">
        <v>523</v>
      </c>
      <c r="C1416" s="10">
        <v>6</v>
      </c>
      <c r="D1416" s="10">
        <v>0.7</v>
      </c>
      <c r="E1416" s="10">
        <v>40</v>
      </c>
    </row>
    <row r="1417" spans="1:5">
      <c r="A1417" t="s">
        <v>524</v>
      </c>
      <c r="B1417" t="s">
        <v>525</v>
      </c>
      <c r="C1417" s="10">
        <v>6</v>
      </c>
      <c r="D1417" s="10">
        <v>0.7</v>
      </c>
      <c r="E1417" s="10">
        <v>40</v>
      </c>
    </row>
    <row r="1418" spans="1:5">
      <c r="A1418" t="s">
        <v>526</v>
      </c>
      <c r="B1418" t="s">
        <v>527</v>
      </c>
      <c r="C1418" s="10">
        <v>6</v>
      </c>
      <c r="D1418" s="10">
        <v>0.7</v>
      </c>
      <c r="E1418" s="10">
        <v>40</v>
      </c>
    </row>
    <row r="1419" spans="1:5">
      <c r="A1419" t="s">
        <v>5404</v>
      </c>
      <c r="B1419" t="s">
        <v>5405</v>
      </c>
      <c r="C1419" s="10">
        <v>6</v>
      </c>
      <c r="D1419" s="10">
        <v>0.7</v>
      </c>
      <c r="E1419" s="10">
        <v>43</v>
      </c>
    </row>
    <row r="1420" spans="1:5">
      <c r="A1420" t="s">
        <v>9668</v>
      </c>
      <c r="B1420" t="s">
        <v>8556</v>
      </c>
      <c r="C1420" s="10">
        <v>6</v>
      </c>
      <c r="D1420" s="10">
        <v>0.7</v>
      </c>
      <c r="E1420" s="10">
        <v>40</v>
      </c>
    </row>
    <row r="1421" spans="1:5">
      <c r="A1421" t="s">
        <v>5406</v>
      </c>
      <c r="B1421" t="s">
        <v>5407</v>
      </c>
      <c r="C1421" s="10">
        <v>6</v>
      </c>
      <c r="D1421" s="10">
        <v>0.7</v>
      </c>
      <c r="E1421" s="10">
        <v>43</v>
      </c>
    </row>
    <row r="1422" spans="1:5">
      <c r="A1422" t="s">
        <v>1777</v>
      </c>
      <c r="B1422" t="s">
        <v>1778</v>
      </c>
      <c r="C1422" s="10">
        <v>6</v>
      </c>
      <c r="D1422" s="10">
        <v>0.5</v>
      </c>
      <c r="E1422" s="10">
        <v>30</v>
      </c>
    </row>
    <row r="1423" spans="1:5">
      <c r="A1423" t="s">
        <v>1779</v>
      </c>
      <c r="B1423" t="s">
        <v>1780</v>
      </c>
      <c r="C1423" s="10">
        <v>6</v>
      </c>
      <c r="D1423" s="10">
        <v>0.5</v>
      </c>
      <c r="E1423" s="10">
        <v>20</v>
      </c>
    </row>
    <row r="1424" spans="1:5">
      <c r="A1424" t="s">
        <v>1781</v>
      </c>
      <c r="B1424" t="s">
        <v>1782</v>
      </c>
      <c r="C1424" s="10">
        <v>6</v>
      </c>
      <c r="D1424" s="10">
        <v>0.5</v>
      </c>
      <c r="E1424" s="10">
        <v>28</v>
      </c>
    </row>
    <row r="1425" spans="1:5">
      <c r="A1425" t="s">
        <v>9669</v>
      </c>
      <c r="B1425" t="s">
        <v>8557</v>
      </c>
      <c r="C1425" s="10">
        <v>12</v>
      </c>
      <c r="D1425" s="10">
        <v>1</v>
      </c>
      <c r="E1425" s="10">
        <v>43</v>
      </c>
    </row>
    <row r="1426" spans="1:5">
      <c r="A1426" t="s">
        <v>528</v>
      </c>
      <c r="B1426" t="s">
        <v>529</v>
      </c>
      <c r="C1426" s="10">
        <v>6</v>
      </c>
      <c r="D1426" s="10">
        <v>0.7</v>
      </c>
      <c r="E1426" s="10">
        <v>40</v>
      </c>
    </row>
    <row r="1427" spans="1:5">
      <c r="A1427" t="s">
        <v>9670</v>
      </c>
      <c r="B1427" t="s">
        <v>8558</v>
      </c>
      <c r="C1427" s="10">
        <v>6</v>
      </c>
      <c r="D1427" s="10">
        <v>0.7</v>
      </c>
      <c r="E1427" s="10">
        <v>40</v>
      </c>
    </row>
    <row r="1428" spans="1:5">
      <c r="A1428" t="s">
        <v>9671</v>
      </c>
      <c r="B1428" t="s">
        <v>8559</v>
      </c>
      <c r="C1428" s="10">
        <v>6</v>
      </c>
      <c r="D1428" s="10">
        <v>0.7</v>
      </c>
      <c r="E1428" s="10">
        <v>42.5</v>
      </c>
    </row>
    <row r="1429" spans="1:5">
      <c r="A1429" t="s">
        <v>9672</v>
      </c>
      <c r="B1429" t="s">
        <v>8560</v>
      </c>
      <c r="C1429" s="10">
        <v>6</v>
      </c>
      <c r="D1429" s="10">
        <v>0.7</v>
      </c>
      <c r="E1429" s="10">
        <v>46.3</v>
      </c>
    </row>
    <row r="1430" spans="1:5">
      <c r="A1430" t="s">
        <v>6153</v>
      </c>
      <c r="B1430" t="s">
        <v>6154</v>
      </c>
      <c r="C1430" s="10">
        <v>4</v>
      </c>
      <c r="D1430" s="10">
        <v>0.7</v>
      </c>
      <c r="E1430" s="10">
        <v>47</v>
      </c>
    </row>
    <row r="1431" spans="1:5">
      <c r="A1431" t="s">
        <v>530</v>
      </c>
      <c r="B1431" t="s">
        <v>531</v>
      </c>
      <c r="C1431" s="10">
        <v>6</v>
      </c>
      <c r="D1431" s="10">
        <v>0.7</v>
      </c>
      <c r="E1431" s="10">
        <v>40</v>
      </c>
    </row>
    <row r="1432" spans="1:5">
      <c r="A1432" t="s">
        <v>9673</v>
      </c>
      <c r="B1432" t="s">
        <v>8561</v>
      </c>
      <c r="C1432" s="10">
        <v>6</v>
      </c>
      <c r="D1432" s="10">
        <v>0.75</v>
      </c>
      <c r="E1432" s="10">
        <v>40</v>
      </c>
    </row>
    <row r="1433" spans="1:5">
      <c r="A1433" t="s">
        <v>532</v>
      </c>
      <c r="B1433" t="s">
        <v>533</v>
      </c>
      <c r="C1433" s="10">
        <v>6</v>
      </c>
      <c r="D1433" s="10">
        <v>0.7</v>
      </c>
      <c r="E1433" s="10">
        <v>40</v>
      </c>
    </row>
    <row r="1434" spans="1:5">
      <c r="A1434" t="s">
        <v>3797</v>
      </c>
      <c r="B1434" t="s">
        <v>3798</v>
      </c>
      <c r="C1434" s="10">
        <v>6</v>
      </c>
      <c r="D1434" s="10">
        <v>0.7</v>
      </c>
      <c r="E1434" s="10">
        <v>47</v>
      </c>
    </row>
    <row r="1435" spans="1:5">
      <c r="A1435" t="s">
        <v>3799</v>
      </c>
      <c r="B1435" t="s">
        <v>3800</v>
      </c>
      <c r="C1435" s="10">
        <v>6</v>
      </c>
      <c r="D1435" s="10">
        <v>0.7</v>
      </c>
      <c r="E1435" s="10">
        <v>47</v>
      </c>
    </row>
    <row r="1436" spans="1:5">
      <c r="A1436" t="s">
        <v>3801</v>
      </c>
      <c r="B1436" t="s">
        <v>3802</v>
      </c>
      <c r="C1436" s="10">
        <v>6</v>
      </c>
      <c r="D1436" s="10">
        <v>0.7</v>
      </c>
      <c r="E1436" s="10">
        <v>47</v>
      </c>
    </row>
    <row r="1437" spans="1:5">
      <c r="A1437" t="s">
        <v>3803</v>
      </c>
      <c r="B1437" t="s">
        <v>3804</v>
      </c>
      <c r="C1437" s="10">
        <v>6</v>
      </c>
      <c r="D1437" s="10">
        <v>0.7</v>
      </c>
      <c r="E1437" s="10">
        <v>47</v>
      </c>
    </row>
    <row r="1438" spans="1:5">
      <c r="A1438" t="s">
        <v>534</v>
      </c>
      <c r="B1438" t="s">
        <v>535</v>
      </c>
      <c r="C1438" s="10">
        <v>6</v>
      </c>
      <c r="D1438" s="10">
        <v>0.7</v>
      </c>
      <c r="E1438" s="10">
        <v>40</v>
      </c>
    </row>
    <row r="1439" spans="1:5">
      <c r="A1439" t="s">
        <v>9674</v>
      </c>
      <c r="B1439" t="s">
        <v>8562</v>
      </c>
      <c r="C1439" s="10">
        <v>6</v>
      </c>
      <c r="D1439" s="10">
        <v>0.7</v>
      </c>
      <c r="E1439" s="10">
        <v>40</v>
      </c>
    </row>
    <row r="1440" spans="1:5">
      <c r="A1440" t="s">
        <v>536</v>
      </c>
      <c r="B1440" t="s">
        <v>537</v>
      </c>
      <c r="C1440" s="10">
        <v>6</v>
      </c>
      <c r="D1440" s="10">
        <v>0.7</v>
      </c>
      <c r="E1440" s="10">
        <v>40</v>
      </c>
    </row>
    <row r="1441" spans="1:5">
      <c r="A1441" t="s">
        <v>9675</v>
      </c>
      <c r="B1441" t="s">
        <v>8563</v>
      </c>
      <c r="C1441" s="10">
        <v>6</v>
      </c>
      <c r="D1441" s="10">
        <v>0.7</v>
      </c>
      <c r="E1441" s="10">
        <v>40</v>
      </c>
    </row>
    <row r="1442" spans="1:5">
      <c r="A1442" t="s">
        <v>5409</v>
      </c>
      <c r="B1442" t="s">
        <v>5408</v>
      </c>
      <c r="C1442" s="10">
        <v>6</v>
      </c>
      <c r="D1442" s="10">
        <v>0.7</v>
      </c>
      <c r="E1442" s="10">
        <v>43</v>
      </c>
    </row>
    <row r="1443" spans="1:5">
      <c r="A1443" t="s">
        <v>9676</v>
      </c>
      <c r="B1443" t="s">
        <v>8564</v>
      </c>
      <c r="C1443" s="10">
        <v>6</v>
      </c>
      <c r="D1443" s="10">
        <v>0.7</v>
      </c>
      <c r="E1443" s="10">
        <v>28</v>
      </c>
    </row>
    <row r="1444" spans="1:5">
      <c r="A1444" t="s">
        <v>6155</v>
      </c>
      <c r="B1444" t="s">
        <v>1784</v>
      </c>
      <c r="C1444" s="10">
        <v>120</v>
      </c>
      <c r="D1444" s="10">
        <v>0.05</v>
      </c>
      <c r="E1444" s="10">
        <v>28</v>
      </c>
    </row>
    <row r="1445" spans="1:5">
      <c r="A1445" t="s">
        <v>6654</v>
      </c>
      <c r="B1445" t="s">
        <v>1784</v>
      </c>
      <c r="C1445" s="10">
        <v>12</v>
      </c>
      <c r="D1445" s="10">
        <v>0.2</v>
      </c>
      <c r="E1445" s="10">
        <v>28</v>
      </c>
    </row>
    <row r="1446" spans="1:5">
      <c r="A1446" t="s">
        <v>6655</v>
      </c>
      <c r="B1446" t="s">
        <v>1784</v>
      </c>
      <c r="C1446" s="10">
        <v>12</v>
      </c>
      <c r="D1446" s="10">
        <v>0.35</v>
      </c>
      <c r="E1446" s="10">
        <v>28</v>
      </c>
    </row>
    <row r="1447" spans="1:5">
      <c r="A1447" t="s">
        <v>1783</v>
      </c>
      <c r="B1447" t="s">
        <v>1784</v>
      </c>
      <c r="C1447" s="10">
        <v>6</v>
      </c>
      <c r="D1447" s="10">
        <v>0.5</v>
      </c>
      <c r="E1447" s="10">
        <v>28</v>
      </c>
    </row>
    <row r="1448" spans="1:5">
      <c r="A1448" t="s">
        <v>3805</v>
      </c>
      <c r="B1448" t="s">
        <v>1784</v>
      </c>
      <c r="C1448" s="10">
        <v>6</v>
      </c>
      <c r="D1448" s="10">
        <v>0.7</v>
      </c>
      <c r="E1448" s="10">
        <v>28</v>
      </c>
    </row>
    <row r="1449" spans="1:5">
      <c r="A1449" t="s">
        <v>2057</v>
      </c>
      <c r="B1449" t="s">
        <v>1784</v>
      </c>
      <c r="C1449" s="10">
        <v>6</v>
      </c>
      <c r="D1449" s="10">
        <v>1</v>
      </c>
      <c r="E1449" s="10">
        <v>28</v>
      </c>
    </row>
    <row r="1450" spans="1:5">
      <c r="A1450" t="s">
        <v>6817</v>
      </c>
      <c r="B1450" t="s">
        <v>1784</v>
      </c>
      <c r="C1450" s="10">
        <v>12</v>
      </c>
      <c r="D1450" s="10">
        <v>1</v>
      </c>
      <c r="E1450" s="10">
        <v>28</v>
      </c>
    </row>
    <row r="1451" spans="1:5">
      <c r="A1451" t="s">
        <v>3807</v>
      </c>
      <c r="B1451" t="s">
        <v>3806</v>
      </c>
      <c r="C1451" s="10">
        <v>6</v>
      </c>
      <c r="D1451" s="10">
        <v>0.7</v>
      </c>
      <c r="E1451" s="10">
        <v>28</v>
      </c>
    </row>
    <row r="1452" spans="1:5">
      <c r="A1452" t="s">
        <v>9677</v>
      </c>
      <c r="B1452" t="s">
        <v>8565</v>
      </c>
      <c r="C1452" s="10">
        <v>12</v>
      </c>
      <c r="D1452" s="10">
        <v>1</v>
      </c>
      <c r="E1452" s="10">
        <v>28</v>
      </c>
    </row>
    <row r="1453" spans="1:5">
      <c r="A1453" t="s">
        <v>6656</v>
      </c>
      <c r="B1453" t="s">
        <v>3809</v>
      </c>
      <c r="C1453" s="10">
        <v>12</v>
      </c>
      <c r="D1453" s="10">
        <v>0.35</v>
      </c>
      <c r="E1453" s="10">
        <v>17</v>
      </c>
    </row>
    <row r="1454" spans="1:5">
      <c r="A1454" t="s">
        <v>3808</v>
      </c>
      <c r="B1454" t="s">
        <v>3809</v>
      </c>
      <c r="C1454" s="10">
        <v>6</v>
      </c>
      <c r="D1454" s="10">
        <v>0.7</v>
      </c>
      <c r="E1454" s="10">
        <v>17</v>
      </c>
    </row>
    <row r="1455" spans="1:5">
      <c r="A1455" t="s">
        <v>3810</v>
      </c>
      <c r="B1455" t="s">
        <v>3811</v>
      </c>
      <c r="C1455" s="10">
        <v>6</v>
      </c>
      <c r="D1455" s="10">
        <v>0.7</v>
      </c>
      <c r="E1455" s="10">
        <v>17</v>
      </c>
    </row>
    <row r="1456" spans="1:5">
      <c r="A1456" t="s">
        <v>2542</v>
      </c>
      <c r="B1456" t="s">
        <v>2543</v>
      </c>
      <c r="C1456" s="10">
        <v>6</v>
      </c>
      <c r="D1456" s="10">
        <v>0.75</v>
      </c>
      <c r="E1456" s="10">
        <v>11.5</v>
      </c>
    </row>
    <row r="1457" spans="1:5">
      <c r="A1457" t="s">
        <v>2544</v>
      </c>
      <c r="B1457" t="s">
        <v>2545</v>
      </c>
      <c r="C1457" s="10">
        <v>6</v>
      </c>
      <c r="D1457" s="10">
        <v>0.75</v>
      </c>
      <c r="E1457" s="10">
        <v>14.5</v>
      </c>
    </row>
    <row r="1458" spans="1:5">
      <c r="A1458" t="s">
        <v>9678</v>
      </c>
      <c r="B1458" t="s">
        <v>1785</v>
      </c>
      <c r="C1458" s="10">
        <v>6</v>
      </c>
      <c r="D1458" s="10">
        <v>0.5</v>
      </c>
      <c r="E1458" s="10">
        <v>18</v>
      </c>
    </row>
    <row r="1459" spans="1:5">
      <c r="A1459" t="s">
        <v>2546</v>
      </c>
      <c r="B1459" t="s">
        <v>2547</v>
      </c>
      <c r="C1459" s="10">
        <v>6</v>
      </c>
      <c r="D1459" s="10">
        <v>0.75</v>
      </c>
      <c r="E1459" s="10">
        <v>16</v>
      </c>
    </row>
    <row r="1460" spans="1:5">
      <c r="A1460" t="s">
        <v>2548</v>
      </c>
      <c r="B1460" t="s">
        <v>2549</v>
      </c>
      <c r="C1460" s="10">
        <v>6</v>
      </c>
      <c r="D1460" s="10">
        <v>0.75</v>
      </c>
      <c r="E1460" s="10">
        <v>17.5</v>
      </c>
    </row>
    <row r="1461" spans="1:5">
      <c r="A1461" t="s">
        <v>2550</v>
      </c>
      <c r="B1461" t="s">
        <v>2551</v>
      </c>
      <c r="C1461" s="10">
        <v>6</v>
      </c>
      <c r="D1461" s="10">
        <v>0.75</v>
      </c>
      <c r="E1461" s="10">
        <v>16</v>
      </c>
    </row>
    <row r="1462" spans="1:5">
      <c r="A1462" t="s">
        <v>538</v>
      </c>
      <c r="B1462" t="s">
        <v>539</v>
      </c>
      <c r="C1462" s="10">
        <v>6</v>
      </c>
      <c r="D1462" s="10">
        <v>0.7</v>
      </c>
      <c r="E1462" s="10">
        <v>40</v>
      </c>
    </row>
    <row r="1463" spans="1:5">
      <c r="A1463" t="s">
        <v>9679</v>
      </c>
      <c r="B1463" t="s">
        <v>8566</v>
      </c>
      <c r="C1463" s="10">
        <v>3</v>
      </c>
      <c r="D1463" s="10">
        <v>1.5</v>
      </c>
      <c r="E1463" s="10">
        <v>12.5</v>
      </c>
    </row>
    <row r="1464" spans="1:5">
      <c r="A1464" t="s">
        <v>3136</v>
      </c>
      <c r="B1464" t="s">
        <v>3137</v>
      </c>
      <c r="C1464" s="10">
        <v>6</v>
      </c>
      <c r="D1464" s="10">
        <v>0.75</v>
      </c>
      <c r="E1464" s="10">
        <v>12.5</v>
      </c>
    </row>
    <row r="1465" spans="1:5">
      <c r="A1465" t="s">
        <v>3139</v>
      </c>
      <c r="B1465" t="s">
        <v>3138</v>
      </c>
      <c r="C1465" s="10">
        <v>6</v>
      </c>
      <c r="D1465" s="10">
        <v>0.75</v>
      </c>
      <c r="E1465" s="10">
        <v>12.5</v>
      </c>
    </row>
    <row r="1466" spans="1:5">
      <c r="A1466" t="s">
        <v>6156</v>
      </c>
      <c r="B1466" t="s">
        <v>6157</v>
      </c>
      <c r="C1466" s="10">
        <v>3</v>
      </c>
      <c r="D1466" s="10">
        <v>0.75</v>
      </c>
      <c r="E1466" s="10">
        <v>12.5</v>
      </c>
    </row>
    <row r="1467" spans="1:5">
      <c r="A1467" t="s">
        <v>9680</v>
      </c>
      <c r="B1467" t="s">
        <v>8567</v>
      </c>
      <c r="C1467" s="10">
        <v>3</v>
      </c>
      <c r="D1467" s="10">
        <v>1.5</v>
      </c>
      <c r="E1467" s="10">
        <v>12.5</v>
      </c>
    </row>
    <row r="1468" spans="1:5">
      <c r="A1468" t="s">
        <v>9681</v>
      </c>
      <c r="B1468" t="s">
        <v>8568</v>
      </c>
      <c r="C1468" s="10">
        <v>6</v>
      </c>
      <c r="D1468" s="10">
        <v>0.75</v>
      </c>
      <c r="E1468" s="10">
        <v>12.5</v>
      </c>
    </row>
    <row r="1469" spans="1:5">
      <c r="A1469" t="s">
        <v>3140</v>
      </c>
      <c r="B1469" t="s">
        <v>3141</v>
      </c>
      <c r="C1469" s="10">
        <v>6</v>
      </c>
      <c r="D1469" s="10">
        <v>0.75</v>
      </c>
      <c r="E1469" s="10">
        <v>12.5</v>
      </c>
    </row>
    <row r="1470" spans="1:5">
      <c r="A1470" t="s">
        <v>9682</v>
      </c>
      <c r="B1470" t="s">
        <v>8569</v>
      </c>
      <c r="C1470" s="10">
        <v>6</v>
      </c>
      <c r="D1470" s="10">
        <v>0.7</v>
      </c>
      <c r="E1470" s="10">
        <v>28</v>
      </c>
    </row>
    <row r="1471" spans="1:5">
      <c r="A1471" t="s">
        <v>9683</v>
      </c>
      <c r="B1471" t="s">
        <v>8570</v>
      </c>
      <c r="C1471" s="10">
        <v>12</v>
      </c>
      <c r="D1471" s="10">
        <v>0.7</v>
      </c>
      <c r="E1471" s="10">
        <v>38</v>
      </c>
    </row>
    <row r="1472" spans="1:5">
      <c r="A1472" t="s">
        <v>9684</v>
      </c>
      <c r="B1472" t="s">
        <v>8570</v>
      </c>
      <c r="C1472" s="10">
        <v>6</v>
      </c>
      <c r="D1472" s="10">
        <v>0.7</v>
      </c>
      <c r="E1472" s="10">
        <v>38</v>
      </c>
    </row>
    <row r="1473" spans="1:5">
      <c r="A1473" t="s">
        <v>9685</v>
      </c>
      <c r="B1473" t="s">
        <v>8571</v>
      </c>
      <c r="C1473" s="10">
        <v>6</v>
      </c>
      <c r="D1473" s="10">
        <v>0.7</v>
      </c>
      <c r="E1473" s="10">
        <v>38</v>
      </c>
    </row>
    <row r="1474" spans="1:5">
      <c r="A1474" t="s">
        <v>5014</v>
      </c>
      <c r="B1474" t="s">
        <v>5015</v>
      </c>
      <c r="C1474" s="10">
        <v>6</v>
      </c>
      <c r="D1474" s="10">
        <v>0.7</v>
      </c>
      <c r="E1474" s="10">
        <v>38</v>
      </c>
    </row>
    <row r="1475" spans="1:5">
      <c r="A1475" t="s">
        <v>5016</v>
      </c>
      <c r="B1475" t="s">
        <v>5017</v>
      </c>
      <c r="C1475" s="10">
        <v>6</v>
      </c>
      <c r="D1475" s="10">
        <v>0.7</v>
      </c>
      <c r="E1475" s="10">
        <v>38</v>
      </c>
    </row>
    <row r="1476" spans="1:5">
      <c r="A1476" t="s">
        <v>5018</v>
      </c>
      <c r="B1476" t="s">
        <v>5019</v>
      </c>
      <c r="C1476" s="10">
        <v>6</v>
      </c>
      <c r="D1476" s="10">
        <v>0.7</v>
      </c>
      <c r="E1476" s="10">
        <v>38</v>
      </c>
    </row>
    <row r="1477" spans="1:5">
      <c r="A1477" t="s">
        <v>5020</v>
      </c>
      <c r="B1477" t="s">
        <v>5021</v>
      </c>
      <c r="C1477" s="10">
        <v>6</v>
      </c>
      <c r="D1477" s="10">
        <v>0.7</v>
      </c>
      <c r="E1477" s="10">
        <v>38</v>
      </c>
    </row>
    <row r="1478" spans="1:5">
      <c r="A1478" t="s">
        <v>5022</v>
      </c>
      <c r="B1478" t="s">
        <v>5023</v>
      </c>
      <c r="C1478" s="10">
        <v>6</v>
      </c>
      <c r="D1478" s="10">
        <v>0.7</v>
      </c>
      <c r="E1478" s="10">
        <v>38</v>
      </c>
    </row>
    <row r="1479" spans="1:5">
      <c r="A1479" t="s">
        <v>5024</v>
      </c>
      <c r="B1479" t="s">
        <v>5025</v>
      </c>
      <c r="C1479" s="10">
        <v>6</v>
      </c>
      <c r="D1479" s="10">
        <v>0.7</v>
      </c>
      <c r="E1479" s="10">
        <v>38</v>
      </c>
    </row>
    <row r="1480" spans="1:5">
      <c r="A1480" t="s">
        <v>5026</v>
      </c>
      <c r="B1480" t="s">
        <v>5027</v>
      </c>
      <c r="C1480" s="10">
        <v>6</v>
      </c>
      <c r="D1480" s="10">
        <v>0.7</v>
      </c>
      <c r="E1480" s="10">
        <v>38</v>
      </c>
    </row>
    <row r="1481" spans="1:5">
      <c r="A1481" t="s">
        <v>5410</v>
      </c>
      <c r="B1481" t="s">
        <v>5411</v>
      </c>
      <c r="C1481" s="10">
        <v>6</v>
      </c>
      <c r="D1481" s="10">
        <v>0.7</v>
      </c>
      <c r="E1481" s="10">
        <v>43</v>
      </c>
    </row>
    <row r="1482" spans="1:5">
      <c r="A1482" t="s">
        <v>540</v>
      </c>
      <c r="B1482" t="s">
        <v>541</v>
      </c>
      <c r="C1482" s="10">
        <v>6</v>
      </c>
      <c r="D1482" s="10">
        <v>0.7</v>
      </c>
      <c r="E1482" s="10">
        <v>40</v>
      </c>
    </row>
    <row r="1483" spans="1:5">
      <c r="A1483" t="s">
        <v>542</v>
      </c>
      <c r="B1483" t="s">
        <v>541</v>
      </c>
      <c r="C1483" s="10">
        <v>6</v>
      </c>
      <c r="D1483" s="10">
        <v>0.7</v>
      </c>
      <c r="E1483" s="10">
        <v>40</v>
      </c>
    </row>
    <row r="1484" spans="1:5">
      <c r="A1484" t="s">
        <v>544</v>
      </c>
      <c r="B1484" t="s">
        <v>543</v>
      </c>
      <c r="C1484" s="10">
        <v>6</v>
      </c>
      <c r="D1484" s="10">
        <v>0.7</v>
      </c>
      <c r="E1484" s="10">
        <v>40</v>
      </c>
    </row>
    <row r="1485" spans="1:5">
      <c r="A1485" t="s">
        <v>545</v>
      </c>
      <c r="B1485" t="s">
        <v>543</v>
      </c>
      <c r="C1485" s="10">
        <v>6</v>
      </c>
      <c r="D1485" s="10">
        <v>0.7</v>
      </c>
      <c r="E1485" s="10">
        <v>40</v>
      </c>
    </row>
    <row r="1486" spans="1:5">
      <c r="A1486" t="s">
        <v>9686</v>
      </c>
      <c r="B1486" t="s">
        <v>8572</v>
      </c>
      <c r="C1486" s="10">
        <v>6</v>
      </c>
      <c r="D1486" s="10">
        <v>0.7</v>
      </c>
      <c r="E1486" s="10">
        <v>40</v>
      </c>
    </row>
    <row r="1487" spans="1:5">
      <c r="A1487" t="s">
        <v>546</v>
      </c>
      <c r="B1487" t="s">
        <v>547</v>
      </c>
      <c r="C1487" s="10">
        <v>6</v>
      </c>
      <c r="D1487" s="10">
        <v>0.7</v>
      </c>
      <c r="E1487" s="10">
        <v>40</v>
      </c>
    </row>
    <row r="1488" spans="1:5">
      <c r="A1488" t="s">
        <v>548</v>
      </c>
      <c r="B1488" t="s">
        <v>549</v>
      </c>
      <c r="C1488" s="10">
        <v>6</v>
      </c>
      <c r="D1488" s="10">
        <v>0.7</v>
      </c>
      <c r="E1488" s="10">
        <v>40</v>
      </c>
    </row>
    <row r="1489" spans="1:5">
      <c r="A1489" t="s">
        <v>550</v>
      </c>
      <c r="B1489" t="s">
        <v>551</v>
      </c>
      <c r="C1489" s="10">
        <v>6</v>
      </c>
      <c r="D1489" s="10">
        <v>0.7</v>
      </c>
      <c r="E1489" s="10">
        <v>40</v>
      </c>
    </row>
    <row r="1490" spans="1:5">
      <c r="A1490" t="s">
        <v>552</v>
      </c>
      <c r="B1490" t="s">
        <v>551</v>
      </c>
      <c r="C1490" s="10">
        <v>6</v>
      </c>
      <c r="D1490" s="10">
        <v>0.7</v>
      </c>
      <c r="E1490" s="10">
        <v>40</v>
      </c>
    </row>
    <row r="1491" spans="1:5">
      <c r="A1491" t="s">
        <v>553</v>
      </c>
      <c r="B1491" t="s">
        <v>554</v>
      </c>
      <c r="C1491" s="10">
        <v>6</v>
      </c>
      <c r="D1491" s="10">
        <v>0.7</v>
      </c>
      <c r="E1491" s="10">
        <v>40</v>
      </c>
    </row>
    <row r="1492" spans="1:5">
      <c r="A1492" t="s">
        <v>555</v>
      </c>
      <c r="B1492" t="s">
        <v>556</v>
      </c>
      <c r="C1492" s="10">
        <v>6</v>
      </c>
      <c r="D1492" s="10">
        <v>0.7</v>
      </c>
      <c r="E1492" s="10">
        <v>40</v>
      </c>
    </row>
    <row r="1493" spans="1:5">
      <c r="A1493" t="s">
        <v>9687</v>
      </c>
      <c r="B1493" t="s">
        <v>8573</v>
      </c>
      <c r="C1493" s="10">
        <v>6</v>
      </c>
      <c r="D1493" s="10">
        <v>0.7</v>
      </c>
      <c r="E1493" s="10">
        <v>40</v>
      </c>
    </row>
    <row r="1494" spans="1:5">
      <c r="A1494" t="s">
        <v>9688</v>
      </c>
      <c r="B1494" t="s">
        <v>4740</v>
      </c>
      <c r="C1494" s="10">
        <v>4</v>
      </c>
      <c r="D1494" s="10">
        <v>0.7</v>
      </c>
      <c r="E1494" s="10">
        <v>45</v>
      </c>
    </row>
    <row r="1495" spans="1:5">
      <c r="A1495" t="s">
        <v>4739</v>
      </c>
      <c r="B1495" t="s">
        <v>4740</v>
      </c>
      <c r="C1495" s="10">
        <v>6</v>
      </c>
      <c r="D1495" s="10">
        <v>0.7</v>
      </c>
      <c r="E1495" s="10">
        <v>45</v>
      </c>
    </row>
    <row r="1496" spans="1:5">
      <c r="A1496" t="s">
        <v>4741</v>
      </c>
      <c r="B1496" t="s">
        <v>4742</v>
      </c>
      <c r="C1496" s="10">
        <v>6</v>
      </c>
      <c r="D1496" s="10">
        <v>0.7</v>
      </c>
      <c r="E1496" s="10">
        <v>45</v>
      </c>
    </row>
    <row r="1497" spans="1:5">
      <c r="A1497" t="s">
        <v>3812</v>
      </c>
      <c r="B1497" t="s">
        <v>3813</v>
      </c>
      <c r="C1497" s="10">
        <v>6</v>
      </c>
      <c r="D1497" s="10">
        <v>0.7</v>
      </c>
      <c r="E1497" s="10">
        <v>75.5</v>
      </c>
    </row>
    <row r="1498" spans="1:5">
      <c r="A1498" t="s">
        <v>9689</v>
      </c>
      <c r="B1498" t="s">
        <v>8574</v>
      </c>
      <c r="C1498" s="10">
        <v>6</v>
      </c>
      <c r="D1498" s="10">
        <v>0.7</v>
      </c>
      <c r="E1498" s="10">
        <v>40</v>
      </c>
    </row>
    <row r="1499" spans="1:5">
      <c r="A1499" t="s">
        <v>9690</v>
      </c>
      <c r="B1499" t="s">
        <v>8575</v>
      </c>
      <c r="C1499" s="10">
        <v>6</v>
      </c>
      <c r="D1499" s="10">
        <v>0.7</v>
      </c>
      <c r="E1499" s="10">
        <v>41</v>
      </c>
    </row>
    <row r="1500" spans="1:5">
      <c r="A1500" t="s">
        <v>4743</v>
      </c>
      <c r="B1500" t="s">
        <v>4744</v>
      </c>
      <c r="C1500" s="10">
        <v>6</v>
      </c>
      <c r="D1500" s="10">
        <v>0.7</v>
      </c>
      <c r="E1500" s="10">
        <v>45</v>
      </c>
    </row>
    <row r="1501" spans="1:5">
      <c r="A1501" t="s">
        <v>3814</v>
      </c>
      <c r="B1501" t="s">
        <v>3815</v>
      </c>
      <c r="C1501" s="10">
        <v>6</v>
      </c>
      <c r="D1501" s="10">
        <v>0.7</v>
      </c>
      <c r="E1501" s="10">
        <v>15</v>
      </c>
    </row>
    <row r="1502" spans="1:5">
      <c r="A1502" t="s">
        <v>3816</v>
      </c>
      <c r="B1502" t="s">
        <v>3817</v>
      </c>
      <c r="C1502" s="10">
        <v>6</v>
      </c>
      <c r="D1502" s="10">
        <v>0.7</v>
      </c>
      <c r="E1502" s="10">
        <v>17</v>
      </c>
    </row>
    <row r="1503" spans="1:5">
      <c r="A1503" t="s">
        <v>9691</v>
      </c>
      <c r="B1503" t="s">
        <v>8576</v>
      </c>
      <c r="C1503" s="10">
        <v>6</v>
      </c>
      <c r="D1503" s="10">
        <v>0.7</v>
      </c>
      <c r="E1503" s="10">
        <v>15</v>
      </c>
    </row>
    <row r="1504" spans="1:5">
      <c r="A1504" t="s">
        <v>5412</v>
      </c>
      <c r="B1504" t="s">
        <v>5413</v>
      </c>
      <c r="C1504" s="10">
        <v>6</v>
      </c>
      <c r="D1504" s="10">
        <v>0.7</v>
      </c>
      <c r="E1504" s="10">
        <v>43</v>
      </c>
    </row>
    <row r="1505" spans="1:5">
      <c r="A1505" t="s">
        <v>3818</v>
      </c>
      <c r="B1505" t="s">
        <v>3819</v>
      </c>
      <c r="C1505" s="10">
        <v>6</v>
      </c>
      <c r="D1505" s="10">
        <v>0.7</v>
      </c>
      <c r="E1505" s="10">
        <v>48</v>
      </c>
    </row>
    <row r="1506" spans="1:5">
      <c r="A1506" t="s">
        <v>557</v>
      </c>
      <c r="B1506" t="s">
        <v>558</v>
      </c>
      <c r="C1506" s="10">
        <v>6</v>
      </c>
      <c r="D1506" s="10">
        <v>0.7</v>
      </c>
      <c r="E1506" s="10">
        <v>40</v>
      </c>
    </row>
    <row r="1507" spans="1:5">
      <c r="A1507" t="s">
        <v>559</v>
      </c>
      <c r="B1507" t="s">
        <v>560</v>
      </c>
      <c r="C1507" s="10">
        <v>6</v>
      </c>
      <c r="D1507" s="10">
        <v>0.7</v>
      </c>
      <c r="E1507" s="10">
        <v>40</v>
      </c>
    </row>
    <row r="1508" spans="1:5">
      <c r="A1508" t="s">
        <v>5414</v>
      </c>
      <c r="B1508" t="s">
        <v>5415</v>
      </c>
      <c r="C1508" s="10">
        <v>6</v>
      </c>
      <c r="D1508" s="10">
        <v>0.7</v>
      </c>
      <c r="E1508" s="10">
        <v>43</v>
      </c>
    </row>
    <row r="1509" spans="1:5">
      <c r="A1509" t="s">
        <v>5028</v>
      </c>
      <c r="B1509" t="s">
        <v>5029</v>
      </c>
      <c r="C1509" s="10">
        <v>6</v>
      </c>
      <c r="D1509" s="10">
        <v>0.7</v>
      </c>
      <c r="E1509" s="10">
        <v>38</v>
      </c>
    </row>
    <row r="1510" spans="1:5">
      <c r="A1510" t="s">
        <v>5190</v>
      </c>
      <c r="B1510" t="s">
        <v>5191</v>
      </c>
      <c r="C1510" s="10">
        <v>6</v>
      </c>
      <c r="D1510" s="10">
        <v>0.7</v>
      </c>
      <c r="E1510" s="10">
        <v>46</v>
      </c>
    </row>
    <row r="1511" spans="1:5">
      <c r="A1511" t="s">
        <v>9692</v>
      </c>
      <c r="B1511" t="s">
        <v>8577</v>
      </c>
      <c r="C1511" s="10">
        <v>6</v>
      </c>
      <c r="D1511" s="10">
        <v>0.7</v>
      </c>
      <c r="E1511" s="10">
        <v>46.2</v>
      </c>
    </row>
    <row r="1512" spans="1:5">
      <c r="A1512" t="s">
        <v>9693</v>
      </c>
      <c r="B1512" t="s">
        <v>8578</v>
      </c>
      <c r="C1512" s="10">
        <v>6</v>
      </c>
      <c r="D1512" s="10">
        <v>0.7</v>
      </c>
      <c r="E1512" s="10">
        <v>40</v>
      </c>
    </row>
    <row r="1513" spans="1:5">
      <c r="A1513" t="s">
        <v>561</v>
      </c>
      <c r="B1513" t="s">
        <v>562</v>
      </c>
      <c r="C1513" s="10">
        <v>6</v>
      </c>
      <c r="D1513" s="10">
        <v>0.7</v>
      </c>
      <c r="E1513" s="10">
        <v>40</v>
      </c>
    </row>
    <row r="1514" spans="1:5">
      <c r="A1514" t="s">
        <v>5703</v>
      </c>
      <c r="B1514" t="s">
        <v>562</v>
      </c>
      <c r="C1514" s="10">
        <v>12</v>
      </c>
      <c r="D1514" s="10">
        <v>1</v>
      </c>
      <c r="E1514" s="10">
        <v>40</v>
      </c>
    </row>
    <row r="1515" spans="1:5">
      <c r="A1515" t="s">
        <v>1786</v>
      </c>
      <c r="B1515" t="s">
        <v>1787</v>
      </c>
      <c r="C1515" s="10">
        <v>6</v>
      </c>
      <c r="D1515" s="10">
        <v>0.5</v>
      </c>
      <c r="E1515" s="10">
        <v>43</v>
      </c>
    </row>
    <row r="1516" spans="1:5">
      <c r="A1516" t="s">
        <v>5416</v>
      </c>
      <c r="B1516" t="s">
        <v>5417</v>
      </c>
      <c r="C1516" s="10">
        <v>6</v>
      </c>
      <c r="D1516" s="10">
        <v>0.7</v>
      </c>
      <c r="E1516" s="10">
        <v>43</v>
      </c>
    </row>
    <row r="1517" spans="1:5">
      <c r="A1517" t="s">
        <v>5418</v>
      </c>
      <c r="B1517" t="s">
        <v>5419</v>
      </c>
      <c r="C1517" s="10">
        <v>6</v>
      </c>
      <c r="D1517" s="10">
        <v>0.7</v>
      </c>
      <c r="E1517" s="10">
        <v>43</v>
      </c>
    </row>
    <row r="1518" spans="1:5">
      <c r="A1518" t="s">
        <v>5420</v>
      </c>
      <c r="B1518" t="s">
        <v>5421</v>
      </c>
      <c r="C1518" s="10">
        <v>6</v>
      </c>
      <c r="D1518" s="10">
        <v>0.7</v>
      </c>
      <c r="E1518" s="10">
        <v>43</v>
      </c>
    </row>
    <row r="1519" spans="1:5">
      <c r="A1519" t="s">
        <v>5422</v>
      </c>
      <c r="B1519" t="s">
        <v>5423</v>
      </c>
      <c r="C1519" s="10">
        <v>6</v>
      </c>
      <c r="D1519" s="10">
        <v>0.7</v>
      </c>
      <c r="E1519" s="10">
        <v>43</v>
      </c>
    </row>
    <row r="1520" spans="1:5">
      <c r="A1520" t="s">
        <v>5424</v>
      </c>
      <c r="B1520" t="s">
        <v>5425</v>
      </c>
      <c r="C1520" s="10">
        <v>6</v>
      </c>
      <c r="D1520" s="10">
        <v>0.7</v>
      </c>
      <c r="E1520" s="10">
        <v>43</v>
      </c>
    </row>
    <row r="1521" spans="1:5">
      <c r="A1521" t="s">
        <v>5426</v>
      </c>
      <c r="B1521" t="s">
        <v>5427</v>
      </c>
      <c r="C1521" s="10">
        <v>6</v>
      </c>
      <c r="D1521" s="10">
        <v>0.7</v>
      </c>
      <c r="E1521" s="10">
        <v>43</v>
      </c>
    </row>
    <row r="1522" spans="1:5">
      <c r="A1522" t="s">
        <v>6951</v>
      </c>
      <c r="B1522" t="s">
        <v>6952</v>
      </c>
      <c r="C1522" s="10">
        <v>6</v>
      </c>
      <c r="D1522" s="10">
        <v>0.7</v>
      </c>
      <c r="E1522" s="10">
        <v>43</v>
      </c>
    </row>
    <row r="1523" spans="1:5">
      <c r="A1523" t="s">
        <v>5428</v>
      </c>
      <c r="B1523" t="s">
        <v>5429</v>
      </c>
      <c r="C1523" s="10">
        <v>6</v>
      </c>
      <c r="D1523" s="10">
        <v>0.7</v>
      </c>
      <c r="E1523" s="10">
        <v>43</v>
      </c>
    </row>
    <row r="1524" spans="1:5">
      <c r="A1524" t="s">
        <v>1788</v>
      </c>
      <c r="B1524" t="s">
        <v>1789</v>
      </c>
      <c r="C1524" s="10">
        <v>6</v>
      </c>
      <c r="D1524" s="10">
        <v>0.5</v>
      </c>
      <c r="E1524" s="10">
        <v>32</v>
      </c>
    </row>
    <row r="1525" spans="1:5">
      <c r="A1525" t="s">
        <v>1790</v>
      </c>
      <c r="B1525" t="s">
        <v>1791</v>
      </c>
      <c r="C1525" s="10">
        <v>6</v>
      </c>
      <c r="D1525" s="10">
        <v>0.5</v>
      </c>
      <c r="E1525" s="10">
        <v>32</v>
      </c>
    </row>
    <row r="1526" spans="1:5">
      <c r="A1526" t="s">
        <v>3820</v>
      </c>
      <c r="B1526" t="s">
        <v>3821</v>
      </c>
      <c r="C1526" s="10">
        <v>6</v>
      </c>
      <c r="D1526" s="10">
        <v>0.7</v>
      </c>
      <c r="E1526" s="10">
        <v>34</v>
      </c>
    </row>
    <row r="1527" spans="1:5">
      <c r="A1527" t="s">
        <v>2552</v>
      </c>
      <c r="B1527" t="s">
        <v>2553</v>
      </c>
      <c r="C1527" s="10">
        <v>6</v>
      </c>
      <c r="D1527" s="10">
        <v>0.75</v>
      </c>
      <c r="E1527" s="10">
        <v>14.8</v>
      </c>
    </row>
    <row r="1528" spans="1:5">
      <c r="A1528" t="s">
        <v>6657</v>
      </c>
      <c r="B1528" t="s">
        <v>2059</v>
      </c>
      <c r="C1528" s="10">
        <v>12</v>
      </c>
      <c r="D1528" s="10">
        <v>0.5</v>
      </c>
      <c r="E1528" s="10">
        <v>35</v>
      </c>
    </row>
    <row r="1529" spans="1:5">
      <c r="A1529" t="s">
        <v>2058</v>
      </c>
      <c r="B1529" t="s">
        <v>2059</v>
      </c>
      <c r="C1529" s="10">
        <v>6</v>
      </c>
      <c r="D1529" s="10">
        <v>1</v>
      </c>
      <c r="E1529" s="10">
        <v>35</v>
      </c>
    </row>
    <row r="1530" spans="1:5">
      <c r="A1530" t="s">
        <v>9694</v>
      </c>
      <c r="B1530" t="s">
        <v>8579</v>
      </c>
      <c r="C1530" s="10">
        <v>6</v>
      </c>
      <c r="D1530" s="10">
        <v>0.7</v>
      </c>
      <c r="E1530" s="10">
        <v>40</v>
      </c>
    </row>
    <row r="1531" spans="1:5">
      <c r="A1531" t="s">
        <v>9695</v>
      </c>
      <c r="B1531" t="s">
        <v>8580</v>
      </c>
      <c r="C1531" s="10">
        <v>6</v>
      </c>
      <c r="D1531" s="10">
        <v>0.7</v>
      </c>
      <c r="E1531" s="10">
        <v>40.1</v>
      </c>
    </row>
    <row r="1532" spans="1:5">
      <c r="A1532" t="s">
        <v>563</v>
      </c>
      <c r="B1532" t="s">
        <v>564</v>
      </c>
      <c r="C1532" s="10">
        <v>6</v>
      </c>
      <c r="D1532" s="10">
        <v>0.7</v>
      </c>
      <c r="E1532" s="10">
        <v>40</v>
      </c>
    </row>
    <row r="1533" spans="1:5">
      <c r="A1533" t="s">
        <v>9696</v>
      </c>
      <c r="B1533" t="s">
        <v>8581</v>
      </c>
      <c r="C1533" s="10">
        <v>6</v>
      </c>
      <c r="D1533" s="10">
        <v>0.7</v>
      </c>
      <c r="E1533" s="10">
        <v>46</v>
      </c>
    </row>
    <row r="1534" spans="1:5">
      <c r="A1534" t="s">
        <v>9697</v>
      </c>
      <c r="B1534" t="s">
        <v>8582</v>
      </c>
      <c r="C1534" s="10">
        <v>6</v>
      </c>
      <c r="D1534" s="10">
        <v>0.7</v>
      </c>
      <c r="E1534" s="10">
        <v>43.5</v>
      </c>
    </row>
    <row r="1535" spans="1:5">
      <c r="A1535" t="s">
        <v>3822</v>
      </c>
      <c r="B1535" t="s">
        <v>3823</v>
      </c>
      <c r="C1535" s="10">
        <v>6</v>
      </c>
      <c r="D1535" s="10">
        <v>0.7</v>
      </c>
      <c r="E1535" s="10">
        <v>17</v>
      </c>
    </row>
    <row r="1536" spans="1:5">
      <c r="A1536" t="s">
        <v>3824</v>
      </c>
      <c r="B1536" t="s">
        <v>3825</v>
      </c>
      <c r="C1536" s="10">
        <v>6</v>
      </c>
      <c r="D1536" s="10">
        <v>0.7</v>
      </c>
      <c r="E1536" s="10">
        <v>20</v>
      </c>
    </row>
    <row r="1537" spans="1:5">
      <c r="A1537" t="s">
        <v>6158</v>
      </c>
      <c r="B1537" t="s">
        <v>6159</v>
      </c>
      <c r="C1537" s="10">
        <v>1</v>
      </c>
      <c r="D1537" s="10">
        <v>3.8</v>
      </c>
      <c r="E1537" s="10">
        <v>44.36</v>
      </c>
    </row>
    <row r="1538" spans="1:5">
      <c r="A1538" t="s">
        <v>9698</v>
      </c>
      <c r="B1538" t="s">
        <v>8583</v>
      </c>
      <c r="C1538" s="10">
        <v>6</v>
      </c>
      <c r="D1538" s="10">
        <v>0.7</v>
      </c>
      <c r="E1538" s="10">
        <v>40</v>
      </c>
    </row>
    <row r="1539" spans="1:5">
      <c r="A1539" t="s">
        <v>4745</v>
      </c>
      <c r="B1539" t="s">
        <v>4746</v>
      </c>
      <c r="C1539" s="10">
        <v>6</v>
      </c>
      <c r="D1539" s="10">
        <v>0.7</v>
      </c>
      <c r="E1539" s="10">
        <v>45</v>
      </c>
    </row>
    <row r="1540" spans="1:5">
      <c r="A1540" t="s">
        <v>2060</v>
      </c>
      <c r="B1540" t="s">
        <v>2061</v>
      </c>
      <c r="C1540" s="10">
        <v>6</v>
      </c>
      <c r="D1540" s="10">
        <v>1</v>
      </c>
      <c r="E1540" s="10">
        <v>37.5</v>
      </c>
    </row>
    <row r="1541" spans="1:5">
      <c r="A1541" t="s">
        <v>4747</v>
      </c>
      <c r="B1541" t="s">
        <v>8584</v>
      </c>
      <c r="C1541" s="10">
        <v>6</v>
      </c>
      <c r="D1541" s="10">
        <v>0.7</v>
      </c>
      <c r="E1541" s="10">
        <v>45</v>
      </c>
    </row>
    <row r="1542" spans="1:5">
      <c r="A1542" t="s">
        <v>2062</v>
      </c>
      <c r="B1542" t="s">
        <v>2063</v>
      </c>
      <c r="C1542" s="10">
        <v>6</v>
      </c>
      <c r="D1542" s="10">
        <v>1</v>
      </c>
      <c r="E1542" s="10">
        <v>37.5</v>
      </c>
    </row>
    <row r="1543" spans="1:5">
      <c r="A1543" t="s">
        <v>9699</v>
      </c>
      <c r="B1543" t="s">
        <v>8585</v>
      </c>
      <c r="C1543" s="10">
        <v>6</v>
      </c>
      <c r="D1543" s="10">
        <v>0.7</v>
      </c>
      <c r="E1543" s="10">
        <v>42</v>
      </c>
    </row>
    <row r="1544" spans="1:5">
      <c r="A1544" t="s">
        <v>565</v>
      </c>
      <c r="B1544" t="s">
        <v>566</v>
      </c>
      <c r="C1544" s="10">
        <v>6</v>
      </c>
      <c r="D1544" s="10">
        <v>0.7</v>
      </c>
      <c r="E1544" s="10">
        <v>40</v>
      </c>
    </row>
    <row r="1545" spans="1:5">
      <c r="A1545" t="s">
        <v>9700</v>
      </c>
      <c r="B1545" t="s">
        <v>8586</v>
      </c>
      <c r="C1545" s="10">
        <v>6</v>
      </c>
      <c r="D1545" s="10">
        <v>0.7</v>
      </c>
      <c r="E1545" s="10">
        <v>40</v>
      </c>
    </row>
    <row r="1546" spans="1:5">
      <c r="A1546" t="s">
        <v>5430</v>
      </c>
      <c r="B1546" t="s">
        <v>5431</v>
      </c>
      <c r="C1546" s="10">
        <v>6</v>
      </c>
      <c r="D1546" s="10">
        <v>0.7</v>
      </c>
      <c r="E1546" s="10">
        <v>43</v>
      </c>
    </row>
    <row r="1547" spans="1:5">
      <c r="A1547" t="s">
        <v>1792</v>
      </c>
      <c r="B1547" t="s">
        <v>1793</v>
      </c>
      <c r="C1547" s="10">
        <v>6</v>
      </c>
      <c r="D1547" s="10">
        <v>0.5</v>
      </c>
      <c r="E1547" s="10">
        <v>20</v>
      </c>
    </row>
    <row r="1548" spans="1:5">
      <c r="A1548" t="s">
        <v>1794</v>
      </c>
      <c r="B1548" t="s">
        <v>1795</v>
      </c>
      <c r="C1548" s="10">
        <v>6</v>
      </c>
      <c r="D1548" s="10">
        <v>0.5</v>
      </c>
      <c r="E1548" s="10">
        <v>20</v>
      </c>
    </row>
    <row r="1549" spans="1:5">
      <c r="A1549" t="s">
        <v>1796</v>
      </c>
      <c r="B1549" t="s">
        <v>1797</v>
      </c>
      <c r="C1549" s="10">
        <v>6</v>
      </c>
      <c r="D1549" s="10">
        <v>0.5</v>
      </c>
      <c r="E1549" s="10">
        <v>20</v>
      </c>
    </row>
    <row r="1550" spans="1:5">
      <c r="A1550" t="s">
        <v>5432</v>
      </c>
      <c r="B1550" t="s">
        <v>5433</v>
      </c>
      <c r="C1550" s="10">
        <v>6</v>
      </c>
      <c r="D1550" s="10">
        <v>0.7</v>
      </c>
      <c r="E1550" s="10">
        <v>43</v>
      </c>
    </row>
    <row r="1551" spans="1:5">
      <c r="A1551" t="s">
        <v>567</v>
      </c>
      <c r="B1551" t="s">
        <v>568</v>
      </c>
      <c r="C1551" s="10">
        <v>6</v>
      </c>
      <c r="D1551" s="10">
        <v>0.7</v>
      </c>
      <c r="E1551" s="10">
        <v>40</v>
      </c>
    </row>
    <row r="1552" spans="1:5">
      <c r="A1552" t="s">
        <v>9701</v>
      </c>
      <c r="B1552" t="s">
        <v>8587</v>
      </c>
      <c r="C1552" s="10">
        <v>6</v>
      </c>
      <c r="D1552" s="10">
        <v>0.7</v>
      </c>
      <c r="E1552" s="10">
        <v>58.7</v>
      </c>
    </row>
    <row r="1553" spans="1:5">
      <c r="A1553" t="s">
        <v>3826</v>
      </c>
      <c r="B1553" t="s">
        <v>3827</v>
      </c>
      <c r="C1553" s="10">
        <v>6</v>
      </c>
      <c r="D1553" s="10">
        <v>0.7</v>
      </c>
      <c r="E1553" s="10">
        <v>54.8</v>
      </c>
    </row>
    <row r="1554" spans="1:5">
      <c r="A1554" t="s">
        <v>9702</v>
      </c>
      <c r="B1554" t="s">
        <v>8588</v>
      </c>
      <c r="C1554" s="10">
        <v>6</v>
      </c>
      <c r="D1554" s="10">
        <v>0.7</v>
      </c>
      <c r="E1554" s="10">
        <v>55.8</v>
      </c>
    </row>
    <row r="1555" spans="1:5">
      <c r="A1555" t="s">
        <v>6932</v>
      </c>
      <c r="B1555" t="s">
        <v>6933</v>
      </c>
      <c r="C1555" s="10">
        <v>6</v>
      </c>
      <c r="D1555" s="10">
        <v>0.7</v>
      </c>
      <c r="E1555" s="10">
        <v>17</v>
      </c>
    </row>
    <row r="1556" spans="1:5">
      <c r="A1556" t="s">
        <v>6160</v>
      </c>
      <c r="B1556" t="s">
        <v>6161</v>
      </c>
      <c r="C1556" s="10">
        <v>24</v>
      </c>
      <c r="D1556" s="10">
        <v>0.33</v>
      </c>
      <c r="E1556" s="10">
        <v>5</v>
      </c>
    </row>
    <row r="1557" spans="1:5">
      <c r="A1557" t="s">
        <v>3828</v>
      </c>
      <c r="B1557" t="s">
        <v>3829</v>
      </c>
      <c r="C1557" s="10">
        <v>6</v>
      </c>
      <c r="D1557" s="10">
        <v>0.7</v>
      </c>
      <c r="E1557" s="10">
        <v>15</v>
      </c>
    </row>
    <row r="1558" spans="1:5">
      <c r="A1558" t="s">
        <v>569</v>
      </c>
      <c r="B1558" t="s">
        <v>570</v>
      </c>
      <c r="C1558" s="10">
        <v>6</v>
      </c>
      <c r="D1558" s="10">
        <v>0.7</v>
      </c>
      <c r="E1558" s="10">
        <v>40</v>
      </c>
    </row>
    <row r="1559" spans="1:5">
      <c r="A1559" t="s">
        <v>571</v>
      </c>
      <c r="B1559" t="s">
        <v>572</v>
      </c>
      <c r="C1559" s="10">
        <v>6</v>
      </c>
      <c r="D1559" s="10">
        <v>0.7</v>
      </c>
      <c r="E1559" s="10">
        <v>40</v>
      </c>
    </row>
    <row r="1560" spans="1:5">
      <c r="A1560" t="s">
        <v>5434</v>
      </c>
      <c r="B1560" t="s">
        <v>5435</v>
      </c>
      <c r="C1560" s="10">
        <v>6</v>
      </c>
      <c r="D1560" s="10">
        <v>0.7</v>
      </c>
      <c r="E1560" s="10">
        <v>43</v>
      </c>
    </row>
    <row r="1561" spans="1:5">
      <c r="A1561" t="s">
        <v>9703</v>
      </c>
      <c r="B1561" t="s">
        <v>8589</v>
      </c>
      <c r="C1561" s="10">
        <v>6</v>
      </c>
      <c r="D1561" s="10">
        <v>0.7</v>
      </c>
      <c r="E1561" s="10">
        <v>43</v>
      </c>
    </row>
    <row r="1562" spans="1:5">
      <c r="A1562" t="s">
        <v>9704</v>
      </c>
      <c r="B1562" t="s">
        <v>8590</v>
      </c>
      <c r="C1562" s="10">
        <v>6</v>
      </c>
      <c r="D1562" s="10">
        <v>0.7</v>
      </c>
      <c r="E1562" s="10">
        <v>40</v>
      </c>
    </row>
    <row r="1563" spans="1:5">
      <c r="A1563" t="s">
        <v>573</v>
      </c>
      <c r="B1563" t="s">
        <v>574</v>
      </c>
      <c r="C1563" s="10">
        <v>6</v>
      </c>
      <c r="D1563" s="10">
        <v>0.7</v>
      </c>
      <c r="E1563" s="10">
        <v>40</v>
      </c>
    </row>
    <row r="1564" spans="1:5">
      <c r="A1564" t="s">
        <v>9705</v>
      </c>
      <c r="B1564" t="s">
        <v>8591</v>
      </c>
      <c r="C1564" s="10">
        <v>6</v>
      </c>
      <c r="D1564" s="10">
        <v>0.7</v>
      </c>
      <c r="E1564" s="10">
        <v>40</v>
      </c>
    </row>
    <row r="1565" spans="1:5">
      <c r="A1565" t="s">
        <v>5030</v>
      </c>
      <c r="B1565" t="s">
        <v>5031</v>
      </c>
      <c r="C1565" s="10">
        <v>6</v>
      </c>
      <c r="D1565" s="10">
        <v>0.7</v>
      </c>
      <c r="E1565" s="10">
        <v>38</v>
      </c>
    </row>
    <row r="1566" spans="1:5">
      <c r="A1566" t="s">
        <v>5032</v>
      </c>
      <c r="B1566" t="s">
        <v>5033</v>
      </c>
      <c r="C1566" s="10">
        <v>6</v>
      </c>
      <c r="D1566" s="10">
        <v>0.7</v>
      </c>
      <c r="E1566" s="10">
        <v>38</v>
      </c>
    </row>
    <row r="1567" spans="1:5">
      <c r="A1567" t="s">
        <v>9706</v>
      </c>
      <c r="B1567" t="s">
        <v>8592</v>
      </c>
      <c r="C1567" s="10">
        <v>6</v>
      </c>
      <c r="D1567" s="10">
        <v>0.7</v>
      </c>
      <c r="E1567" s="10">
        <v>41.8</v>
      </c>
    </row>
    <row r="1568" spans="1:5">
      <c r="A1568" t="s">
        <v>575</v>
      </c>
      <c r="B1568" t="s">
        <v>576</v>
      </c>
      <c r="C1568" s="10">
        <v>6</v>
      </c>
      <c r="D1568" s="10">
        <v>0.7</v>
      </c>
      <c r="E1568" s="10">
        <v>40</v>
      </c>
    </row>
    <row r="1569" spans="1:5">
      <c r="A1569" t="s">
        <v>3830</v>
      </c>
      <c r="B1569" t="s">
        <v>3831</v>
      </c>
      <c r="C1569" s="10">
        <v>6</v>
      </c>
      <c r="D1569" s="10">
        <v>0.7</v>
      </c>
      <c r="E1569" s="10">
        <v>42.1</v>
      </c>
    </row>
    <row r="1570" spans="1:5">
      <c r="A1570" t="s">
        <v>3832</v>
      </c>
      <c r="B1570" t="s">
        <v>3833</v>
      </c>
      <c r="C1570" s="10">
        <v>6</v>
      </c>
      <c r="D1570" s="10">
        <v>0.7</v>
      </c>
      <c r="E1570" s="10">
        <v>43.4</v>
      </c>
    </row>
    <row r="1571" spans="1:5">
      <c r="A1571" t="s">
        <v>577</v>
      </c>
      <c r="B1571" t="s">
        <v>578</v>
      </c>
      <c r="C1571" s="10">
        <v>6</v>
      </c>
      <c r="D1571" s="10">
        <v>0.7</v>
      </c>
      <c r="E1571" s="10">
        <v>40</v>
      </c>
    </row>
    <row r="1572" spans="1:5">
      <c r="A1572" t="s">
        <v>579</v>
      </c>
      <c r="B1572" t="s">
        <v>580</v>
      </c>
      <c r="C1572" s="10">
        <v>6</v>
      </c>
      <c r="D1572" s="10">
        <v>0.7</v>
      </c>
      <c r="E1572" s="10">
        <v>40</v>
      </c>
    </row>
    <row r="1573" spans="1:5">
      <c r="A1573" t="s">
        <v>581</v>
      </c>
      <c r="B1573" t="s">
        <v>582</v>
      </c>
      <c r="C1573" s="10">
        <v>6</v>
      </c>
      <c r="D1573" s="10">
        <v>0.7</v>
      </c>
      <c r="E1573" s="10">
        <v>40</v>
      </c>
    </row>
    <row r="1574" spans="1:5">
      <c r="A1574" t="s">
        <v>9707</v>
      </c>
      <c r="B1574" t="s">
        <v>8593</v>
      </c>
      <c r="C1574" s="10">
        <v>6</v>
      </c>
      <c r="D1574" s="10">
        <v>0.7</v>
      </c>
      <c r="E1574" s="10">
        <v>40</v>
      </c>
    </row>
    <row r="1575" spans="1:5">
      <c r="A1575" t="s">
        <v>3834</v>
      </c>
      <c r="B1575" t="s">
        <v>3835</v>
      </c>
      <c r="C1575" s="10">
        <v>6</v>
      </c>
      <c r="D1575" s="10">
        <v>0.7</v>
      </c>
      <c r="E1575" s="10">
        <v>47</v>
      </c>
    </row>
    <row r="1576" spans="1:5">
      <c r="A1576" t="s">
        <v>3836</v>
      </c>
      <c r="B1576" t="s">
        <v>3837</v>
      </c>
      <c r="C1576" s="10">
        <v>6</v>
      </c>
      <c r="D1576" s="10">
        <v>0.7</v>
      </c>
      <c r="E1576" s="10">
        <v>60.5</v>
      </c>
    </row>
    <row r="1577" spans="1:5">
      <c r="A1577" t="s">
        <v>6162</v>
      </c>
      <c r="B1577" t="s">
        <v>3837</v>
      </c>
      <c r="C1577" s="10">
        <v>3</v>
      </c>
      <c r="D1577" s="10">
        <v>0.7</v>
      </c>
      <c r="E1577" s="10">
        <v>61.1</v>
      </c>
    </row>
    <row r="1578" spans="1:5">
      <c r="A1578" t="s">
        <v>3838</v>
      </c>
      <c r="B1578" t="s">
        <v>3837</v>
      </c>
      <c r="C1578" s="10">
        <v>6</v>
      </c>
      <c r="D1578" s="10">
        <v>0.7</v>
      </c>
      <c r="E1578" s="10">
        <v>60.1</v>
      </c>
    </row>
    <row r="1579" spans="1:5">
      <c r="A1579" t="s">
        <v>3839</v>
      </c>
      <c r="B1579" t="s">
        <v>3840</v>
      </c>
      <c r="C1579" s="10">
        <v>6</v>
      </c>
      <c r="D1579" s="10">
        <v>0.7</v>
      </c>
      <c r="E1579" s="10">
        <v>47</v>
      </c>
    </row>
    <row r="1580" spans="1:5">
      <c r="A1580" t="s">
        <v>1798</v>
      </c>
      <c r="B1580" t="s">
        <v>1799</v>
      </c>
      <c r="C1580" s="10">
        <v>6</v>
      </c>
      <c r="D1580" s="10">
        <v>0.5</v>
      </c>
      <c r="E1580" s="10">
        <v>12</v>
      </c>
    </row>
    <row r="1581" spans="1:5">
      <c r="A1581" t="s">
        <v>3841</v>
      </c>
      <c r="B1581" t="s">
        <v>3842</v>
      </c>
      <c r="C1581" s="10">
        <v>6</v>
      </c>
      <c r="D1581" s="10">
        <v>0.7</v>
      </c>
      <c r="E1581" s="10">
        <v>37</v>
      </c>
    </row>
    <row r="1582" spans="1:5">
      <c r="A1582" t="s">
        <v>9708</v>
      </c>
      <c r="B1582" t="s">
        <v>8594</v>
      </c>
      <c r="C1582" s="10">
        <v>6</v>
      </c>
      <c r="D1582" s="10">
        <v>1</v>
      </c>
      <c r="E1582" s="10">
        <v>34</v>
      </c>
    </row>
    <row r="1583" spans="1:5">
      <c r="A1583" t="s">
        <v>9709</v>
      </c>
      <c r="B1583" t="s">
        <v>8595</v>
      </c>
      <c r="C1583" s="10">
        <v>6</v>
      </c>
      <c r="D1583" s="10">
        <v>0.7</v>
      </c>
      <c r="E1583" s="10">
        <v>45</v>
      </c>
    </row>
    <row r="1584" spans="1:5">
      <c r="A1584" t="s">
        <v>9710</v>
      </c>
      <c r="B1584" t="s">
        <v>8596</v>
      </c>
      <c r="C1584" s="10">
        <v>6</v>
      </c>
      <c r="D1584" s="10">
        <v>0.7</v>
      </c>
      <c r="E1584" s="10">
        <v>45</v>
      </c>
    </row>
    <row r="1585" spans="1:5">
      <c r="A1585" t="s">
        <v>3843</v>
      </c>
      <c r="B1585" t="s">
        <v>3844</v>
      </c>
      <c r="C1585" s="10">
        <v>6</v>
      </c>
      <c r="D1585" s="10">
        <v>0.7</v>
      </c>
      <c r="E1585" s="10">
        <v>41.3</v>
      </c>
    </row>
    <row r="1586" spans="1:5">
      <c r="A1586" t="s">
        <v>2064</v>
      </c>
      <c r="B1586" t="s">
        <v>2065</v>
      </c>
      <c r="C1586" s="10">
        <v>6</v>
      </c>
      <c r="D1586" s="10">
        <v>1</v>
      </c>
      <c r="E1586" s="10">
        <v>8.5</v>
      </c>
    </row>
    <row r="1587" spans="1:5">
      <c r="A1587" t="s">
        <v>3845</v>
      </c>
      <c r="B1587" t="s">
        <v>3846</v>
      </c>
      <c r="C1587" s="10">
        <v>6</v>
      </c>
      <c r="D1587" s="10">
        <v>0.7</v>
      </c>
      <c r="E1587" s="10">
        <v>42</v>
      </c>
    </row>
    <row r="1588" spans="1:5">
      <c r="A1588" t="s">
        <v>1800</v>
      </c>
      <c r="B1588" t="s">
        <v>1801</v>
      </c>
      <c r="C1588" s="10">
        <v>6</v>
      </c>
      <c r="D1588" s="10">
        <v>0.5</v>
      </c>
      <c r="E1588" s="10">
        <v>42</v>
      </c>
    </row>
    <row r="1589" spans="1:5">
      <c r="A1589" t="s">
        <v>1802</v>
      </c>
      <c r="B1589" t="s">
        <v>1803</v>
      </c>
      <c r="C1589" s="10">
        <v>6</v>
      </c>
      <c r="D1589" s="10">
        <v>0.5</v>
      </c>
      <c r="E1589" s="10">
        <v>42</v>
      </c>
    </row>
    <row r="1590" spans="1:5">
      <c r="A1590" t="s">
        <v>9711</v>
      </c>
      <c r="B1590" t="s">
        <v>8597</v>
      </c>
      <c r="C1590" s="10">
        <v>6</v>
      </c>
      <c r="D1590" s="10">
        <v>0.7</v>
      </c>
      <c r="E1590" s="10">
        <v>40</v>
      </c>
    </row>
    <row r="1591" spans="1:5">
      <c r="A1591" t="s">
        <v>3847</v>
      </c>
      <c r="B1591" t="s">
        <v>3848</v>
      </c>
      <c r="C1591" s="10">
        <v>6</v>
      </c>
      <c r="D1591" s="10">
        <v>0.7</v>
      </c>
      <c r="E1591" s="10">
        <v>18</v>
      </c>
    </row>
    <row r="1592" spans="1:5">
      <c r="A1592" t="s">
        <v>3849</v>
      </c>
      <c r="B1592" t="s">
        <v>2067</v>
      </c>
      <c r="C1592" s="10">
        <v>6</v>
      </c>
      <c r="D1592" s="10">
        <v>0.7</v>
      </c>
      <c r="E1592" s="10">
        <v>18</v>
      </c>
    </row>
    <row r="1593" spans="1:5">
      <c r="A1593" t="s">
        <v>2066</v>
      </c>
      <c r="B1593" t="s">
        <v>2067</v>
      </c>
      <c r="C1593" s="10">
        <v>6</v>
      </c>
      <c r="D1593" s="10">
        <v>1</v>
      </c>
      <c r="E1593" s="10">
        <v>18</v>
      </c>
    </row>
    <row r="1594" spans="1:5">
      <c r="A1594" t="s">
        <v>6163</v>
      </c>
      <c r="B1594" t="s">
        <v>1656</v>
      </c>
      <c r="C1594" s="10">
        <v>24</v>
      </c>
      <c r="D1594" s="10">
        <v>0.2</v>
      </c>
      <c r="E1594" s="10">
        <v>37.5</v>
      </c>
    </row>
    <row r="1595" spans="1:5">
      <c r="A1595" t="s">
        <v>4856</v>
      </c>
      <c r="B1595" t="s">
        <v>1656</v>
      </c>
      <c r="C1595" s="10">
        <v>6</v>
      </c>
      <c r="D1595" s="10">
        <v>0.7</v>
      </c>
      <c r="E1595" s="10">
        <v>37.5</v>
      </c>
    </row>
    <row r="1596" spans="1:5">
      <c r="A1596" t="s">
        <v>2068</v>
      </c>
      <c r="B1596" t="s">
        <v>1656</v>
      </c>
      <c r="C1596" s="10">
        <v>6</v>
      </c>
      <c r="D1596" s="10">
        <v>1</v>
      </c>
      <c r="E1596" s="10">
        <v>37.5</v>
      </c>
    </row>
    <row r="1597" spans="1:5">
      <c r="A1597" t="s">
        <v>5786</v>
      </c>
      <c r="B1597" t="s">
        <v>583</v>
      </c>
      <c r="C1597" s="10">
        <v>12</v>
      </c>
      <c r="D1597" s="10">
        <v>0.2</v>
      </c>
      <c r="E1597" s="10">
        <v>40</v>
      </c>
    </row>
    <row r="1598" spans="1:5">
      <c r="A1598" t="s">
        <v>1570</v>
      </c>
      <c r="B1598" t="s">
        <v>583</v>
      </c>
      <c r="C1598" s="10">
        <v>6</v>
      </c>
      <c r="D1598" s="10">
        <v>0.5</v>
      </c>
      <c r="E1598" s="10">
        <v>40</v>
      </c>
    </row>
    <row r="1599" spans="1:5">
      <c r="A1599" t="s">
        <v>9712</v>
      </c>
      <c r="B1599" t="s">
        <v>583</v>
      </c>
      <c r="C1599" s="10">
        <v>6</v>
      </c>
      <c r="D1599" s="10">
        <v>0.7</v>
      </c>
      <c r="E1599" s="10">
        <v>40</v>
      </c>
    </row>
    <row r="1600" spans="1:5">
      <c r="A1600" t="s">
        <v>1443</v>
      </c>
      <c r="B1600" t="s">
        <v>583</v>
      </c>
      <c r="C1600" s="10">
        <v>6</v>
      </c>
      <c r="D1600" s="10">
        <v>1</v>
      </c>
      <c r="E1600" s="10">
        <v>40</v>
      </c>
    </row>
    <row r="1601" spans="1:5">
      <c r="A1601" t="s">
        <v>584</v>
      </c>
      <c r="B1601" t="s">
        <v>585</v>
      </c>
      <c r="C1601" s="10">
        <v>6</v>
      </c>
      <c r="D1601" s="10">
        <v>0.7</v>
      </c>
      <c r="E1601" s="10">
        <v>40</v>
      </c>
    </row>
    <row r="1602" spans="1:5">
      <c r="A1602" t="s">
        <v>9713</v>
      </c>
      <c r="B1602" t="s">
        <v>8598</v>
      </c>
      <c r="C1602" s="10">
        <v>6</v>
      </c>
      <c r="D1602" s="10">
        <v>0.7</v>
      </c>
      <c r="E1602" s="10">
        <v>40</v>
      </c>
    </row>
    <row r="1603" spans="1:5">
      <c r="A1603" t="s">
        <v>9714</v>
      </c>
      <c r="B1603" t="s">
        <v>8599</v>
      </c>
      <c r="C1603" s="10">
        <v>6</v>
      </c>
      <c r="D1603" s="10">
        <v>0.7</v>
      </c>
      <c r="E1603" s="10">
        <v>40</v>
      </c>
    </row>
    <row r="1604" spans="1:5">
      <c r="A1604" t="s">
        <v>2554</v>
      </c>
      <c r="B1604" t="s">
        <v>2555</v>
      </c>
      <c r="C1604" s="10">
        <v>6</v>
      </c>
      <c r="D1604" s="10">
        <v>0.75</v>
      </c>
      <c r="E1604" s="10">
        <v>14</v>
      </c>
    </row>
    <row r="1605" spans="1:5">
      <c r="A1605" t="s">
        <v>2556</v>
      </c>
      <c r="B1605" t="s">
        <v>2557</v>
      </c>
      <c r="C1605" s="10">
        <v>6</v>
      </c>
      <c r="D1605" s="10">
        <v>0.75</v>
      </c>
      <c r="E1605" s="10">
        <v>14</v>
      </c>
    </row>
    <row r="1606" spans="1:5">
      <c r="A1606" t="s">
        <v>4857</v>
      </c>
      <c r="B1606" t="s">
        <v>4858</v>
      </c>
      <c r="C1606" s="10">
        <v>6</v>
      </c>
      <c r="D1606" s="10">
        <v>0.7</v>
      </c>
      <c r="E1606" s="10">
        <v>37.5</v>
      </c>
    </row>
    <row r="1607" spans="1:5">
      <c r="A1607" t="s">
        <v>4859</v>
      </c>
      <c r="B1607" t="s">
        <v>4860</v>
      </c>
      <c r="C1607" s="10">
        <v>6</v>
      </c>
      <c r="D1607" s="10">
        <v>0.7</v>
      </c>
      <c r="E1607" s="10">
        <v>37.5</v>
      </c>
    </row>
    <row r="1608" spans="1:5">
      <c r="A1608" t="s">
        <v>5436</v>
      </c>
      <c r="B1608" t="s">
        <v>5437</v>
      </c>
      <c r="C1608" s="10">
        <v>6</v>
      </c>
      <c r="D1608" s="10">
        <v>0.7</v>
      </c>
      <c r="E1608" s="10">
        <v>43</v>
      </c>
    </row>
    <row r="1609" spans="1:5">
      <c r="A1609" t="s">
        <v>5438</v>
      </c>
      <c r="B1609" t="s">
        <v>5439</v>
      </c>
      <c r="C1609" s="10">
        <v>6</v>
      </c>
      <c r="D1609" s="10">
        <v>0.7</v>
      </c>
      <c r="E1609" s="10">
        <v>43</v>
      </c>
    </row>
    <row r="1610" spans="1:5">
      <c r="A1610" t="s">
        <v>5440</v>
      </c>
      <c r="B1610" t="s">
        <v>5441</v>
      </c>
      <c r="C1610" s="10">
        <v>6</v>
      </c>
      <c r="D1610" s="10">
        <v>0.7</v>
      </c>
      <c r="E1610" s="10">
        <v>43</v>
      </c>
    </row>
    <row r="1611" spans="1:5">
      <c r="A1611" t="s">
        <v>4748</v>
      </c>
      <c r="B1611" t="s">
        <v>4749</v>
      </c>
      <c r="C1611" s="10">
        <v>6</v>
      </c>
      <c r="D1611" s="10">
        <v>0.7</v>
      </c>
      <c r="E1611" s="10">
        <v>45</v>
      </c>
    </row>
    <row r="1612" spans="1:5">
      <c r="A1612" t="s">
        <v>6658</v>
      </c>
      <c r="B1612" t="s">
        <v>6164</v>
      </c>
      <c r="C1612" s="10">
        <v>12</v>
      </c>
      <c r="D1612" s="10">
        <v>0.2</v>
      </c>
      <c r="E1612" s="10">
        <v>80</v>
      </c>
    </row>
    <row r="1613" spans="1:5">
      <c r="A1613" t="s">
        <v>9715</v>
      </c>
      <c r="B1613" t="s">
        <v>6164</v>
      </c>
      <c r="C1613" s="10">
        <v>8</v>
      </c>
      <c r="D1613" s="10">
        <v>0.5</v>
      </c>
      <c r="E1613" s="10">
        <v>80</v>
      </c>
    </row>
    <row r="1614" spans="1:5">
      <c r="A1614" t="s">
        <v>6165</v>
      </c>
      <c r="B1614" t="s">
        <v>6166</v>
      </c>
      <c r="C1614" s="10">
        <v>10</v>
      </c>
      <c r="D1614" s="10">
        <v>0.2</v>
      </c>
      <c r="E1614" s="10">
        <v>72.5</v>
      </c>
    </row>
    <row r="1615" spans="1:5">
      <c r="A1615" t="s">
        <v>6167</v>
      </c>
      <c r="B1615" t="s">
        <v>6168</v>
      </c>
      <c r="C1615" s="10">
        <v>35</v>
      </c>
      <c r="D1615" s="10">
        <v>0.05</v>
      </c>
      <c r="E1615" s="10">
        <v>70</v>
      </c>
    </row>
    <row r="1616" spans="1:5">
      <c r="A1616" t="s">
        <v>6659</v>
      </c>
      <c r="B1616" t="s">
        <v>6168</v>
      </c>
      <c r="C1616" s="10">
        <v>12</v>
      </c>
      <c r="D1616" s="10">
        <v>0.2</v>
      </c>
      <c r="E1616" s="10">
        <v>70</v>
      </c>
    </row>
    <row r="1617" spans="1:5">
      <c r="A1617" t="s">
        <v>9716</v>
      </c>
      <c r="B1617" t="s">
        <v>6168</v>
      </c>
      <c r="C1617" s="10">
        <v>8</v>
      </c>
      <c r="D1617" s="10">
        <v>0.5</v>
      </c>
      <c r="E1617" s="10">
        <v>70</v>
      </c>
    </row>
    <row r="1618" spans="1:5">
      <c r="A1618" t="s">
        <v>9717</v>
      </c>
      <c r="B1618" t="s">
        <v>5787</v>
      </c>
      <c r="C1618" s="10">
        <v>12</v>
      </c>
      <c r="D1618" s="10">
        <v>0.1</v>
      </c>
      <c r="E1618" s="10">
        <v>40</v>
      </c>
    </row>
    <row r="1619" spans="1:5">
      <c r="A1619" t="s">
        <v>5788</v>
      </c>
      <c r="B1619" t="s">
        <v>5787</v>
      </c>
      <c r="C1619" s="10">
        <v>12</v>
      </c>
      <c r="D1619" s="10">
        <v>0.2</v>
      </c>
      <c r="E1619" s="10">
        <v>40</v>
      </c>
    </row>
    <row r="1620" spans="1:5">
      <c r="A1620" t="s">
        <v>9718</v>
      </c>
      <c r="B1620" t="s">
        <v>5787</v>
      </c>
      <c r="C1620" s="10">
        <v>8</v>
      </c>
      <c r="D1620" s="10">
        <v>0.5</v>
      </c>
      <c r="E1620" s="10">
        <v>40</v>
      </c>
    </row>
    <row r="1621" spans="1:5">
      <c r="A1621" t="s">
        <v>6169</v>
      </c>
      <c r="B1621" t="s">
        <v>6170</v>
      </c>
      <c r="C1621" s="10">
        <v>35</v>
      </c>
      <c r="D1621" s="10">
        <v>0.05</v>
      </c>
      <c r="E1621" s="10">
        <v>38</v>
      </c>
    </row>
    <row r="1622" spans="1:5">
      <c r="A1622" t="s">
        <v>6660</v>
      </c>
      <c r="B1622" t="s">
        <v>6170</v>
      </c>
      <c r="C1622" s="10">
        <v>12</v>
      </c>
      <c r="D1622" s="10">
        <v>0.1</v>
      </c>
      <c r="E1622" s="10">
        <v>38</v>
      </c>
    </row>
    <row r="1623" spans="1:5">
      <c r="A1623" t="s">
        <v>6661</v>
      </c>
      <c r="B1623" t="s">
        <v>6170</v>
      </c>
      <c r="C1623" s="10">
        <v>12</v>
      </c>
      <c r="D1623" s="10">
        <v>0.2</v>
      </c>
      <c r="E1623" s="10">
        <v>38</v>
      </c>
    </row>
    <row r="1624" spans="1:5">
      <c r="A1624" t="s">
        <v>9719</v>
      </c>
      <c r="B1624" t="s">
        <v>6170</v>
      </c>
      <c r="C1624" s="10">
        <v>9</v>
      </c>
      <c r="D1624" s="10">
        <v>0.5</v>
      </c>
      <c r="E1624" s="10">
        <v>38</v>
      </c>
    </row>
    <row r="1625" spans="1:5">
      <c r="A1625" t="s">
        <v>9720</v>
      </c>
      <c r="B1625" t="s">
        <v>5790</v>
      </c>
      <c r="C1625" s="10">
        <v>72</v>
      </c>
      <c r="D1625" s="10">
        <v>0.04</v>
      </c>
      <c r="E1625" s="10">
        <v>40</v>
      </c>
    </row>
    <row r="1626" spans="1:5">
      <c r="A1626" t="s">
        <v>5789</v>
      </c>
      <c r="B1626" t="s">
        <v>5790</v>
      </c>
      <c r="C1626" s="10">
        <v>12</v>
      </c>
      <c r="D1626" s="10">
        <v>0.1</v>
      </c>
      <c r="E1626" s="10">
        <v>40</v>
      </c>
    </row>
    <row r="1627" spans="1:5">
      <c r="A1627" t="s">
        <v>9721</v>
      </c>
      <c r="B1627" t="s">
        <v>5790</v>
      </c>
      <c r="C1627" s="10">
        <v>12</v>
      </c>
      <c r="D1627" s="10">
        <v>0.2</v>
      </c>
      <c r="E1627" s="10">
        <v>40</v>
      </c>
    </row>
    <row r="1628" spans="1:5">
      <c r="A1628" t="s">
        <v>5909</v>
      </c>
      <c r="B1628" t="s">
        <v>5790</v>
      </c>
      <c r="C1628" s="10">
        <v>9</v>
      </c>
      <c r="D1628" s="10">
        <v>0.5</v>
      </c>
      <c r="E1628" s="10">
        <v>40</v>
      </c>
    </row>
    <row r="1629" spans="1:5">
      <c r="A1629" t="s">
        <v>6662</v>
      </c>
      <c r="B1629" t="s">
        <v>2069</v>
      </c>
      <c r="C1629" s="10">
        <v>12</v>
      </c>
      <c r="D1629" s="10">
        <v>0.7</v>
      </c>
      <c r="E1629" s="10">
        <v>43</v>
      </c>
    </row>
    <row r="1630" spans="1:5">
      <c r="A1630" t="s">
        <v>5442</v>
      </c>
      <c r="B1630" t="s">
        <v>2069</v>
      </c>
      <c r="C1630" s="10">
        <v>6</v>
      </c>
      <c r="D1630" s="10">
        <v>0.7</v>
      </c>
      <c r="E1630" s="10">
        <v>43</v>
      </c>
    </row>
    <row r="1631" spans="1:5">
      <c r="A1631" t="s">
        <v>9722</v>
      </c>
      <c r="B1631" t="s">
        <v>2069</v>
      </c>
      <c r="C1631" s="10">
        <v>6</v>
      </c>
      <c r="D1631" s="10">
        <v>1</v>
      </c>
      <c r="E1631" s="10">
        <v>43</v>
      </c>
    </row>
    <row r="1632" spans="1:5">
      <c r="A1632" t="s">
        <v>6818</v>
      </c>
      <c r="B1632" t="s">
        <v>2069</v>
      </c>
      <c r="C1632" s="10">
        <v>12</v>
      </c>
      <c r="D1632" s="10">
        <v>1</v>
      </c>
      <c r="E1632" s="10">
        <v>43</v>
      </c>
    </row>
    <row r="1633" spans="1:5">
      <c r="A1633" t="s">
        <v>9723</v>
      </c>
      <c r="B1633" t="s">
        <v>8600</v>
      </c>
      <c r="C1633" s="10">
        <v>12</v>
      </c>
      <c r="D1633" s="10">
        <v>0.7</v>
      </c>
      <c r="E1633" s="10">
        <v>35</v>
      </c>
    </row>
    <row r="1634" spans="1:5">
      <c r="A1634" t="s">
        <v>3850</v>
      </c>
      <c r="B1634" t="s">
        <v>3851</v>
      </c>
      <c r="C1634" s="10">
        <v>6</v>
      </c>
      <c r="D1634" s="10">
        <v>0.7</v>
      </c>
      <c r="E1634" s="10">
        <v>43.3</v>
      </c>
    </row>
    <row r="1635" spans="1:5">
      <c r="A1635" t="s">
        <v>3852</v>
      </c>
      <c r="B1635" t="s">
        <v>3853</v>
      </c>
      <c r="C1635" s="10">
        <v>6</v>
      </c>
      <c r="D1635" s="10">
        <v>0.7</v>
      </c>
      <c r="E1635" s="10">
        <v>49.5</v>
      </c>
    </row>
    <row r="1636" spans="1:5">
      <c r="A1636" t="s">
        <v>586</v>
      </c>
      <c r="B1636" t="s">
        <v>587</v>
      </c>
      <c r="C1636" s="10">
        <v>6</v>
      </c>
      <c r="D1636" s="10">
        <v>0.7</v>
      </c>
      <c r="E1636" s="10">
        <v>40</v>
      </c>
    </row>
    <row r="1637" spans="1:5">
      <c r="A1637" t="s">
        <v>4750</v>
      </c>
      <c r="B1637" t="s">
        <v>4751</v>
      </c>
      <c r="C1637" s="10">
        <v>6</v>
      </c>
      <c r="D1637" s="10">
        <v>0.7</v>
      </c>
      <c r="E1637" s="10">
        <v>45</v>
      </c>
    </row>
    <row r="1638" spans="1:5">
      <c r="A1638" t="s">
        <v>9724</v>
      </c>
      <c r="B1638" t="s">
        <v>8601</v>
      </c>
      <c r="C1638" s="10">
        <v>6</v>
      </c>
      <c r="D1638" s="10">
        <v>0.7</v>
      </c>
      <c r="E1638" s="10">
        <v>38</v>
      </c>
    </row>
    <row r="1639" spans="1:5">
      <c r="A1639" t="s">
        <v>9725</v>
      </c>
      <c r="B1639" t="s">
        <v>8602</v>
      </c>
      <c r="C1639" s="10">
        <v>6</v>
      </c>
      <c r="D1639" s="10">
        <v>0.75</v>
      </c>
      <c r="E1639" s="10">
        <v>13.5</v>
      </c>
    </row>
    <row r="1640" spans="1:5">
      <c r="A1640" t="s">
        <v>2558</v>
      </c>
      <c r="B1640" t="s">
        <v>2559</v>
      </c>
      <c r="C1640" s="10">
        <v>6</v>
      </c>
      <c r="D1640" s="10">
        <v>0.75</v>
      </c>
      <c r="E1640" s="10">
        <v>13.5</v>
      </c>
    </row>
    <row r="1641" spans="1:5">
      <c r="A1641" t="s">
        <v>3854</v>
      </c>
      <c r="B1641" t="s">
        <v>3855</v>
      </c>
      <c r="C1641" s="10">
        <v>6</v>
      </c>
      <c r="D1641" s="10">
        <v>0.7</v>
      </c>
      <c r="E1641" s="10">
        <v>40.200000000000003</v>
      </c>
    </row>
    <row r="1642" spans="1:5">
      <c r="A1642" t="s">
        <v>6171</v>
      </c>
      <c r="B1642" t="s">
        <v>6172</v>
      </c>
      <c r="C1642" s="10">
        <v>1</v>
      </c>
      <c r="D1642" s="10">
        <v>1.5</v>
      </c>
      <c r="E1642" s="10">
        <v>40.6</v>
      </c>
    </row>
    <row r="1643" spans="1:5">
      <c r="A1643" t="s">
        <v>3856</v>
      </c>
      <c r="B1643" t="s">
        <v>3857</v>
      </c>
      <c r="C1643" s="10">
        <v>6</v>
      </c>
      <c r="D1643" s="10">
        <v>0.7</v>
      </c>
      <c r="E1643" s="10">
        <v>40.6</v>
      </c>
    </row>
    <row r="1644" spans="1:5">
      <c r="A1644" t="s">
        <v>6663</v>
      </c>
      <c r="B1644" t="s">
        <v>6664</v>
      </c>
      <c r="C1644" s="10">
        <v>12</v>
      </c>
      <c r="D1644" s="10">
        <v>0.05</v>
      </c>
      <c r="E1644" s="10">
        <v>40.6</v>
      </c>
    </row>
    <row r="1645" spans="1:5">
      <c r="A1645" t="s">
        <v>6173</v>
      </c>
      <c r="B1645" t="s">
        <v>6174</v>
      </c>
      <c r="C1645" s="10">
        <v>1</v>
      </c>
      <c r="D1645" s="10">
        <v>1.5</v>
      </c>
      <c r="E1645" s="10">
        <v>41.3</v>
      </c>
    </row>
    <row r="1646" spans="1:5">
      <c r="A1646" t="s">
        <v>3858</v>
      </c>
      <c r="B1646" t="s">
        <v>3859</v>
      </c>
      <c r="C1646" s="10">
        <v>6</v>
      </c>
      <c r="D1646" s="10">
        <v>0.7</v>
      </c>
      <c r="E1646" s="10">
        <v>41.3</v>
      </c>
    </row>
    <row r="1647" spans="1:5">
      <c r="A1647" t="s">
        <v>6665</v>
      </c>
      <c r="B1647" t="s">
        <v>6666</v>
      </c>
      <c r="C1647" s="10">
        <v>12</v>
      </c>
      <c r="D1647" s="10">
        <v>0.05</v>
      </c>
      <c r="E1647" s="10">
        <v>41.3</v>
      </c>
    </row>
    <row r="1648" spans="1:5">
      <c r="A1648" t="s">
        <v>5910</v>
      </c>
      <c r="B1648" t="s">
        <v>589</v>
      </c>
      <c r="C1648" s="10">
        <v>120</v>
      </c>
      <c r="D1648" s="10">
        <v>0.05</v>
      </c>
      <c r="E1648" s="10">
        <v>40</v>
      </c>
    </row>
    <row r="1649" spans="1:5">
      <c r="A1649" t="s">
        <v>588</v>
      </c>
      <c r="B1649" t="s">
        <v>589</v>
      </c>
      <c r="C1649" s="10">
        <v>6</v>
      </c>
      <c r="D1649" s="10">
        <v>0.7</v>
      </c>
      <c r="E1649" s="10">
        <v>40</v>
      </c>
    </row>
    <row r="1650" spans="1:5">
      <c r="A1650" t="s">
        <v>1444</v>
      </c>
      <c r="B1650" t="s">
        <v>589</v>
      </c>
      <c r="C1650" s="10">
        <v>6</v>
      </c>
      <c r="D1650" s="10">
        <v>1</v>
      </c>
      <c r="E1650" s="10">
        <v>40</v>
      </c>
    </row>
    <row r="1651" spans="1:5">
      <c r="A1651" t="s">
        <v>1571</v>
      </c>
      <c r="B1651" t="s">
        <v>589</v>
      </c>
      <c r="C1651" s="10">
        <v>6</v>
      </c>
      <c r="D1651" s="10">
        <v>1.5</v>
      </c>
      <c r="E1651" s="10">
        <v>40</v>
      </c>
    </row>
    <row r="1652" spans="1:5">
      <c r="A1652" t="s">
        <v>9726</v>
      </c>
      <c r="B1652" t="s">
        <v>8603</v>
      </c>
      <c r="C1652" s="10">
        <v>6</v>
      </c>
      <c r="D1652" s="10">
        <v>0.7</v>
      </c>
      <c r="E1652" s="10">
        <v>40</v>
      </c>
    </row>
    <row r="1653" spans="1:5">
      <c r="A1653" t="s">
        <v>590</v>
      </c>
      <c r="B1653" t="s">
        <v>591</v>
      </c>
      <c r="C1653" s="10">
        <v>6</v>
      </c>
      <c r="D1653" s="10">
        <v>0.7</v>
      </c>
      <c r="E1653" s="10">
        <v>40</v>
      </c>
    </row>
    <row r="1654" spans="1:5">
      <c r="A1654" t="s">
        <v>5704</v>
      </c>
      <c r="B1654" t="s">
        <v>591</v>
      </c>
      <c r="C1654" s="10">
        <v>12</v>
      </c>
      <c r="D1654" s="10">
        <v>1</v>
      </c>
      <c r="E1654" s="10">
        <v>40</v>
      </c>
    </row>
    <row r="1655" spans="1:5">
      <c r="A1655" t="s">
        <v>592</v>
      </c>
      <c r="B1655" t="s">
        <v>593</v>
      </c>
      <c r="C1655" s="10">
        <v>6</v>
      </c>
      <c r="D1655" s="10">
        <v>0.7</v>
      </c>
      <c r="E1655" s="10">
        <v>40</v>
      </c>
    </row>
    <row r="1656" spans="1:5">
      <c r="A1656" t="s">
        <v>5705</v>
      </c>
      <c r="B1656" t="s">
        <v>593</v>
      </c>
      <c r="C1656" s="10">
        <v>12</v>
      </c>
      <c r="D1656" s="10">
        <v>1</v>
      </c>
      <c r="E1656" s="10">
        <v>40</v>
      </c>
    </row>
    <row r="1657" spans="1:5">
      <c r="A1657" t="s">
        <v>594</v>
      </c>
      <c r="B1657" t="s">
        <v>595</v>
      </c>
      <c r="C1657" s="10">
        <v>6</v>
      </c>
      <c r="D1657" s="10">
        <v>0.7</v>
      </c>
      <c r="E1657" s="10">
        <v>40</v>
      </c>
    </row>
    <row r="1658" spans="1:5">
      <c r="A1658" t="s">
        <v>5706</v>
      </c>
      <c r="B1658" t="s">
        <v>595</v>
      </c>
      <c r="C1658" s="10">
        <v>12</v>
      </c>
      <c r="D1658" s="10">
        <v>1</v>
      </c>
      <c r="E1658" s="10">
        <v>40</v>
      </c>
    </row>
    <row r="1659" spans="1:5">
      <c r="A1659" t="s">
        <v>6667</v>
      </c>
      <c r="B1659" t="s">
        <v>6668</v>
      </c>
      <c r="C1659" s="10">
        <v>12</v>
      </c>
      <c r="D1659" s="10">
        <v>275</v>
      </c>
      <c r="E1659" s="10">
        <v>0</v>
      </c>
    </row>
    <row r="1660" spans="1:5">
      <c r="A1660" t="s">
        <v>6669</v>
      </c>
      <c r="B1660" t="s">
        <v>6670</v>
      </c>
      <c r="C1660" s="10">
        <v>12</v>
      </c>
      <c r="D1660" s="10">
        <v>275</v>
      </c>
      <c r="E1660" s="10">
        <v>0</v>
      </c>
    </row>
    <row r="1661" spans="1:5">
      <c r="A1661" t="s">
        <v>6671</v>
      </c>
      <c r="B1661" t="s">
        <v>6672</v>
      </c>
      <c r="C1661" s="10">
        <v>12</v>
      </c>
      <c r="D1661" s="10">
        <v>275</v>
      </c>
      <c r="E1661" s="10">
        <v>0</v>
      </c>
    </row>
    <row r="1662" spans="1:5">
      <c r="A1662" t="s">
        <v>6175</v>
      </c>
      <c r="B1662" t="s">
        <v>6176</v>
      </c>
      <c r="C1662" s="10">
        <v>24</v>
      </c>
      <c r="D1662" s="10">
        <v>0.2</v>
      </c>
      <c r="E1662" s="10">
        <v>0</v>
      </c>
    </row>
    <row r="1663" spans="1:5">
      <c r="A1663" t="s">
        <v>9727</v>
      </c>
      <c r="B1663" t="s">
        <v>8604</v>
      </c>
      <c r="C1663" s="10">
        <v>6</v>
      </c>
      <c r="D1663" s="10">
        <v>0.7</v>
      </c>
      <c r="E1663" s="10">
        <v>46</v>
      </c>
    </row>
    <row r="1664" spans="1:5">
      <c r="A1664" t="s">
        <v>9728</v>
      </c>
      <c r="B1664" t="s">
        <v>8605</v>
      </c>
      <c r="C1664" s="10">
        <v>6</v>
      </c>
      <c r="D1664" s="10">
        <v>0.7</v>
      </c>
      <c r="E1664" s="10">
        <v>40</v>
      </c>
    </row>
    <row r="1665" spans="1:5">
      <c r="A1665" t="s">
        <v>9729</v>
      </c>
      <c r="B1665" t="s">
        <v>8606</v>
      </c>
      <c r="C1665" s="10">
        <v>6</v>
      </c>
      <c r="D1665" s="10">
        <v>0.7</v>
      </c>
      <c r="E1665" s="10">
        <v>46</v>
      </c>
    </row>
    <row r="1666" spans="1:5">
      <c r="A1666" t="s">
        <v>5443</v>
      </c>
      <c r="B1666" t="s">
        <v>5444</v>
      </c>
      <c r="C1666" s="10">
        <v>6</v>
      </c>
      <c r="D1666" s="10">
        <v>0.7</v>
      </c>
      <c r="E1666" s="10">
        <v>43</v>
      </c>
    </row>
    <row r="1667" spans="1:5">
      <c r="A1667" t="s">
        <v>9730</v>
      </c>
      <c r="B1667" t="s">
        <v>8607</v>
      </c>
      <c r="C1667" s="10">
        <v>6</v>
      </c>
      <c r="D1667" s="10">
        <v>0.5</v>
      </c>
      <c r="E1667" s="10">
        <v>66.599999999999994</v>
      </c>
    </row>
    <row r="1668" spans="1:5">
      <c r="A1668" t="s">
        <v>9731</v>
      </c>
      <c r="B1668" t="s">
        <v>2070</v>
      </c>
      <c r="C1668" s="10">
        <v>80</v>
      </c>
      <c r="D1668" s="10">
        <v>0.02</v>
      </c>
      <c r="E1668" s="10">
        <v>39</v>
      </c>
    </row>
    <row r="1669" spans="1:5">
      <c r="A1669" t="s">
        <v>3860</v>
      </c>
      <c r="B1669" t="s">
        <v>2070</v>
      </c>
      <c r="C1669" s="10">
        <v>6</v>
      </c>
      <c r="D1669" s="10">
        <v>0.7</v>
      </c>
      <c r="E1669" s="10">
        <v>35</v>
      </c>
    </row>
    <row r="1670" spans="1:5">
      <c r="A1670" t="s">
        <v>3861</v>
      </c>
      <c r="B1670" t="s">
        <v>2070</v>
      </c>
      <c r="C1670" s="10">
        <v>6</v>
      </c>
      <c r="D1670" s="10">
        <v>0.7</v>
      </c>
      <c r="E1670" s="10">
        <v>39</v>
      </c>
    </row>
    <row r="1671" spans="1:5">
      <c r="A1671" t="s">
        <v>9732</v>
      </c>
      <c r="B1671" t="s">
        <v>2070</v>
      </c>
      <c r="C1671" s="10">
        <v>6</v>
      </c>
      <c r="D1671" s="10">
        <v>1</v>
      </c>
      <c r="E1671" s="10">
        <v>39</v>
      </c>
    </row>
    <row r="1672" spans="1:5">
      <c r="A1672" t="s">
        <v>2071</v>
      </c>
      <c r="B1672" t="s">
        <v>2070</v>
      </c>
      <c r="C1672" s="10">
        <v>6</v>
      </c>
      <c r="D1672" s="10">
        <v>1</v>
      </c>
      <c r="E1672" s="10">
        <v>35</v>
      </c>
    </row>
    <row r="1673" spans="1:5">
      <c r="A1673" t="s">
        <v>2072</v>
      </c>
      <c r="B1673" t="s">
        <v>2070</v>
      </c>
      <c r="C1673" s="10">
        <v>6</v>
      </c>
      <c r="D1673" s="10">
        <v>1</v>
      </c>
      <c r="E1673" s="10">
        <v>35</v>
      </c>
    </row>
    <row r="1674" spans="1:5">
      <c r="A1674" t="s">
        <v>3862</v>
      </c>
      <c r="B1674" t="s">
        <v>2074</v>
      </c>
      <c r="C1674" s="10">
        <v>6</v>
      </c>
      <c r="D1674" s="10">
        <v>0.7</v>
      </c>
      <c r="E1674" s="10">
        <v>28</v>
      </c>
    </row>
    <row r="1675" spans="1:5">
      <c r="A1675" t="s">
        <v>2073</v>
      </c>
      <c r="B1675" t="s">
        <v>2074</v>
      </c>
      <c r="C1675" s="10">
        <v>6</v>
      </c>
      <c r="D1675" s="10">
        <v>1</v>
      </c>
      <c r="E1675" s="10">
        <v>28</v>
      </c>
    </row>
    <row r="1676" spans="1:5">
      <c r="A1676" t="s">
        <v>3142</v>
      </c>
      <c r="B1676" t="s">
        <v>3143</v>
      </c>
      <c r="C1676" s="10">
        <v>6</v>
      </c>
      <c r="D1676" s="10">
        <v>0.75</v>
      </c>
      <c r="E1676" s="10">
        <v>12.5</v>
      </c>
    </row>
    <row r="1677" spans="1:5">
      <c r="A1677" t="s">
        <v>3144</v>
      </c>
      <c r="B1677" t="s">
        <v>3145</v>
      </c>
      <c r="C1677" s="10">
        <v>6</v>
      </c>
      <c r="D1677" s="10">
        <v>0.75</v>
      </c>
      <c r="E1677" s="10">
        <v>12.5</v>
      </c>
    </row>
    <row r="1678" spans="1:5">
      <c r="A1678" t="s">
        <v>9733</v>
      </c>
      <c r="B1678" t="s">
        <v>8608</v>
      </c>
      <c r="C1678" s="10">
        <v>6</v>
      </c>
      <c r="D1678" s="10">
        <v>0.75</v>
      </c>
      <c r="E1678" s="10">
        <v>12.5</v>
      </c>
    </row>
    <row r="1679" spans="1:5">
      <c r="A1679" t="s">
        <v>596</v>
      </c>
      <c r="B1679" t="s">
        <v>597</v>
      </c>
      <c r="C1679" s="10">
        <v>6</v>
      </c>
      <c r="D1679" s="10">
        <v>0.7</v>
      </c>
      <c r="E1679" s="10">
        <v>40</v>
      </c>
    </row>
    <row r="1680" spans="1:5">
      <c r="A1680" t="s">
        <v>9734</v>
      </c>
      <c r="B1680" t="s">
        <v>8609</v>
      </c>
      <c r="C1680" s="10">
        <v>6</v>
      </c>
      <c r="D1680" s="10">
        <v>0.7</v>
      </c>
      <c r="E1680" s="10">
        <v>46.4</v>
      </c>
    </row>
    <row r="1681" spans="1:5">
      <c r="A1681" t="s">
        <v>9735</v>
      </c>
      <c r="B1681" t="s">
        <v>8610</v>
      </c>
      <c r="C1681" s="10">
        <v>6</v>
      </c>
      <c r="D1681" s="10">
        <v>0.7</v>
      </c>
      <c r="E1681" s="10">
        <v>46.4</v>
      </c>
    </row>
    <row r="1682" spans="1:5">
      <c r="A1682" t="s">
        <v>3863</v>
      </c>
      <c r="B1682" t="s">
        <v>3864</v>
      </c>
      <c r="C1682" s="10">
        <v>6</v>
      </c>
      <c r="D1682" s="10">
        <v>0.7</v>
      </c>
      <c r="E1682" s="10">
        <v>46.8</v>
      </c>
    </row>
    <row r="1683" spans="1:5">
      <c r="A1683" t="s">
        <v>3865</v>
      </c>
      <c r="B1683" t="s">
        <v>3866</v>
      </c>
      <c r="C1683" s="10">
        <v>6</v>
      </c>
      <c r="D1683" s="10">
        <v>0.7</v>
      </c>
      <c r="E1683" s="10">
        <v>47</v>
      </c>
    </row>
    <row r="1684" spans="1:5">
      <c r="A1684" t="s">
        <v>9736</v>
      </c>
      <c r="B1684" t="s">
        <v>8611</v>
      </c>
      <c r="C1684" s="10">
        <v>1</v>
      </c>
      <c r="D1684" s="10">
        <v>0.7</v>
      </c>
      <c r="E1684" s="10">
        <v>42</v>
      </c>
    </row>
    <row r="1685" spans="1:5">
      <c r="A1685" t="s">
        <v>3867</v>
      </c>
      <c r="B1685" t="s">
        <v>3868</v>
      </c>
      <c r="C1685" s="10">
        <v>6</v>
      </c>
      <c r="D1685" s="10">
        <v>0.7</v>
      </c>
      <c r="E1685" s="10">
        <v>50.6</v>
      </c>
    </row>
    <row r="1686" spans="1:5">
      <c r="A1686" t="s">
        <v>3869</v>
      </c>
      <c r="B1686" t="s">
        <v>3870</v>
      </c>
      <c r="C1686" s="10">
        <v>6</v>
      </c>
      <c r="D1686" s="10">
        <v>0.7</v>
      </c>
      <c r="E1686" s="10">
        <v>48.8</v>
      </c>
    </row>
    <row r="1687" spans="1:5">
      <c r="A1687" t="s">
        <v>6177</v>
      </c>
      <c r="B1687" t="s">
        <v>6178</v>
      </c>
      <c r="C1687" s="10">
        <v>24</v>
      </c>
      <c r="D1687" s="10">
        <v>0.2</v>
      </c>
      <c r="E1687" s="10">
        <v>0</v>
      </c>
    </row>
    <row r="1688" spans="1:5">
      <c r="A1688" t="s">
        <v>6179</v>
      </c>
      <c r="B1688" t="s">
        <v>6180</v>
      </c>
      <c r="C1688" s="10">
        <v>24</v>
      </c>
      <c r="D1688" s="10">
        <v>0.2</v>
      </c>
      <c r="E1688" s="10">
        <v>0</v>
      </c>
    </row>
    <row r="1689" spans="1:5">
      <c r="A1689" t="s">
        <v>6181</v>
      </c>
      <c r="B1689" t="s">
        <v>6180</v>
      </c>
      <c r="C1689" s="10">
        <v>8</v>
      </c>
      <c r="D1689" s="10">
        <v>0.5</v>
      </c>
      <c r="E1689" s="10">
        <v>0</v>
      </c>
    </row>
    <row r="1690" spans="1:5">
      <c r="A1690" t="s">
        <v>6182</v>
      </c>
      <c r="B1690" t="s">
        <v>6183</v>
      </c>
      <c r="C1690" s="10">
        <v>24</v>
      </c>
      <c r="D1690" s="10">
        <v>0.2</v>
      </c>
      <c r="E1690" s="10">
        <v>0</v>
      </c>
    </row>
    <row r="1691" spans="1:5">
      <c r="A1691" t="s">
        <v>6184</v>
      </c>
      <c r="B1691" t="s">
        <v>6183</v>
      </c>
      <c r="C1691" s="10">
        <v>8</v>
      </c>
      <c r="D1691" s="10">
        <v>0.5</v>
      </c>
      <c r="E1691" s="10">
        <v>0</v>
      </c>
    </row>
    <row r="1692" spans="1:5">
      <c r="A1692" t="s">
        <v>6185</v>
      </c>
      <c r="B1692" t="s">
        <v>6186</v>
      </c>
      <c r="C1692" s="10">
        <v>24</v>
      </c>
      <c r="D1692" s="10">
        <v>0.2</v>
      </c>
      <c r="E1692" s="10">
        <v>0</v>
      </c>
    </row>
    <row r="1693" spans="1:5">
      <c r="A1693" t="s">
        <v>6187</v>
      </c>
      <c r="B1693" t="s">
        <v>6186</v>
      </c>
      <c r="C1693" s="10">
        <v>24</v>
      </c>
      <c r="D1693" s="10">
        <v>0.2</v>
      </c>
      <c r="E1693" s="10">
        <v>0</v>
      </c>
    </row>
    <row r="1694" spans="1:5">
      <c r="A1694" t="s">
        <v>6188</v>
      </c>
      <c r="B1694" t="s">
        <v>6186</v>
      </c>
      <c r="C1694" s="10">
        <v>8</v>
      </c>
      <c r="D1694" s="10">
        <v>0.5</v>
      </c>
      <c r="E1694" s="10">
        <v>0</v>
      </c>
    </row>
    <row r="1695" spans="1:5">
      <c r="A1695" t="s">
        <v>9737</v>
      </c>
      <c r="B1695" t="s">
        <v>6189</v>
      </c>
      <c r="C1695" s="10">
        <v>24</v>
      </c>
      <c r="D1695" s="10">
        <v>0.2</v>
      </c>
      <c r="E1695" s="10">
        <v>0</v>
      </c>
    </row>
    <row r="1696" spans="1:5">
      <c r="A1696" t="s">
        <v>6190</v>
      </c>
      <c r="B1696" t="s">
        <v>6189</v>
      </c>
      <c r="C1696" s="10">
        <v>8</v>
      </c>
      <c r="D1696" s="10">
        <v>0.5</v>
      </c>
      <c r="E1696" s="10">
        <v>0</v>
      </c>
    </row>
    <row r="1697" spans="1:5">
      <c r="A1697" t="s">
        <v>6191</v>
      </c>
      <c r="B1697" t="s">
        <v>6192</v>
      </c>
      <c r="C1697" s="10">
        <v>24</v>
      </c>
      <c r="D1697" s="10">
        <v>0.2</v>
      </c>
      <c r="E1697" s="10">
        <v>0</v>
      </c>
    </row>
    <row r="1698" spans="1:5">
      <c r="A1698" t="s">
        <v>6193</v>
      </c>
      <c r="B1698" t="s">
        <v>6192</v>
      </c>
      <c r="C1698" s="10">
        <v>8</v>
      </c>
      <c r="D1698" s="10">
        <v>0.5</v>
      </c>
      <c r="E1698" s="10">
        <v>0</v>
      </c>
    </row>
    <row r="1699" spans="1:5">
      <c r="A1699" t="s">
        <v>6194</v>
      </c>
      <c r="B1699" t="s">
        <v>6195</v>
      </c>
      <c r="C1699" s="10">
        <v>24</v>
      </c>
      <c r="D1699" s="10">
        <v>0.2</v>
      </c>
      <c r="E1699" s="10">
        <v>0</v>
      </c>
    </row>
    <row r="1700" spans="1:5">
      <c r="A1700" t="s">
        <v>6196</v>
      </c>
      <c r="B1700" t="s">
        <v>6197</v>
      </c>
      <c r="C1700" s="10">
        <v>24</v>
      </c>
      <c r="D1700" s="10">
        <v>0.2</v>
      </c>
      <c r="E1700" s="10">
        <v>0</v>
      </c>
    </row>
    <row r="1701" spans="1:5">
      <c r="A1701" t="s">
        <v>6198</v>
      </c>
      <c r="B1701" t="s">
        <v>6199</v>
      </c>
      <c r="C1701" s="10">
        <v>24</v>
      </c>
      <c r="D1701" s="10">
        <v>0.2</v>
      </c>
      <c r="E1701" s="10">
        <v>0</v>
      </c>
    </row>
    <row r="1702" spans="1:5">
      <c r="A1702" t="s">
        <v>6200</v>
      </c>
      <c r="B1702" t="s">
        <v>6201</v>
      </c>
      <c r="C1702" s="10">
        <v>8</v>
      </c>
      <c r="D1702" s="10">
        <v>0.5</v>
      </c>
      <c r="E1702" s="10">
        <v>0</v>
      </c>
    </row>
    <row r="1703" spans="1:5">
      <c r="A1703" t="s">
        <v>6202</v>
      </c>
      <c r="B1703" t="s">
        <v>6203</v>
      </c>
      <c r="C1703" s="10">
        <v>24</v>
      </c>
      <c r="D1703" s="10">
        <v>0.2</v>
      </c>
      <c r="E1703" s="10">
        <v>0</v>
      </c>
    </row>
    <row r="1704" spans="1:5">
      <c r="A1704" t="s">
        <v>6204</v>
      </c>
      <c r="B1704" t="s">
        <v>6203</v>
      </c>
      <c r="C1704" s="10">
        <v>8</v>
      </c>
      <c r="D1704" s="10">
        <v>0.5</v>
      </c>
      <c r="E1704" s="10">
        <v>0</v>
      </c>
    </row>
    <row r="1705" spans="1:5">
      <c r="A1705" t="s">
        <v>6205</v>
      </c>
      <c r="B1705" t="s">
        <v>6206</v>
      </c>
      <c r="C1705" s="10">
        <v>24</v>
      </c>
      <c r="D1705" s="10">
        <v>0.2</v>
      </c>
      <c r="E1705" s="10">
        <v>0</v>
      </c>
    </row>
    <row r="1706" spans="1:5">
      <c r="A1706" t="s">
        <v>6207</v>
      </c>
      <c r="B1706" t="s">
        <v>6208</v>
      </c>
      <c r="C1706" s="10">
        <v>24</v>
      </c>
      <c r="D1706" s="10">
        <v>0.2</v>
      </c>
      <c r="E1706" s="10">
        <v>0</v>
      </c>
    </row>
    <row r="1707" spans="1:5">
      <c r="A1707" t="s">
        <v>6209</v>
      </c>
      <c r="B1707" t="s">
        <v>6210</v>
      </c>
      <c r="C1707" s="10">
        <v>24</v>
      </c>
      <c r="D1707" s="10">
        <v>0.2</v>
      </c>
      <c r="E1707" s="10">
        <v>0</v>
      </c>
    </row>
    <row r="1708" spans="1:5">
      <c r="A1708" t="s">
        <v>9738</v>
      </c>
      <c r="B1708" t="s">
        <v>8612</v>
      </c>
      <c r="C1708" s="10">
        <v>20</v>
      </c>
      <c r="D1708" s="10">
        <v>0.02</v>
      </c>
      <c r="E1708" s="10">
        <v>15</v>
      </c>
    </row>
    <row r="1709" spans="1:5">
      <c r="A1709" t="s">
        <v>3871</v>
      </c>
      <c r="B1709" t="s">
        <v>3872</v>
      </c>
      <c r="C1709" s="10">
        <v>6</v>
      </c>
      <c r="D1709" s="10">
        <v>0.7</v>
      </c>
      <c r="E1709" s="10">
        <v>15</v>
      </c>
    </row>
    <row r="1710" spans="1:5">
      <c r="A1710" t="s">
        <v>9739</v>
      </c>
      <c r="B1710" t="s">
        <v>8613</v>
      </c>
      <c r="C1710" s="10">
        <v>6</v>
      </c>
      <c r="D1710" s="10">
        <v>0.7</v>
      </c>
      <c r="E1710" s="10">
        <v>38</v>
      </c>
    </row>
    <row r="1711" spans="1:5">
      <c r="A1711" t="s">
        <v>9740</v>
      </c>
      <c r="B1711" t="s">
        <v>8613</v>
      </c>
      <c r="C1711" s="10">
        <v>12</v>
      </c>
      <c r="D1711" s="10">
        <v>1</v>
      </c>
      <c r="E1711" s="10">
        <v>38</v>
      </c>
    </row>
    <row r="1712" spans="1:5">
      <c r="A1712" t="s">
        <v>1804</v>
      </c>
      <c r="B1712" t="s">
        <v>1805</v>
      </c>
      <c r="C1712" s="10">
        <v>6</v>
      </c>
      <c r="D1712" s="10">
        <v>0.5</v>
      </c>
      <c r="E1712" s="10">
        <v>46</v>
      </c>
    </row>
    <row r="1713" spans="1:5">
      <c r="A1713" t="s">
        <v>9741</v>
      </c>
      <c r="B1713" t="s">
        <v>8614</v>
      </c>
      <c r="C1713" s="10">
        <v>12</v>
      </c>
      <c r="D1713" s="10">
        <v>1</v>
      </c>
      <c r="E1713" s="10">
        <v>35</v>
      </c>
    </row>
    <row r="1714" spans="1:5">
      <c r="A1714" t="s">
        <v>3873</v>
      </c>
      <c r="B1714" t="s">
        <v>3874</v>
      </c>
      <c r="C1714" s="10">
        <v>6</v>
      </c>
      <c r="D1714" s="10">
        <v>0.7</v>
      </c>
      <c r="E1714" s="10">
        <v>17</v>
      </c>
    </row>
    <row r="1715" spans="1:5">
      <c r="A1715" t="s">
        <v>6819</v>
      </c>
      <c r="B1715" t="s">
        <v>6820</v>
      </c>
      <c r="C1715" s="10">
        <v>12</v>
      </c>
      <c r="D1715" s="10">
        <v>1</v>
      </c>
      <c r="E1715" s="10">
        <v>0</v>
      </c>
    </row>
    <row r="1716" spans="1:5">
      <c r="A1716" t="s">
        <v>6821</v>
      </c>
      <c r="B1716" t="s">
        <v>6822</v>
      </c>
      <c r="C1716" s="10">
        <v>12</v>
      </c>
      <c r="D1716" s="10">
        <v>1</v>
      </c>
      <c r="E1716" s="10">
        <v>0</v>
      </c>
    </row>
    <row r="1717" spans="1:5">
      <c r="A1717" t="s">
        <v>6823</v>
      </c>
      <c r="B1717" t="s">
        <v>6824</v>
      </c>
      <c r="C1717" s="10">
        <v>12</v>
      </c>
      <c r="D1717" s="10">
        <v>1</v>
      </c>
      <c r="E1717" s="10">
        <v>0</v>
      </c>
    </row>
    <row r="1718" spans="1:5">
      <c r="A1718" t="s">
        <v>6825</v>
      </c>
      <c r="B1718" t="s">
        <v>6826</v>
      </c>
      <c r="C1718" s="10">
        <v>12</v>
      </c>
      <c r="D1718" s="10">
        <v>1</v>
      </c>
      <c r="E1718" s="10">
        <v>0</v>
      </c>
    </row>
    <row r="1719" spans="1:5">
      <c r="A1719" t="s">
        <v>6827</v>
      </c>
      <c r="B1719" t="s">
        <v>6828</v>
      </c>
      <c r="C1719" s="10">
        <v>12</v>
      </c>
      <c r="D1719" s="10">
        <v>1</v>
      </c>
      <c r="E1719" s="10">
        <v>0</v>
      </c>
    </row>
    <row r="1720" spans="1:5">
      <c r="A1720" t="s">
        <v>6829</v>
      </c>
      <c r="B1720" t="s">
        <v>6830</v>
      </c>
      <c r="C1720" s="10">
        <v>12</v>
      </c>
      <c r="D1720" s="10">
        <v>1</v>
      </c>
      <c r="E1720" s="10">
        <v>0</v>
      </c>
    </row>
    <row r="1721" spans="1:5">
      <c r="A1721" t="s">
        <v>3875</v>
      </c>
      <c r="B1721" t="s">
        <v>3876</v>
      </c>
      <c r="C1721" s="10">
        <v>6</v>
      </c>
      <c r="D1721" s="10">
        <v>0.7</v>
      </c>
      <c r="E1721" s="10">
        <v>58</v>
      </c>
    </row>
    <row r="1722" spans="1:5">
      <c r="A1722" t="s">
        <v>9742</v>
      </c>
      <c r="B1722" t="s">
        <v>8615</v>
      </c>
      <c r="C1722" s="10">
        <v>6</v>
      </c>
      <c r="D1722" s="10">
        <v>0.7</v>
      </c>
      <c r="E1722" s="10">
        <v>46</v>
      </c>
    </row>
    <row r="1723" spans="1:5">
      <c r="A1723" t="s">
        <v>598</v>
      </c>
      <c r="B1723" t="s">
        <v>599</v>
      </c>
      <c r="C1723" s="10">
        <v>6</v>
      </c>
      <c r="D1723" s="10">
        <v>0.7</v>
      </c>
      <c r="E1723" s="10">
        <v>40</v>
      </c>
    </row>
    <row r="1724" spans="1:5">
      <c r="A1724" t="s">
        <v>600</v>
      </c>
      <c r="B1724" t="s">
        <v>601</v>
      </c>
      <c r="C1724" s="10">
        <v>6</v>
      </c>
      <c r="D1724" s="10">
        <v>0.7</v>
      </c>
      <c r="E1724" s="10">
        <v>40</v>
      </c>
    </row>
    <row r="1725" spans="1:5">
      <c r="A1725" t="s">
        <v>9743</v>
      </c>
      <c r="B1725" t="s">
        <v>8616</v>
      </c>
      <c r="C1725" s="10">
        <v>6</v>
      </c>
      <c r="D1725" s="10">
        <v>0.7</v>
      </c>
      <c r="E1725" s="10">
        <v>46</v>
      </c>
    </row>
    <row r="1726" spans="1:5">
      <c r="A1726" t="s">
        <v>5791</v>
      </c>
      <c r="B1726" t="s">
        <v>603</v>
      </c>
      <c r="C1726" s="10">
        <v>12</v>
      </c>
      <c r="D1726" s="10">
        <v>0.7</v>
      </c>
      <c r="E1726" s="10">
        <v>40</v>
      </c>
    </row>
    <row r="1727" spans="1:5">
      <c r="A1727" t="s">
        <v>602</v>
      </c>
      <c r="B1727" t="s">
        <v>603</v>
      </c>
      <c r="C1727" s="10">
        <v>6</v>
      </c>
      <c r="D1727" s="10">
        <v>0.7</v>
      </c>
      <c r="E1727" s="10">
        <v>40</v>
      </c>
    </row>
    <row r="1728" spans="1:5">
      <c r="A1728" t="s">
        <v>1445</v>
      </c>
      <c r="B1728" t="s">
        <v>603</v>
      </c>
      <c r="C1728" s="10">
        <v>6</v>
      </c>
      <c r="D1728" s="10">
        <v>1</v>
      </c>
      <c r="E1728" s="10">
        <v>40</v>
      </c>
    </row>
    <row r="1729" spans="1:5">
      <c r="A1729" t="s">
        <v>5707</v>
      </c>
      <c r="B1729" t="s">
        <v>603</v>
      </c>
      <c r="C1729" s="10">
        <v>12</v>
      </c>
      <c r="D1729" s="10">
        <v>1</v>
      </c>
      <c r="E1729" s="10">
        <v>40</v>
      </c>
    </row>
    <row r="1730" spans="1:5">
      <c r="A1730" t="s">
        <v>6831</v>
      </c>
      <c r="B1730" t="s">
        <v>6832</v>
      </c>
      <c r="C1730" s="10">
        <v>12</v>
      </c>
      <c r="D1730" s="10">
        <v>1</v>
      </c>
      <c r="E1730" s="10">
        <v>37.5</v>
      </c>
    </row>
    <row r="1731" spans="1:5">
      <c r="A1731" t="s">
        <v>6833</v>
      </c>
      <c r="B1731" t="s">
        <v>6834</v>
      </c>
      <c r="C1731" s="10">
        <v>12</v>
      </c>
      <c r="D1731" s="10">
        <v>1</v>
      </c>
      <c r="E1731" s="10">
        <v>30</v>
      </c>
    </row>
    <row r="1732" spans="1:5">
      <c r="A1732" t="s">
        <v>6835</v>
      </c>
      <c r="B1732" t="s">
        <v>6836</v>
      </c>
      <c r="C1732" s="10">
        <v>12</v>
      </c>
      <c r="D1732" s="10">
        <v>1</v>
      </c>
      <c r="E1732" s="10">
        <v>30</v>
      </c>
    </row>
    <row r="1733" spans="1:5">
      <c r="A1733" t="s">
        <v>6837</v>
      </c>
      <c r="B1733" t="s">
        <v>6838</v>
      </c>
      <c r="C1733" s="10">
        <v>12</v>
      </c>
      <c r="D1733" s="10">
        <v>1</v>
      </c>
      <c r="E1733" s="10">
        <v>37.5</v>
      </c>
    </row>
    <row r="1734" spans="1:5">
      <c r="A1734" t="s">
        <v>6839</v>
      </c>
      <c r="B1734" t="s">
        <v>6840</v>
      </c>
      <c r="C1734" s="10">
        <v>12</v>
      </c>
      <c r="D1734" s="10">
        <v>1</v>
      </c>
      <c r="E1734" s="10">
        <v>37.5</v>
      </c>
    </row>
    <row r="1735" spans="1:5">
      <c r="A1735" t="s">
        <v>6841</v>
      </c>
      <c r="B1735" t="s">
        <v>6842</v>
      </c>
      <c r="C1735" s="10">
        <v>12</v>
      </c>
      <c r="D1735" s="10">
        <v>1</v>
      </c>
      <c r="E1735" s="10">
        <v>37.5</v>
      </c>
    </row>
    <row r="1736" spans="1:5">
      <c r="A1736" t="s">
        <v>6843</v>
      </c>
      <c r="B1736" t="s">
        <v>6844</v>
      </c>
      <c r="C1736" s="10">
        <v>12</v>
      </c>
      <c r="D1736" s="10">
        <v>1</v>
      </c>
      <c r="E1736" s="10">
        <v>37.5</v>
      </c>
    </row>
    <row r="1737" spans="1:5">
      <c r="A1737" t="s">
        <v>5708</v>
      </c>
      <c r="B1737" t="s">
        <v>5709</v>
      </c>
      <c r="C1737" s="10">
        <v>12</v>
      </c>
      <c r="D1737" s="10">
        <v>1</v>
      </c>
      <c r="E1737" s="10">
        <v>40</v>
      </c>
    </row>
    <row r="1738" spans="1:5">
      <c r="A1738" t="s">
        <v>1806</v>
      </c>
      <c r="B1738" t="s">
        <v>1807</v>
      </c>
      <c r="C1738" s="10">
        <v>6</v>
      </c>
      <c r="D1738" s="10">
        <v>0.5</v>
      </c>
      <c r="E1738" s="10">
        <v>18</v>
      </c>
    </row>
    <row r="1739" spans="1:5">
      <c r="A1739" t="s">
        <v>2076</v>
      </c>
      <c r="B1739" t="s">
        <v>2075</v>
      </c>
      <c r="C1739" s="10">
        <v>6</v>
      </c>
      <c r="D1739" s="10">
        <v>1</v>
      </c>
      <c r="E1739" s="10">
        <v>37.5</v>
      </c>
    </row>
    <row r="1740" spans="1:5">
      <c r="A1740" t="s">
        <v>2077</v>
      </c>
      <c r="B1740" t="s">
        <v>2078</v>
      </c>
      <c r="C1740" s="10">
        <v>6</v>
      </c>
      <c r="D1740" s="10">
        <v>1</v>
      </c>
      <c r="E1740" s="10">
        <v>47</v>
      </c>
    </row>
    <row r="1741" spans="1:5">
      <c r="A1741" t="s">
        <v>4861</v>
      </c>
      <c r="B1741" t="s">
        <v>4862</v>
      </c>
      <c r="C1741" s="10">
        <v>6</v>
      </c>
      <c r="D1741" s="10">
        <v>0.7</v>
      </c>
      <c r="E1741" s="10">
        <v>37.5</v>
      </c>
    </row>
    <row r="1742" spans="1:5">
      <c r="A1742" t="s">
        <v>9744</v>
      </c>
      <c r="B1742" t="s">
        <v>8617</v>
      </c>
      <c r="C1742" s="10">
        <v>6</v>
      </c>
      <c r="D1742" s="10">
        <v>1</v>
      </c>
      <c r="E1742" s="10">
        <v>47</v>
      </c>
    </row>
    <row r="1743" spans="1:5">
      <c r="A1743" t="s">
        <v>1808</v>
      </c>
      <c r="B1743" t="s">
        <v>1809</v>
      </c>
      <c r="C1743" s="10">
        <v>6</v>
      </c>
      <c r="D1743" s="10">
        <v>0.5</v>
      </c>
      <c r="E1743" s="10">
        <v>31</v>
      </c>
    </row>
    <row r="1744" spans="1:5">
      <c r="A1744" t="s">
        <v>3877</v>
      </c>
      <c r="B1744" t="s">
        <v>3878</v>
      </c>
      <c r="C1744" s="10">
        <v>6</v>
      </c>
      <c r="D1744" s="10">
        <v>0.7</v>
      </c>
      <c r="E1744" s="10">
        <v>33</v>
      </c>
    </row>
    <row r="1745" spans="1:5">
      <c r="A1745" t="s">
        <v>6845</v>
      </c>
      <c r="B1745" t="s">
        <v>3878</v>
      </c>
      <c r="C1745" s="10">
        <v>12</v>
      </c>
      <c r="D1745" s="10">
        <v>1</v>
      </c>
      <c r="E1745" s="10">
        <v>33</v>
      </c>
    </row>
    <row r="1746" spans="1:5">
      <c r="A1746" t="s">
        <v>6673</v>
      </c>
      <c r="B1746" t="s">
        <v>3880</v>
      </c>
      <c r="C1746" s="10">
        <v>12</v>
      </c>
      <c r="D1746" s="10">
        <v>0.02</v>
      </c>
      <c r="E1746" s="10">
        <v>30</v>
      </c>
    </row>
    <row r="1747" spans="1:5">
      <c r="A1747" t="s">
        <v>3879</v>
      </c>
      <c r="B1747" t="s">
        <v>3880</v>
      </c>
      <c r="C1747" s="10">
        <v>6</v>
      </c>
      <c r="D1747" s="10">
        <v>0.7</v>
      </c>
      <c r="E1747" s="10">
        <v>30</v>
      </c>
    </row>
    <row r="1748" spans="1:5">
      <c r="A1748" t="s">
        <v>604</v>
      </c>
      <c r="B1748" t="s">
        <v>605</v>
      </c>
      <c r="C1748" s="10">
        <v>6</v>
      </c>
      <c r="D1748" s="10">
        <v>0.7</v>
      </c>
      <c r="E1748" s="10">
        <v>40</v>
      </c>
    </row>
    <row r="1749" spans="1:5">
      <c r="A1749" t="s">
        <v>606</v>
      </c>
      <c r="B1749" t="s">
        <v>607</v>
      </c>
      <c r="C1749" s="10">
        <v>6</v>
      </c>
      <c r="D1749" s="10">
        <v>0.7</v>
      </c>
      <c r="E1749" s="10">
        <v>40</v>
      </c>
    </row>
    <row r="1750" spans="1:5">
      <c r="A1750" t="s">
        <v>608</v>
      </c>
      <c r="B1750" t="s">
        <v>609</v>
      </c>
      <c r="C1750" s="10">
        <v>6</v>
      </c>
      <c r="D1750" s="10">
        <v>0.7</v>
      </c>
      <c r="E1750" s="10">
        <v>40</v>
      </c>
    </row>
    <row r="1751" spans="1:5">
      <c r="A1751" t="s">
        <v>1446</v>
      </c>
      <c r="B1751" t="s">
        <v>609</v>
      </c>
      <c r="C1751" s="10">
        <v>6</v>
      </c>
      <c r="D1751" s="10">
        <v>1</v>
      </c>
      <c r="E1751" s="10">
        <v>40</v>
      </c>
    </row>
    <row r="1752" spans="1:5">
      <c r="A1752" t="s">
        <v>3881</v>
      </c>
      <c r="B1752" t="s">
        <v>3882</v>
      </c>
      <c r="C1752" s="10">
        <v>6</v>
      </c>
      <c r="D1752" s="10">
        <v>0.7</v>
      </c>
      <c r="E1752" s="10">
        <v>16.399999999999999</v>
      </c>
    </row>
    <row r="1753" spans="1:5">
      <c r="A1753" t="s">
        <v>9745</v>
      </c>
      <c r="B1753" t="s">
        <v>8618</v>
      </c>
      <c r="C1753" s="10">
        <v>6</v>
      </c>
      <c r="D1753" s="10">
        <v>0.7</v>
      </c>
      <c r="E1753" s="10">
        <v>16.399999999999999</v>
      </c>
    </row>
    <row r="1754" spans="1:5">
      <c r="A1754" t="s">
        <v>2079</v>
      </c>
      <c r="B1754" t="s">
        <v>2080</v>
      </c>
      <c r="C1754" s="10">
        <v>6</v>
      </c>
      <c r="D1754" s="10">
        <v>1</v>
      </c>
      <c r="E1754" s="10">
        <v>30</v>
      </c>
    </row>
    <row r="1755" spans="1:5">
      <c r="A1755" t="s">
        <v>9746</v>
      </c>
      <c r="B1755" t="s">
        <v>8619</v>
      </c>
      <c r="C1755" s="10">
        <v>24</v>
      </c>
      <c r="D1755" s="10">
        <v>0.1</v>
      </c>
      <c r="E1755" s="10">
        <v>45</v>
      </c>
    </row>
    <row r="1756" spans="1:5">
      <c r="A1756" t="s">
        <v>6211</v>
      </c>
      <c r="B1756" t="s">
        <v>6212</v>
      </c>
      <c r="C1756" s="10">
        <v>24</v>
      </c>
      <c r="D1756" s="10">
        <v>0.1</v>
      </c>
      <c r="E1756" s="10">
        <v>30</v>
      </c>
    </row>
    <row r="1757" spans="1:5">
      <c r="A1757" t="s">
        <v>6213</v>
      </c>
      <c r="B1757" t="s">
        <v>6214</v>
      </c>
      <c r="C1757" s="10">
        <v>24</v>
      </c>
      <c r="D1757" s="10">
        <v>0.1</v>
      </c>
      <c r="E1757" s="10">
        <v>18</v>
      </c>
    </row>
    <row r="1758" spans="1:5">
      <c r="A1758" t="s">
        <v>6215</v>
      </c>
      <c r="B1758" t="s">
        <v>6216</v>
      </c>
      <c r="C1758" s="10">
        <v>24</v>
      </c>
      <c r="D1758" s="10">
        <v>0.1</v>
      </c>
      <c r="E1758" s="10">
        <v>18</v>
      </c>
    </row>
    <row r="1759" spans="1:5">
      <c r="A1759" t="s">
        <v>6217</v>
      </c>
      <c r="B1759" t="s">
        <v>6218</v>
      </c>
      <c r="C1759" s="10">
        <v>24</v>
      </c>
      <c r="D1759" s="10">
        <v>0.1</v>
      </c>
      <c r="E1759" s="10">
        <v>45</v>
      </c>
    </row>
    <row r="1760" spans="1:5">
      <c r="A1760" t="s">
        <v>6219</v>
      </c>
      <c r="B1760" t="s">
        <v>6220</v>
      </c>
      <c r="C1760" s="10">
        <v>24</v>
      </c>
      <c r="D1760" s="10">
        <v>0.1</v>
      </c>
      <c r="E1760" s="10">
        <v>17.5</v>
      </c>
    </row>
    <row r="1761" spans="1:5">
      <c r="A1761" t="s">
        <v>9747</v>
      </c>
      <c r="B1761" t="s">
        <v>8620</v>
      </c>
      <c r="C1761" s="10">
        <v>6</v>
      </c>
      <c r="D1761" s="10">
        <v>0.7</v>
      </c>
      <c r="E1761" s="10">
        <v>40</v>
      </c>
    </row>
    <row r="1762" spans="1:5">
      <c r="A1762" t="s">
        <v>9748</v>
      </c>
      <c r="B1762" t="s">
        <v>8621</v>
      </c>
      <c r="C1762" s="10">
        <v>6</v>
      </c>
      <c r="D1762" s="10">
        <v>0.7</v>
      </c>
      <c r="E1762" s="10">
        <v>35</v>
      </c>
    </row>
    <row r="1763" spans="1:5">
      <c r="A1763" t="s">
        <v>9749</v>
      </c>
      <c r="B1763" t="s">
        <v>8622</v>
      </c>
      <c r="C1763" s="10">
        <v>6</v>
      </c>
      <c r="D1763" s="10">
        <v>0.7</v>
      </c>
      <c r="E1763" s="10">
        <v>40</v>
      </c>
    </row>
    <row r="1764" spans="1:5">
      <c r="A1764" t="s">
        <v>3883</v>
      </c>
      <c r="B1764" t="s">
        <v>3884</v>
      </c>
      <c r="C1764" s="10">
        <v>6</v>
      </c>
      <c r="D1764" s="10">
        <v>0.7</v>
      </c>
      <c r="E1764" s="10">
        <v>17</v>
      </c>
    </row>
    <row r="1765" spans="1:5">
      <c r="A1765" t="s">
        <v>2081</v>
      </c>
      <c r="B1765" t="s">
        <v>2082</v>
      </c>
      <c r="C1765" s="10">
        <v>6</v>
      </c>
      <c r="D1765" s="10">
        <v>1</v>
      </c>
      <c r="E1765" s="10">
        <v>20</v>
      </c>
    </row>
    <row r="1766" spans="1:5">
      <c r="A1766" t="s">
        <v>2083</v>
      </c>
      <c r="B1766" t="s">
        <v>2084</v>
      </c>
      <c r="C1766" s="10">
        <v>6</v>
      </c>
      <c r="D1766" s="10">
        <v>1</v>
      </c>
      <c r="E1766" s="10">
        <v>35</v>
      </c>
    </row>
    <row r="1767" spans="1:5">
      <c r="A1767" t="s">
        <v>3885</v>
      </c>
      <c r="B1767" t="s">
        <v>3886</v>
      </c>
      <c r="C1767" s="10">
        <v>6</v>
      </c>
      <c r="D1767" s="10">
        <v>0.7</v>
      </c>
      <c r="E1767" s="10">
        <v>0</v>
      </c>
    </row>
    <row r="1768" spans="1:5">
      <c r="A1768" t="s">
        <v>6221</v>
      </c>
      <c r="B1768" t="s">
        <v>6222</v>
      </c>
      <c r="C1768" s="10">
        <v>40</v>
      </c>
      <c r="D1768" s="10">
        <v>0.02</v>
      </c>
      <c r="E1768" s="10">
        <v>10</v>
      </c>
    </row>
    <row r="1769" spans="1:5">
      <c r="A1769" t="s">
        <v>6223</v>
      </c>
      <c r="B1769" t="s">
        <v>6222</v>
      </c>
      <c r="C1769" s="10">
        <v>120</v>
      </c>
      <c r="D1769" s="10">
        <v>0.02</v>
      </c>
      <c r="E1769" s="10">
        <v>10</v>
      </c>
    </row>
    <row r="1770" spans="1:5">
      <c r="A1770" t="s">
        <v>6224</v>
      </c>
      <c r="B1770" t="s">
        <v>6225</v>
      </c>
      <c r="C1770" s="10">
        <v>240</v>
      </c>
      <c r="D1770" s="10">
        <v>0.02</v>
      </c>
      <c r="E1770" s="10">
        <v>10</v>
      </c>
    </row>
    <row r="1771" spans="1:5">
      <c r="A1771" t="s">
        <v>610</v>
      </c>
      <c r="B1771" t="s">
        <v>611</v>
      </c>
      <c r="C1771" s="10">
        <v>6</v>
      </c>
      <c r="D1771" s="10">
        <v>0.7</v>
      </c>
      <c r="E1771" s="10">
        <v>40</v>
      </c>
    </row>
    <row r="1772" spans="1:5">
      <c r="A1772" t="s">
        <v>612</v>
      </c>
      <c r="B1772" t="s">
        <v>613</v>
      </c>
      <c r="C1772" s="10">
        <v>6</v>
      </c>
      <c r="D1772" s="10">
        <v>0.7</v>
      </c>
      <c r="E1772" s="10">
        <v>40</v>
      </c>
    </row>
    <row r="1773" spans="1:5">
      <c r="A1773" t="s">
        <v>2560</v>
      </c>
      <c r="B1773" t="s">
        <v>2561</v>
      </c>
      <c r="C1773" s="10">
        <v>6</v>
      </c>
      <c r="D1773" s="10">
        <v>0.75</v>
      </c>
      <c r="E1773" s="10">
        <v>20</v>
      </c>
    </row>
    <row r="1774" spans="1:5">
      <c r="A1774" t="s">
        <v>2562</v>
      </c>
      <c r="B1774" t="s">
        <v>2563</v>
      </c>
      <c r="C1774" s="10">
        <v>6</v>
      </c>
      <c r="D1774" s="10">
        <v>0.75</v>
      </c>
      <c r="E1774" s="10">
        <v>20</v>
      </c>
    </row>
    <row r="1775" spans="1:5">
      <c r="A1775" t="s">
        <v>2564</v>
      </c>
      <c r="B1775" t="s">
        <v>2565</v>
      </c>
      <c r="C1775" s="10">
        <v>6</v>
      </c>
      <c r="D1775" s="10">
        <v>0.75</v>
      </c>
      <c r="E1775" s="10">
        <v>20</v>
      </c>
    </row>
    <row r="1776" spans="1:5">
      <c r="A1776" t="s">
        <v>2566</v>
      </c>
      <c r="B1776" t="s">
        <v>2567</v>
      </c>
      <c r="C1776" s="10">
        <v>6</v>
      </c>
      <c r="D1776" s="10">
        <v>0.75</v>
      </c>
      <c r="E1776" s="10">
        <v>20</v>
      </c>
    </row>
    <row r="1777" spans="1:5">
      <c r="A1777" t="s">
        <v>2568</v>
      </c>
      <c r="B1777" t="s">
        <v>2569</v>
      </c>
      <c r="C1777" s="10">
        <v>6</v>
      </c>
      <c r="D1777" s="10">
        <v>0.75</v>
      </c>
      <c r="E1777" s="10">
        <v>20</v>
      </c>
    </row>
    <row r="1778" spans="1:5">
      <c r="A1778" t="s">
        <v>4752</v>
      </c>
      <c r="B1778" t="s">
        <v>4753</v>
      </c>
      <c r="C1778" s="10">
        <v>6</v>
      </c>
      <c r="D1778" s="10">
        <v>0.7</v>
      </c>
      <c r="E1778" s="10">
        <v>45</v>
      </c>
    </row>
    <row r="1779" spans="1:5">
      <c r="A1779" t="s">
        <v>614</v>
      </c>
      <c r="B1779" t="s">
        <v>615</v>
      </c>
      <c r="C1779" s="10">
        <v>6</v>
      </c>
      <c r="D1779" s="10">
        <v>0.7</v>
      </c>
      <c r="E1779" s="10">
        <v>40</v>
      </c>
    </row>
    <row r="1780" spans="1:5">
      <c r="A1780" t="s">
        <v>616</v>
      </c>
      <c r="B1780" t="s">
        <v>617</v>
      </c>
      <c r="C1780" s="10">
        <v>6</v>
      </c>
      <c r="D1780" s="10">
        <v>0.7</v>
      </c>
      <c r="E1780" s="10">
        <v>40</v>
      </c>
    </row>
    <row r="1781" spans="1:5">
      <c r="A1781" t="s">
        <v>618</v>
      </c>
      <c r="B1781" t="s">
        <v>619</v>
      </c>
      <c r="C1781" s="10">
        <v>6</v>
      </c>
      <c r="D1781" s="10">
        <v>0.7</v>
      </c>
      <c r="E1781" s="10">
        <v>40</v>
      </c>
    </row>
    <row r="1782" spans="1:5">
      <c r="A1782" t="s">
        <v>3887</v>
      </c>
      <c r="B1782" t="s">
        <v>3888</v>
      </c>
      <c r="C1782" s="10">
        <v>6</v>
      </c>
      <c r="D1782" s="10">
        <v>0.7</v>
      </c>
      <c r="E1782" s="10">
        <v>37.799999999999997</v>
      </c>
    </row>
    <row r="1783" spans="1:5">
      <c r="A1783" t="s">
        <v>9750</v>
      </c>
      <c r="B1783" t="s">
        <v>8623</v>
      </c>
      <c r="C1783" s="10">
        <v>6</v>
      </c>
      <c r="D1783" s="10">
        <v>0.7</v>
      </c>
      <c r="E1783" s="10">
        <v>58.8</v>
      </c>
    </row>
    <row r="1784" spans="1:5">
      <c r="A1784" t="s">
        <v>3889</v>
      </c>
      <c r="B1784" t="s">
        <v>3890</v>
      </c>
      <c r="C1784" s="10">
        <v>6</v>
      </c>
      <c r="D1784" s="10">
        <v>0.7</v>
      </c>
      <c r="E1784" s="10">
        <v>41.8</v>
      </c>
    </row>
    <row r="1785" spans="1:5">
      <c r="A1785" t="s">
        <v>9751</v>
      </c>
      <c r="B1785" t="s">
        <v>8624</v>
      </c>
      <c r="C1785" s="10">
        <v>6</v>
      </c>
      <c r="D1785" s="10">
        <v>0.5</v>
      </c>
      <c r="E1785" s="10">
        <v>43.8</v>
      </c>
    </row>
    <row r="1786" spans="1:5">
      <c r="A1786" t="s">
        <v>620</v>
      </c>
      <c r="B1786" t="s">
        <v>621</v>
      </c>
      <c r="C1786" s="10">
        <v>6</v>
      </c>
      <c r="D1786" s="10">
        <v>0.7</v>
      </c>
      <c r="E1786" s="10">
        <v>40</v>
      </c>
    </row>
    <row r="1787" spans="1:5">
      <c r="A1787" t="s">
        <v>1447</v>
      </c>
      <c r="B1787" t="s">
        <v>621</v>
      </c>
      <c r="C1787" s="10">
        <v>6</v>
      </c>
      <c r="D1787" s="10">
        <v>1</v>
      </c>
      <c r="E1787" s="10">
        <v>40</v>
      </c>
    </row>
    <row r="1788" spans="1:5">
      <c r="A1788" t="s">
        <v>3891</v>
      </c>
      <c r="B1788" t="s">
        <v>3892</v>
      </c>
      <c r="C1788" s="10">
        <v>6</v>
      </c>
      <c r="D1788" s="10">
        <v>0.7</v>
      </c>
      <c r="E1788" s="10">
        <v>50</v>
      </c>
    </row>
    <row r="1789" spans="1:5">
      <c r="A1789" t="s">
        <v>4754</v>
      </c>
      <c r="B1789" t="s">
        <v>4755</v>
      </c>
      <c r="C1789" s="10">
        <v>6</v>
      </c>
      <c r="D1789" s="10">
        <v>0.7</v>
      </c>
      <c r="E1789" s="10">
        <v>45</v>
      </c>
    </row>
    <row r="1790" spans="1:5">
      <c r="A1790" t="s">
        <v>9752</v>
      </c>
      <c r="B1790" t="s">
        <v>8625</v>
      </c>
      <c r="C1790" s="10">
        <v>6</v>
      </c>
      <c r="D1790" s="10">
        <v>0.7</v>
      </c>
      <c r="E1790" s="10">
        <v>54.5</v>
      </c>
    </row>
    <row r="1791" spans="1:5">
      <c r="A1791" t="s">
        <v>4863</v>
      </c>
      <c r="B1791" t="s">
        <v>4864</v>
      </c>
      <c r="C1791" s="10">
        <v>6</v>
      </c>
      <c r="D1791" s="10">
        <v>0.7</v>
      </c>
      <c r="E1791" s="10">
        <v>37.5</v>
      </c>
    </row>
    <row r="1792" spans="1:5">
      <c r="A1792" t="s">
        <v>6674</v>
      </c>
      <c r="B1792" t="s">
        <v>3894</v>
      </c>
      <c r="C1792" s="10">
        <v>12</v>
      </c>
      <c r="D1792" s="10">
        <v>0.35</v>
      </c>
      <c r="E1792" s="10">
        <v>20</v>
      </c>
    </row>
    <row r="1793" spans="1:5">
      <c r="A1793" t="s">
        <v>3893</v>
      </c>
      <c r="B1793" t="s">
        <v>3894</v>
      </c>
      <c r="C1793" s="10">
        <v>6</v>
      </c>
      <c r="D1793" s="10">
        <v>0.7</v>
      </c>
      <c r="E1793" s="10">
        <v>20</v>
      </c>
    </row>
    <row r="1794" spans="1:5">
      <c r="A1794" t="s">
        <v>6846</v>
      </c>
      <c r="B1794" t="s">
        <v>3894</v>
      </c>
      <c r="C1794" s="10">
        <v>12</v>
      </c>
      <c r="D1794" s="10">
        <v>1</v>
      </c>
      <c r="E1794" s="10">
        <v>20</v>
      </c>
    </row>
    <row r="1795" spans="1:5">
      <c r="A1795" t="s">
        <v>622</v>
      </c>
      <c r="B1795" t="s">
        <v>623</v>
      </c>
      <c r="C1795" s="10">
        <v>6</v>
      </c>
      <c r="D1795" s="10">
        <v>0.7</v>
      </c>
      <c r="E1795" s="10">
        <v>40</v>
      </c>
    </row>
    <row r="1796" spans="1:5">
      <c r="A1796" t="s">
        <v>624</v>
      </c>
      <c r="B1796" t="s">
        <v>625</v>
      </c>
      <c r="C1796" s="10">
        <v>6</v>
      </c>
      <c r="D1796" s="10">
        <v>0.7</v>
      </c>
      <c r="E1796" s="10">
        <v>40</v>
      </c>
    </row>
    <row r="1797" spans="1:5">
      <c r="A1797" t="s">
        <v>626</v>
      </c>
      <c r="B1797" t="s">
        <v>627</v>
      </c>
      <c r="C1797" s="10">
        <v>6</v>
      </c>
      <c r="D1797" s="10">
        <v>0.7</v>
      </c>
      <c r="E1797" s="10">
        <v>40</v>
      </c>
    </row>
    <row r="1798" spans="1:5">
      <c r="A1798" t="s">
        <v>628</v>
      </c>
      <c r="B1798" t="s">
        <v>629</v>
      </c>
      <c r="C1798" s="10">
        <v>6</v>
      </c>
      <c r="D1798" s="10">
        <v>0.7</v>
      </c>
      <c r="E1798" s="10">
        <v>40</v>
      </c>
    </row>
    <row r="1799" spans="1:5">
      <c r="A1799" t="s">
        <v>9753</v>
      </c>
      <c r="B1799" t="s">
        <v>8626</v>
      </c>
      <c r="C1799" s="10">
        <v>6</v>
      </c>
      <c r="D1799" s="10">
        <v>0.7</v>
      </c>
      <c r="E1799" s="10">
        <v>20</v>
      </c>
    </row>
    <row r="1800" spans="1:5">
      <c r="A1800" t="s">
        <v>6226</v>
      </c>
      <c r="B1800" t="s">
        <v>6227</v>
      </c>
      <c r="C1800" s="10">
        <v>1</v>
      </c>
      <c r="D1800" s="10">
        <v>1</v>
      </c>
      <c r="E1800" s="10">
        <v>0</v>
      </c>
    </row>
    <row r="1801" spans="1:5">
      <c r="A1801" t="s">
        <v>2570</v>
      </c>
      <c r="B1801" t="s">
        <v>2571</v>
      </c>
      <c r="C1801" s="10">
        <v>6</v>
      </c>
      <c r="D1801" s="10">
        <v>0.75</v>
      </c>
      <c r="E1801" s="10">
        <v>11.5</v>
      </c>
    </row>
    <row r="1802" spans="1:5">
      <c r="A1802" t="s">
        <v>6228</v>
      </c>
      <c r="B1802" t="s">
        <v>6229</v>
      </c>
      <c r="C1802" s="10">
        <v>24</v>
      </c>
      <c r="D1802" s="10">
        <v>0.2</v>
      </c>
      <c r="E1802" s="10">
        <v>11.5</v>
      </c>
    </row>
    <row r="1803" spans="1:5">
      <c r="A1803" t="s">
        <v>9754</v>
      </c>
      <c r="B1803" t="s">
        <v>8627</v>
      </c>
      <c r="C1803" s="10">
        <v>6</v>
      </c>
      <c r="D1803" s="10">
        <v>0.75</v>
      </c>
      <c r="E1803" s="10">
        <v>11.5</v>
      </c>
    </row>
    <row r="1804" spans="1:5">
      <c r="A1804" t="s">
        <v>6230</v>
      </c>
      <c r="B1804" t="s">
        <v>2573</v>
      </c>
      <c r="C1804" s="10">
        <v>24</v>
      </c>
      <c r="D1804" s="10">
        <v>0.2</v>
      </c>
      <c r="E1804" s="10">
        <v>11.5</v>
      </c>
    </row>
    <row r="1805" spans="1:5">
      <c r="A1805" t="s">
        <v>2572</v>
      </c>
      <c r="B1805" t="s">
        <v>2573</v>
      </c>
      <c r="C1805" s="10">
        <v>6</v>
      </c>
      <c r="D1805" s="10">
        <v>0.75</v>
      </c>
      <c r="E1805" s="10">
        <v>11.5</v>
      </c>
    </row>
    <row r="1806" spans="1:5">
      <c r="A1806" t="s">
        <v>2574</v>
      </c>
      <c r="B1806" t="s">
        <v>2575</v>
      </c>
      <c r="C1806" s="10">
        <v>6</v>
      </c>
      <c r="D1806" s="10">
        <v>0.75</v>
      </c>
      <c r="E1806" s="10">
        <v>11.5</v>
      </c>
    </row>
    <row r="1807" spans="1:5">
      <c r="A1807" t="s">
        <v>2576</v>
      </c>
      <c r="B1807" t="s">
        <v>2577</v>
      </c>
      <c r="C1807" s="10">
        <v>6</v>
      </c>
      <c r="D1807" s="10">
        <v>0.75</v>
      </c>
      <c r="E1807" s="10">
        <v>11.5</v>
      </c>
    </row>
    <row r="1808" spans="1:5">
      <c r="A1808" t="s">
        <v>2578</v>
      </c>
      <c r="B1808" t="s">
        <v>2579</v>
      </c>
      <c r="C1808" s="10">
        <v>6</v>
      </c>
      <c r="D1808" s="10">
        <v>0.75</v>
      </c>
      <c r="E1808" s="10">
        <v>11</v>
      </c>
    </row>
    <row r="1809" spans="1:5">
      <c r="A1809" t="s">
        <v>2580</v>
      </c>
      <c r="B1809" t="s">
        <v>2581</v>
      </c>
      <c r="C1809" s="10">
        <v>6</v>
      </c>
      <c r="D1809" s="10">
        <v>0.75</v>
      </c>
      <c r="E1809" s="10">
        <v>7.5</v>
      </c>
    </row>
    <row r="1810" spans="1:5">
      <c r="A1810" t="s">
        <v>2582</v>
      </c>
      <c r="B1810" t="s">
        <v>2583</v>
      </c>
      <c r="C1810" s="10">
        <v>6</v>
      </c>
      <c r="D1810" s="10">
        <v>0.75</v>
      </c>
      <c r="E1810" s="10">
        <v>8.5</v>
      </c>
    </row>
    <row r="1811" spans="1:5">
      <c r="A1811" t="s">
        <v>2584</v>
      </c>
      <c r="B1811" t="s">
        <v>2585</v>
      </c>
      <c r="C1811" s="10">
        <v>6</v>
      </c>
      <c r="D1811" s="10">
        <v>0.75</v>
      </c>
      <c r="E1811" s="10">
        <v>7.5</v>
      </c>
    </row>
    <row r="1812" spans="1:5">
      <c r="A1812" t="s">
        <v>2586</v>
      </c>
      <c r="B1812" t="s">
        <v>2587</v>
      </c>
      <c r="C1812" s="10">
        <v>6</v>
      </c>
      <c r="D1812" s="10">
        <v>0.75</v>
      </c>
      <c r="E1812" s="10">
        <v>11</v>
      </c>
    </row>
    <row r="1813" spans="1:5">
      <c r="A1813" t="s">
        <v>9755</v>
      </c>
      <c r="B1813" t="s">
        <v>8628</v>
      </c>
      <c r="C1813" s="10">
        <v>6</v>
      </c>
      <c r="D1813" s="10">
        <v>0.75</v>
      </c>
      <c r="E1813" s="10">
        <v>8</v>
      </c>
    </row>
    <row r="1814" spans="1:5">
      <c r="A1814" t="s">
        <v>9756</v>
      </c>
      <c r="B1814" t="s">
        <v>8629</v>
      </c>
      <c r="C1814" s="10">
        <v>6</v>
      </c>
      <c r="D1814" s="10">
        <v>0.7</v>
      </c>
      <c r="E1814" s="10">
        <v>40</v>
      </c>
    </row>
    <row r="1815" spans="1:5">
      <c r="A1815" t="s">
        <v>630</v>
      </c>
      <c r="B1815" t="s">
        <v>631</v>
      </c>
      <c r="C1815" s="10">
        <v>6</v>
      </c>
      <c r="D1815" s="10">
        <v>0.7</v>
      </c>
      <c r="E1815" s="10">
        <v>40</v>
      </c>
    </row>
    <row r="1816" spans="1:5">
      <c r="A1816" t="s">
        <v>632</v>
      </c>
      <c r="B1816" t="s">
        <v>633</v>
      </c>
      <c r="C1816" s="10">
        <v>6</v>
      </c>
      <c r="D1816" s="10">
        <v>0.7</v>
      </c>
      <c r="E1816" s="10">
        <v>40</v>
      </c>
    </row>
    <row r="1817" spans="1:5">
      <c r="A1817" t="s">
        <v>3895</v>
      </c>
      <c r="B1817" t="s">
        <v>3896</v>
      </c>
      <c r="C1817" s="10">
        <v>6</v>
      </c>
      <c r="D1817" s="10">
        <v>0.7</v>
      </c>
      <c r="E1817" s="10">
        <v>48</v>
      </c>
    </row>
    <row r="1818" spans="1:5">
      <c r="A1818" t="s">
        <v>634</v>
      </c>
      <c r="B1818" t="s">
        <v>635</v>
      </c>
      <c r="C1818" s="10">
        <v>6</v>
      </c>
      <c r="D1818" s="10">
        <v>0.7</v>
      </c>
      <c r="E1818" s="10">
        <v>40</v>
      </c>
    </row>
    <row r="1819" spans="1:5">
      <c r="A1819" t="s">
        <v>6847</v>
      </c>
      <c r="B1819" t="s">
        <v>6848</v>
      </c>
      <c r="C1819" s="10">
        <v>12</v>
      </c>
      <c r="D1819" s="10">
        <v>1</v>
      </c>
      <c r="E1819" s="10">
        <v>36</v>
      </c>
    </row>
    <row r="1820" spans="1:5">
      <c r="A1820" t="s">
        <v>3146</v>
      </c>
      <c r="B1820" t="s">
        <v>3147</v>
      </c>
      <c r="C1820" s="10">
        <v>6</v>
      </c>
      <c r="D1820" s="10">
        <v>0.75</v>
      </c>
      <c r="E1820" s="10">
        <v>12.5</v>
      </c>
    </row>
    <row r="1821" spans="1:5">
      <c r="A1821" t="s">
        <v>1810</v>
      </c>
      <c r="B1821" t="s">
        <v>1811</v>
      </c>
      <c r="C1821" s="10">
        <v>6</v>
      </c>
      <c r="D1821" s="10">
        <v>0.5</v>
      </c>
      <c r="E1821" s="10">
        <v>42.3</v>
      </c>
    </row>
    <row r="1822" spans="1:5">
      <c r="A1822" t="s">
        <v>3897</v>
      </c>
      <c r="B1822" t="s">
        <v>1811</v>
      </c>
      <c r="C1822" s="10">
        <v>6</v>
      </c>
      <c r="D1822" s="10">
        <v>0.7</v>
      </c>
      <c r="E1822" s="10">
        <v>42.3</v>
      </c>
    </row>
    <row r="1823" spans="1:5">
      <c r="A1823" t="s">
        <v>1812</v>
      </c>
      <c r="B1823" t="s">
        <v>1813</v>
      </c>
      <c r="C1823" s="10">
        <v>6</v>
      </c>
      <c r="D1823" s="10">
        <v>0.5</v>
      </c>
      <c r="E1823" s="10">
        <v>30</v>
      </c>
    </row>
    <row r="1824" spans="1:5">
      <c r="A1824" t="s">
        <v>3898</v>
      </c>
      <c r="B1824" t="s">
        <v>1813</v>
      </c>
      <c r="C1824" s="10">
        <v>6</v>
      </c>
      <c r="D1824" s="10">
        <v>0.7</v>
      </c>
      <c r="E1824" s="10">
        <v>30</v>
      </c>
    </row>
    <row r="1825" spans="1:5">
      <c r="A1825" t="s">
        <v>5034</v>
      </c>
      <c r="B1825" t="s">
        <v>5035</v>
      </c>
      <c r="C1825" s="10">
        <v>6</v>
      </c>
      <c r="D1825" s="10">
        <v>0.7</v>
      </c>
      <c r="E1825" s="10">
        <v>38</v>
      </c>
    </row>
    <row r="1826" spans="1:5">
      <c r="A1826" t="s">
        <v>2588</v>
      </c>
      <c r="B1826" t="s">
        <v>2589</v>
      </c>
      <c r="C1826" s="10">
        <v>6</v>
      </c>
      <c r="D1826" s="10">
        <v>0.75</v>
      </c>
      <c r="E1826" s="10">
        <v>11.5</v>
      </c>
    </row>
    <row r="1827" spans="1:5">
      <c r="A1827" t="s">
        <v>4756</v>
      </c>
      <c r="B1827" t="s">
        <v>4757</v>
      </c>
      <c r="C1827" s="10">
        <v>6</v>
      </c>
      <c r="D1827" s="10">
        <v>0.7</v>
      </c>
      <c r="E1827" s="10">
        <v>45</v>
      </c>
    </row>
    <row r="1828" spans="1:5">
      <c r="A1828" t="s">
        <v>3899</v>
      </c>
      <c r="B1828" t="s">
        <v>3900</v>
      </c>
      <c r="C1828" s="10">
        <v>6</v>
      </c>
      <c r="D1828" s="10">
        <v>0.7</v>
      </c>
      <c r="E1828" s="10">
        <v>27</v>
      </c>
    </row>
    <row r="1829" spans="1:5">
      <c r="A1829" t="s">
        <v>636</v>
      </c>
      <c r="B1829" t="s">
        <v>637</v>
      </c>
      <c r="C1829" s="10">
        <v>6</v>
      </c>
      <c r="D1829" s="10">
        <v>0.7</v>
      </c>
      <c r="E1829" s="10">
        <v>40</v>
      </c>
    </row>
    <row r="1830" spans="1:5">
      <c r="A1830" t="s">
        <v>3901</v>
      </c>
      <c r="B1830" t="s">
        <v>3902</v>
      </c>
      <c r="C1830" s="10">
        <v>6</v>
      </c>
      <c r="D1830" s="10">
        <v>0.7</v>
      </c>
      <c r="E1830" s="10">
        <v>44</v>
      </c>
    </row>
    <row r="1831" spans="1:5">
      <c r="A1831" t="s">
        <v>3903</v>
      </c>
      <c r="B1831" t="s">
        <v>3904</v>
      </c>
      <c r="C1831" s="10">
        <v>6</v>
      </c>
      <c r="D1831" s="10">
        <v>0.7</v>
      </c>
      <c r="E1831" s="10">
        <v>44</v>
      </c>
    </row>
    <row r="1832" spans="1:5">
      <c r="A1832" t="s">
        <v>6934</v>
      </c>
      <c r="B1832" t="s">
        <v>6935</v>
      </c>
      <c r="C1832" s="10">
        <v>6</v>
      </c>
      <c r="D1832" s="10">
        <v>0.7</v>
      </c>
      <c r="E1832" s="10">
        <v>44</v>
      </c>
    </row>
    <row r="1833" spans="1:5">
      <c r="A1833" t="s">
        <v>3905</v>
      </c>
      <c r="B1833" t="s">
        <v>3906</v>
      </c>
      <c r="C1833" s="10">
        <v>6</v>
      </c>
      <c r="D1833" s="10">
        <v>0.7</v>
      </c>
      <c r="E1833" s="10">
        <v>44</v>
      </c>
    </row>
    <row r="1834" spans="1:5">
      <c r="A1834" t="s">
        <v>3907</v>
      </c>
      <c r="B1834" t="s">
        <v>2086</v>
      </c>
      <c r="C1834" s="10">
        <v>6</v>
      </c>
      <c r="D1834" s="10">
        <v>0.7</v>
      </c>
      <c r="E1834" s="10">
        <v>17.899999999999999</v>
      </c>
    </row>
    <row r="1835" spans="1:5">
      <c r="A1835" t="s">
        <v>2085</v>
      </c>
      <c r="B1835" t="s">
        <v>2086</v>
      </c>
      <c r="C1835" s="10">
        <v>6</v>
      </c>
      <c r="D1835" s="10">
        <v>1</v>
      </c>
      <c r="E1835" s="10">
        <v>17.899999999999999</v>
      </c>
    </row>
    <row r="1836" spans="1:5">
      <c r="A1836" t="s">
        <v>3908</v>
      </c>
      <c r="B1836" t="s">
        <v>3909</v>
      </c>
      <c r="C1836" s="10">
        <v>6</v>
      </c>
      <c r="D1836" s="10">
        <v>0.7</v>
      </c>
      <c r="E1836" s="10">
        <v>23</v>
      </c>
    </row>
    <row r="1837" spans="1:5">
      <c r="A1837" t="s">
        <v>4865</v>
      </c>
      <c r="B1837" t="s">
        <v>4866</v>
      </c>
      <c r="C1837" s="10">
        <v>6</v>
      </c>
      <c r="D1837" s="10">
        <v>0.7</v>
      </c>
      <c r="E1837" s="10">
        <v>37.5</v>
      </c>
    </row>
    <row r="1838" spans="1:5">
      <c r="A1838" t="s">
        <v>3910</v>
      </c>
      <c r="B1838" t="s">
        <v>3911</v>
      </c>
      <c r="C1838" s="10">
        <v>6</v>
      </c>
      <c r="D1838" s="10">
        <v>0.7</v>
      </c>
      <c r="E1838" s="10">
        <v>42</v>
      </c>
    </row>
    <row r="1839" spans="1:5">
      <c r="A1839" t="s">
        <v>3912</v>
      </c>
      <c r="B1839" t="s">
        <v>3913</v>
      </c>
      <c r="C1839" s="10">
        <v>6</v>
      </c>
      <c r="D1839" s="10">
        <v>0.7</v>
      </c>
      <c r="E1839" s="10">
        <v>38.5</v>
      </c>
    </row>
    <row r="1840" spans="1:5">
      <c r="A1840" t="s">
        <v>638</v>
      </c>
      <c r="B1840" t="s">
        <v>639</v>
      </c>
      <c r="C1840" s="10">
        <v>6</v>
      </c>
      <c r="D1840" s="10">
        <v>0.7</v>
      </c>
      <c r="E1840" s="10">
        <v>40</v>
      </c>
    </row>
    <row r="1841" spans="1:5">
      <c r="A1841" t="s">
        <v>640</v>
      </c>
      <c r="B1841" t="s">
        <v>641</v>
      </c>
      <c r="C1841" s="10">
        <v>6</v>
      </c>
      <c r="D1841" s="10">
        <v>0.7</v>
      </c>
      <c r="E1841" s="10">
        <v>40</v>
      </c>
    </row>
    <row r="1842" spans="1:5">
      <c r="A1842" t="s">
        <v>642</v>
      </c>
      <c r="B1842" t="s">
        <v>643</v>
      </c>
      <c r="C1842" s="10">
        <v>6</v>
      </c>
      <c r="D1842" s="10">
        <v>0.7</v>
      </c>
      <c r="E1842" s="10">
        <v>40</v>
      </c>
    </row>
    <row r="1843" spans="1:5">
      <c r="A1843" t="s">
        <v>3914</v>
      </c>
      <c r="B1843" t="s">
        <v>3915</v>
      </c>
      <c r="C1843" s="10">
        <v>6</v>
      </c>
      <c r="D1843" s="10">
        <v>0.7</v>
      </c>
      <c r="E1843" s="10">
        <v>47</v>
      </c>
    </row>
    <row r="1844" spans="1:5">
      <c r="A1844" t="s">
        <v>644</v>
      </c>
      <c r="B1844" t="s">
        <v>645</v>
      </c>
      <c r="C1844" s="10">
        <v>6</v>
      </c>
      <c r="D1844" s="10">
        <v>0.7</v>
      </c>
      <c r="E1844" s="10">
        <v>40</v>
      </c>
    </row>
    <row r="1845" spans="1:5">
      <c r="A1845" t="s">
        <v>646</v>
      </c>
      <c r="B1845" t="s">
        <v>647</v>
      </c>
      <c r="C1845" s="10">
        <v>6</v>
      </c>
      <c r="D1845" s="10">
        <v>0.7</v>
      </c>
      <c r="E1845" s="10">
        <v>40</v>
      </c>
    </row>
    <row r="1846" spans="1:5">
      <c r="A1846" t="s">
        <v>648</v>
      </c>
      <c r="B1846" t="s">
        <v>649</v>
      </c>
      <c r="C1846" s="10">
        <v>6</v>
      </c>
      <c r="D1846" s="10">
        <v>0.7</v>
      </c>
      <c r="E1846" s="10">
        <v>40</v>
      </c>
    </row>
    <row r="1847" spans="1:5">
      <c r="A1847" t="s">
        <v>3916</v>
      </c>
      <c r="B1847" t="s">
        <v>3917</v>
      </c>
      <c r="C1847" s="10">
        <v>6</v>
      </c>
      <c r="D1847" s="10">
        <v>0.7</v>
      </c>
      <c r="E1847" s="10">
        <v>28</v>
      </c>
    </row>
    <row r="1848" spans="1:5">
      <c r="A1848" t="s">
        <v>650</v>
      </c>
      <c r="B1848" t="s">
        <v>651</v>
      </c>
      <c r="C1848" s="10">
        <v>6</v>
      </c>
      <c r="D1848" s="10">
        <v>0.7</v>
      </c>
      <c r="E1848" s="10">
        <v>40</v>
      </c>
    </row>
    <row r="1849" spans="1:5">
      <c r="A1849" t="s">
        <v>652</v>
      </c>
      <c r="B1849" t="s">
        <v>653</v>
      </c>
      <c r="C1849" s="10">
        <v>6</v>
      </c>
      <c r="D1849" s="10">
        <v>0.7</v>
      </c>
      <c r="E1849" s="10">
        <v>40</v>
      </c>
    </row>
    <row r="1850" spans="1:5">
      <c r="A1850" t="s">
        <v>654</v>
      </c>
      <c r="B1850" t="s">
        <v>655</v>
      </c>
      <c r="C1850" s="10">
        <v>6</v>
      </c>
      <c r="D1850" s="10">
        <v>0.7</v>
      </c>
      <c r="E1850" s="10">
        <v>40</v>
      </c>
    </row>
    <row r="1851" spans="1:5">
      <c r="A1851" t="s">
        <v>6231</v>
      </c>
      <c r="B1851" t="s">
        <v>2088</v>
      </c>
      <c r="C1851" s="10">
        <v>24</v>
      </c>
      <c r="D1851" s="10">
        <v>0.1</v>
      </c>
      <c r="E1851" s="10">
        <v>42.7</v>
      </c>
    </row>
    <row r="1852" spans="1:5">
      <c r="A1852" t="s">
        <v>3918</v>
      </c>
      <c r="B1852" t="s">
        <v>2088</v>
      </c>
      <c r="C1852" s="10">
        <v>6</v>
      </c>
      <c r="D1852" s="10">
        <v>0.7</v>
      </c>
      <c r="E1852" s="10">
        <v>42.7</v>
      </c>
    </row>
    <row r="1853" spans="1:5">
      <c r="A1853" t="s">
        <v>2087</v>
      </c>
      <c r="B1853" t="s">
        <v>2088</v>
      </c>
      <c r="C1853" s="10">
        <v>6</v>
      </c>
      <c r="D1853" s="10">
        <v>1</v>
      </c>
      <c r="E1853" s="10">
        <v>42.7</v>
      </c>
    </row>
    <row r="1854" spans="1:5">
      <c r="A1854" t="s">
        <v>9757</v>
      </c>
      <c r="B1854" t="s">
        <v>8630</v>
      </c>
      <c r="C1854" s="10">
        <v>3</v>
      </c>
      <c r="D1854" s="10">
        <v>0.7</v>
      </c>
      <c r="E1854" s="10">
        <v>42.7</v>
      </c>
    </row>
    <row r="1855" spans="1:5">
      <c r="A1855" t="s">
        <v>6232</v>
      </c>
      <c r="B1855" t="s">
        <v>6233</v>
      </c>
      <c r="C1855" s="10">
        <v>3</v>
      </c>
      <c r="D1855" s="10">
        <v>1.75</v>
      </c>
      <c r="E1855" s="10">
        <v>42.7</v>
      </c>
    </row>
    <row r="1856" spans="1:5">
      <c r="A1856" t="s">
        <v>9758</v>
      </c>
      <c r="B1856" t="s">
        <v>8631</v>
      </c>
      <c r="C1856" s="10">
        <v>6</v>
      </c>
      <c r="D1856" s="10">
        <v>0.7</v>
      </c>
      <c r="E1856" s="10">
        <v>42.7</v>
      </c>
    </row>
    <row r="1857" spans="1:5">
      <c r="A1857" t="s">
        <v>3919</v>
      </c>
      <c r="B1857" t="s">
        <v>2090</v>
      </c>
      <c r="C1857" s="10">
        <v>6</v>
      </c>
      <c r="D1857" s="10">
        <v>0.7</v>
      </c>
      <c r="E1857" s="10">
        <v>42.7</v>
      </c>
    </row>
    <row r="1858" spans="1:5">
      <c r="A1858" t="s">
        <v>2089</v>
      </c>
      <c r="B1858" t="s">
        <v>2090</v>
      </c>
      <c r="C1858" s="10">
        <v>6</v>
      </c>
      <c r="D1858" s="10">
        <v>1</v>
      </c>
      <c r="E1858" s="10">
        <v>42.7</v>
      </c>
    </row>
    <row r="1859" spans="1:5">
      <c r="A1859" t="s">
        <v>3920</v>
      </c>
      <c r="B1859" t="s">
        <v>3921</v>
      </c>
      <c r="C1859" s="10">
        <v>6</v>
      </c>
      <c r="D1859" s="10">
        <v>0.7</v>
      </c>
      <c r="E1859" s="10">
        <v>43.5</v>
      </c>
    </row>
    <row r="1860" spans="1:5">
      <c r="A1860" t="s">
        <v>6936</v>
      </c>
      <c r="B1860" t="s">
        <v>3921</v>
      </c>
      <c r="C1860" s="10">
        <v>6</v>
      </c>
      <c r="D1860" s="10">
        <v>0.7</v>
      </c>
      <c r="E1860" s="10">
        <v>43.5</v>
      </c>
    </row>
    <row r="1861" spans="1:5">
      <c r="A1861" t="s">
        <v>6234</v>
      </c>
      <c r="B1861" t="s">
        <v>5446</v>
      </c>
      <c r="C1861" s="10">
        <v>120</v>
      </c>
      <c r="D1861" s="10">
        <v>0.05</v>
      </c>
      <c r="E1861" s="10">
        <v>43</v>
      </c>
    </row>
    <row r="1862" spans="1:5">
      <c r="A1862" t="s">
        <v>5445</v>
      </c>
      <c r="B1862" t="s">
        <v>5446</v>
      </c>
      <c r="C1862" s="10">
        <v>6</v>
      </c>
      <c r="D1862" s="10">
        <v>0.7</v>
      </c>
      <c r="E1862" s="10">
        <v>43</v>
      </c>
    </row>
    <row r="1863" spans="1:5">
      <c r="A1863" t="s">
        <v>6235</v>
      </c>
      <c r="B1863" t="s">
        <v>6236</v>
      </c>
      <c r="C1863" s="10">
        <v>120</v>
      </c>
      <c r="D1863" s="10">
        <v>0.05</v>
      </c>
      <c r="E1863" s="10">
        <v>43</v>
      </c>
    </row>
    <row r="1864" spans="1:5">
      <c r="A1864" t="s">
        <v>5447</v>
      </c>
      <c r="B1864" t="s">
        <v>5448</v>
      </c>
      <c r="C1864" s="10">
        <v>6</v>
      </c>
      <c r="D1864" s="10">
        <v>0.7</v>
      </c>
      <c r="E1864" s="10">
        <v>43</v>
      </c>
    </row>
    <row r="1865" spans="1:5">
      <c r="A1865" t="s">
        <v>5449</v>
      </c>
      <c r="B1865" t="s">
        <v>5450</v>
      </c>
      <c r="C1865" s="10">
        <v>6</v>
      </c>
      <c r="D1865" s="10">
        <v>0.7</v>
      </c>
      <c r="E1865" s="10">
        <v>43</v>
      </c>
    </row>
    <row r="1866" spans="1:5">
      <c r="A1866" t="s">
        <v>6237</v>
      </c>
      <c r="B1866" t="s">
        <v>6238</v>
      </c>
      <c r="C1866" s="10">
        <v>120</v>
      </c>
      <c r="D1866" s="10">
        <v>0.05</v>
      </c>
      <c r="E1866" s="10">
        <v>43</v>
      </c>
    </row>
    <row r="1867" spans="1:5">
      <c r="A1867" t="s">
        <v>6239</v>
      </c>
      <c r="B1867" t="s">
        <v>5452</v>
      </c>
      <c r="C1867" s="10">
        <v>120</v>
      </c>
      <c r="D1867" s="10">
        <v>0.05</v>
      </c>
      <c r="E1867" s="10">
        <v>43</v>
      </c>
    </row>
    <row r="1868" spans="1:5">
      <c r="A1868" t="s">
        <v>5451</v>
      </c>
      <c r="B1868" t="s">
        <v>5452</v>
      </c>
      <c r="C1868" s="10">
        <v>6</v>
      </c>
      <c r="D1868" s="10">
        <v>0.7</v>
      </c>
      <c r="E1868" s="10">
        <v>43</v>
      </c>
    </row>
    <row r="1869" spans="1:5">
      <c r="A1869" t="s">
        <v>9759</v>
      </c>
      <c r="B1869" t="s">
        <v>8632</v>
      </c>
      <c r="C1869" s="10">
        <v>6</v>
      </c>
      <c r="D1869" s="10">
        <v>0.7</v>
      </c>
      <c r="E1869" s="10">
        <v>42.3</v>
      </c>
    </row>
    <row r="1870" spans="1:5">
      <c r="A1870" t="s">
        <v>3922</v>
      </c>
      <c r="B1870" t="s">
        <v>3923</v>
      </c>
      <c r="C1870" s="10">
        <v>6</v>
      </c>
      <c r="D1870" s="10">
        <v>0.7</v>
      </c>
      <c r="E1870" s="10">
        <v>30</v>
      </c>
    </row>
    <row r="1871" spans="1:5">
      <c r="A1871" t="s">
        <v>2590</v>
      </c>
      <c r="B1871" t="s">
        <v>2591</v>
      </c>
      <c r="C1871" s="10">
        <v>6</v>
      </c>
      <c r="D1871" s="10">
        <v>0.75</v>
      </c>
      <c r="E1871" s="10">
        <v>11.5</v>
      </c>
    </row>
    <row r="1872" spans="1:5">
      <c r="A1872" t="s">
        <v>2592</v>
      </c>
      <c r="B1872" t="s">
        <v>2593</v>
      </c>
      <c r="C1872" s="10">
        <v>6</v>
      </c>
      <c r="D1872" s="10">
        <v>0.75</v>
      </c>
      <c r="E1872" s="10">
        <v>11.5</v>
      </c>
    </row>
    <row r="1873" spans="1:5">
      <c r="A1873" t="s">
        <v>3924</v>
      </c>
      <c r="B1873" t="s">
        <v>3925</v>
      </c>
      <c r="C1873" s="10">
        <v>6</v>
      </c>
      <c r="D1873" s="10">
        <v>0.7</v>
      </c>
      <c r="E1873" s="10">
        <v>17</v>
      </c>
    </row>
    <row r="1874" spans="1:5">
      <c r="A1874" t="s">
        <v>3926</v>
      </c>
      <c r="B1874" t="s">
        <v>3927</v>
      </c>
      <c r="C1874" s="10">
        <v>6</v>
      </c>
      <c r="D1874" s="10">
        <v>0.7</v>
      </c>
      <c r="E1874" s="10">
        <v>35</v>
      </c>
    </row>
    <row r="1875" spans="1:5">
      <c r="A1875" t="s">
        <v>656</v>
      </c>
      <c r="B1875" t="s">
        <v>657</v>
      </c>
      <c r="C1875" s="10">
        <v>6</v>
      </c>
      <c r="D1875" s="10">
        <v>0.7</v>
      </c>
      <c r="E1875" s="10">
        <v>40</v>
      </c>
    </row>
    <row r="1876" spans="1:5">
      <c r="A1876" t="s">
        <v>1448</v>
      </c>
      <c r="B1876" t="s">
        <v>1449</v>
      </c>
      <c r="C1876" s="10">
        <v>6</v>
      </c>
      <c r="D1876" s="10">
        <v>1</v>
      </c>
      <c r="E1876" s="10">
        <v>40</v>
      </c>
    </row>
    <row r="1877" spans="1:5">
      <c r="A1877" t="s">
        <v>9760</v>
      </c>
      <c r="B1877" t="s">
        <v>8633</v>
      </c>
      <c r="C1877" s="10">
        <v>6</v>
      </c>
      <c r="D1877" s="10">
        <v>1</v>
      </c>
      <c r="E1877" s="10">
        <v>40</v>
      </c>
    </row>
    <row r="1878" spans="1:5">
      <c r="A1878" t="s">
        <v>6240</v>
      </c>
      <c r="B1878" t="s">
        <v>6241</v>
      </c>
      <c r="C1878" s="10">
        <v>2</v>
      </c>
      <c r="D1878" s="10">
        <v>0.7</v>
      </c>
      <c r="E1878" s="10">
        <v>43</v>
      </c>
    </row>
    <row r="1879" spans="1:5">
      <c r="A1879" t="s">
        <v>5453</v>
      </c>
      <c r="B1879" t="s">
        <v>5454</v>
      </c>
      <c r="C1879" s="10">
        <v>6</v>
      </c>
      <c r="D1879" s="10">
        <v>0.7</v>
      </c>
      <c r="E1879" s="10">
        <v>43</v>
      </c>
    </row>
    <row r="1880" spans="1:5">
      <c r="A1880" t="s">
        <v>3928</v>
      </c>
      <c r="B1880" t="s">
        <v>3929</v>
      </c>
      <c r="C1880" s="10">
        <v>6</v>
      </c>
      <c r="D1880" s="10">
        <v>0.7</v>
      </c>
      <c r="E1880" s="10">
        <v>48</v>
      </c>
    </row>
    <row r="1881" spans="1:5">
      <c r="A1881" t="s">
        <v>3930</v>
      </c>
      <c r="B1881" t="s">
        <v>3931</v>
      </c>
      <c r="C1881" s="10">
        <v>6</v>
      </c>
      <c r="D1881" s="10">
        <v>0.7</v>
      </c>
      <c r="E1881" s="10">
        <v>48</v>
      </c>
    </row>
    <row r="1882" spans="1:5">
      <c r="A1882" t="s">
        <v>5455</v>
      </c>
      <c r="B1882" t="s">
        <v>5456</v>
      </c>
      <c r="C1882" s="10">
        <v>6</v>
      </c>
      <c r="D1882" s="10">
        <v>0.7</v>
      </c>
      <c r="E1882" s="10">
        <v>43</v>
      </c>
    </row>
    <row r="1883" spans="1:5">
      <c r="A1883" t="s">
        <v>9761</v>
      </c>
      <c r="B1883" t="s">
        <v>8634</v>
      </c>
      <c r="C1883" s="10">
        <v>6</v>
      </c>
      <c r="D1883" s="10">
        <v>1</v>
      </c>
      <c r="E1883" s="10">
        <v>50</v>
      </c>
    </row>
    <row r="1884" spans="1:5">
      <c r="A1884" t="s">
        <v>5457</v>
      </c>
      <c r="B1884" t="s">
        <v>2091</v>
      </c>
      <c r="C1884" s="10">
        <v>6</v>
      </c>
      <c r="D1884" s="10">
        <v>0.7</v>
      </c>
      <c r="E1884" s="10">
        <v>43</v>
      </c>
    </row>
    <row r="1885" spans="1:5">
      <c r="A1885" t="s">
        <v>9762</v>
      </c>
      <c r="B1885" t="s">
        <v>2091</v>
      </c>
      <c r="C1885" s="10">
        <v>6</v>
      </c>
      <c r="D1885" s="10">
        <v>1</v>
      </c>
      <c r="E1885" s="10">
        <v>43</v>
      </c>
    </row>
    <row r="1886" spans="1:5">
      <c r="A1886" t="s">
        <v>658</v>
      </c>
      <c r="B1886" t="s">
        <v>659</v>
      </c>
      <c r="C1886" s="10">
        <v>6</v>
      </c>
      <c r="D1886" s="10">
        <v>0.7</v>
      </c>
      <c r="E1886" s="10">
        <v>40</v>
      </c>
    </row>
    <row r="1887" spans="1:5">
      <c r="A1887" t="s">
        <v>5792</v>
      </c>
      <c r="B1887" t="s">
        <v>661</v>
      </c>
      <c r="C1887" s="10">
        <v>12</v>
      </c>
      <c r="D1887" s="10">
        <v>0.2</v>
      </c>
      <c r="E1887" s="10">
        <v>40</v>
      </c>
    </row>
    <row r="1888" spans="1:5">
      <c r="A1888" t="s">
        <v>660</v>
      </c>
      <c r="B1888" t="s">
        <v>661</v>
      </c>
      <c r="C1888" s="10">
        <v>6</v>
      </c>
      <c r="D1888" s="10">
        <v>0.7</v>
      </c>
      <c r="E1888" s="10">
        <v>40</v>
      </c>
    </row>
    <row r="1889" spans="1:5">
      <c r="A1889" t="s">
        <v>1450</v>
      </c>
      <c r="B1889" t="s">
        <v>661</v>
      </c>
      <c r="C1889" s="10">
        <v>6</v>
      </c>
      <c r="D1889" s="10">
        <v>1</v>
      </c>
      <c r="E1889" s="10">
        <v>40</v>
      </c>
    </row>
    <row r="1890" spans="1:5">
      <c r="A1890" t="s">
        <v>9763</v>
      </c>
      <c r="B1890" t="s">
        <v>8635</v>
      </c>
      <c r="C1890" s="10">
        <v>6</v>
      </c>
      <c r="D1890" s="10">
        <v>0.7</v>
      </c>
      <c r="E1890" s="10">
        <v>40</v>
      </c>
    </row>
    <row r="1891" spans="1:5">
      <c r="A1891" t="s">
        <v>662</v>
      </c>
      <c r="B1891" t="s">
        <v>663</v>
      </c>
      <c r="C1891" s="10">
        <v>6</v>
      </c>
      <c r="D1891" s="10">
        <v>0.7</v>
      </c>
      <c r="E1891" s="10">
        <v>40</v>
      </c>
    </row>
    <row r="1892" spans="1:5">
      <c r="A1892" t="s">
        <v>664</v>
      </c>
      <c r="B1892" t="s">
        <v>665</v>
      </c>
      <c r="C1892" s="10">
        <v>6</v>
      </c>
      <c r="D1892" s="10">
        <v>0.7</v>
      </c>
      <c r="E1892" s="10">
        <v>40</v>
      </c>
    </row>
    <row r="1893" spans="1:5">
      <c r="A1893" t="s">
        <v>3932</v>
      </c>
      <c r="B1893" t="s">
        <v>3933</v>
      </c>
      <c r="C1893" s="10">
        <v>6</v>
      </c>
      <c r="D1893" s="10">
        <v>0.7</v>
      </c>
      <c r="E1893" s="10">
        <v>47.2</v>
      </c>
    </row>
    <row r="1894" spans="1:5">
      <c r="A1894" t="s">
        <v>666</v>
      </c>
      <c r="B1894" t="s">
        <v>667</v>
      </c>
      <c r="C1894" s="10">
        <v>6</v>
      </c>
      <c r="D1894" s="10">
        <v>0.7</v>
      </c>
      <c r="E1894" s="10">
        <v>40</v>
      </c>
    </row>
    <row r="1895" spans="1:5">
      <c r="A1895" t="s">
        <v>668</v>
      </c>
      <c r="B1895" t="s">
        <v>669</v>
      </c>
      <c r="C1895" s="10">
        <v>6</v>
      </c>
      <c r="D1895" s="10">
        <v>0.7</v>
      </c>
      <c r="E1895" s="10">
        <v>40</v>
      </c>
    </row>
    <row r="1896" spans="1:5">
      <c r="A1896" t="s">
        <v>670</v>
      </c>
      <c r="B1896" t="s">
        <v>671</v>
      </c>
      <c r="C1896" s="10">
        <v>6</v>
      </c>
      <c r="D1896" s="10">
        <v>0.7</v>
      </c>
      <c r="E1896" s="10">
        <v>40</v>
      </c>
    </row>
    <row r="1897" spans="1:5">
      <c r="A1897" t="s">
        <v>9764</v>
      </c>
      <c r="B1897" t="s">
        <v>8636</v>
      </c>
      <c r="C1897" s="10">
        <v>6</v>
      </c>
      <c r="D1897" s="10">
        <v>0.7</v>
      </c>
      <c r="E1897" s="10">
        <v>40</v>
      </c>
    </row>
    <row r="1898" spans="1:5">
      <c r="A1898" t="s">
        <v>672</v>
      </c>
      <c r="B1898" t="s">
        <v>673</v>
      </c>
      <c r="C1898" s="10">
        <v>6</v>
      </c>
      <c r="D1898" s="10">
        <v>0.7</v>
      </c>
      <c r="E1898" s="10">
        <v>40</v>
      </c>
    </row>
    <row r="1899" spans="1:5">
      <c r="A1899" t="s">
        <v>674</v>
      </c>
      <c r="B1899" t="s">
        <v>675</v>
      </c>
      <c r="C1899" s="10">
        <v>6</v>
      </c>
      <c r="D1899" s="10">
        <v>0.7</v>
      </c>
      <c r="E1899" s="10">
        <v>40</v>
      </c>
    </row>
    <row r="1900" spans="1:5">
      <c r="A1900" t="s">
        <v>676</v>
      </c>
      <c r="B1900" t="s">
        <v>677</v>
      </c>
      <c r="C1900" s="10">
        <v>6</v>
      </c>
      <c r="D1900" s="10">
        <v>0.7</v>
      </c>
      <c r="E1900" s="10">
        <v>40</v>
      </c>
    </row>
    <row r="1901" spans="1:5">
      <c r="A1901" t="s">
        <v>5911</v>
      </c>
      <c r="B1901" t="s">
        <v>1573</v>
      </c>
      <c r="C1901" s="10">
        <v>36</v>
      </c>
      <c r="D1901" s="10">
        <v>0.2</v>
      </c>
      <c r="E1901" s="10">
        <v>40</v>
      </c>
    </row>
    <row r="1902" spans="1:5">
      <c r="A1902" t="s">
        <v>5793</v>
      </c>
      <c r="B1902" t="s">
        <v>1573</v>
      </c>
      <c r="C1902" s="10">
        <v>12</v>
      </c>
      <c r="D1902" s="10">
        <v>0.35</v>
      </c>
      <c r="E1902" s="10">
        <v>40</v>
      </c>
    </row>
    <row r="1903" spans="1:5">
      <c r="A1903" t="s">
        <v>5794</v>
      </c>
      <c r="B1903" t="s">
        <v>1573</v>
      </c>
      <c r="C1903" s="10">
        <v>12</v>
      </c>
      <c r="D1903" s="10">
        <v>0.7</v>
      </c>
      <c r="E1903" s="10">
        <v>40</v>
      </c>
    </row>
    <row r="1904" spans="1:5">
      <c r="A1904" t="s">
        <v>5710</v>
      </c>
      <c r="B1904" t="s">
        <v>1573</v>
      </c>
      <c r="C1904" s="10">
        <v>12</v>
      </c>
      <c r="D1904" s="10">
        <v>1</v>
      </c>
      <c r="E1904" s="10">
        <v>40</v>
      </c>
    </row>
    <row r="1905" spans="1:5">
      <c r="A1905" t="s">
        <v>1572</v>
      </c>
      <c r="B1905" t="s">
        <v>1573</v>
      </c>
      <c r="C1905" s="10">
        <v>6</v>
      </c>
      <c r="D1905" s="10">
        <v>1.5</v>
      </c>
      <c r="E1905" s="10">
        <v>40</v>
      </c>
    </row>
    <row r="1906" spans="1:5">
      <c r="A1906" t="s">
        <v>5912</v>
      </c>
      <c r="B1906" t="s">
        <v>1573</v>
      </c>
      <c r="C1906" s="10">
        <v>2</v>
      </c>
      <c r="D1906" s="10">
        <v>4.5</v>
      </c>
      <c r="E1906" s="10">
        <v>40</v>
      </c>
    </row>
    <row r="1907" spans="1:5">
      <c r="A1907" t="s">
        <v>5795</v>
      </c>
      <c r="B1907" t="s">
        <v>5796</v>
      </c>
      <c r="C1907" s="10">
        <v>12</v>
      </c>
      <c r="D1907" s="10">
        <v>0.7</v>
      </c>
      <c r="E1907" s="10">
        <v>40</v>
      </c>
    </row>
    <row r="1908" spans="1:5">
      <c r="A1908" t="s">
        <v>678</v>
      </c>
      <c r="B1908" t="s">
        <v>679</v>
      </c>
      <c r="C1908" s="10">
        <v>6</v>
      </c>
      <c r="D1908" s="10">
        <v>0.7</v>
      </c>
      <c r="E1908" s="10">
        <v>40</v>
      </c>
    </row>
    <row r="1909" spans="1:5">
      <c r="A1909" t="s">
        <v>680</v>
      </c>
      <c r="B1909" t="s">
        <v>681</v>
      </c>
      <c r="C1909" s="10">
        <v>6</v>
      </c>
      <c r="D1909" s="10">
        <v>0.7</v>
      </c>
      <c r="E1909" s="10">
        <v>40</v>
      </c>
    </row>
    <row r="1910" spans="1:5">
      <c r="A1910" t="s">
        <v>682</v>
      </c>
      <c r="B1910" t="s">
        <v>681</v>
      </c>
      <c r="C1910" s="10">
        <v>6</v>
      </c>
      <c r="D1910" s="10">
        <v>0.7</v>
      </c>
      <c r="E1910" s="10">
        <v>40</v>
      </c>
    </row>
    <row r="1911" spans="1:5">
      <c r="A1911" t="s">
        <v>5192</v>
      </c>
      <c r="B1911" t="s">
        <v>5193</v>
      </c>
      <c r="C1911" s="10">
        <v>6</v>
      </c>
      <c r="D1911" s="10">
        <v>0.7</v>
      </c>
      <c r="E1911" s="10">
        <v>46</v>
      </c>
    </row>
    <row r="1912" spans="1:5">
      <c r="A1912" t="s">
        <v>5458</v>
      </c>
      <c r="B1912" t="s">
        <v>5459</v>
      </c>
      <c r="C1912" s="10">
        <v>6</v>
      </c>
      <c r="D1912" s="10">
        <v>0.7</v>
      </c>
      <c r="E1912" s="10">
        <v>43</v>
      </c>
    </row>
    <row r="1913" spans="1:5">
      <c r="A1913" t="s">
        <v>5797</v>
      </c>
      <c r="B1913" t="s">
        <v>684</v>
      </c>
      <c r="C1913" s="10">
        <v>12</v>
      </c>
      <c r="D1913" s="10">
        <v>0.2</v>
      </c>
      <c r="E1913" s="10">
        <v>40</v>
      </c>
    </row>
    <row r="1914" spans="1:5">
      <c r="A1914" t="s">
        <v>5798</v>
      </c>
      <c r="B1914" t="s">
        <v>684</v>
      </c>
      <c r="C1914" s="10">
        <v>12</v>
      </c>
      <c r="D1914" s="10">
        <v>0.35</v>
      </c>
      <c r="E1914" s="10">
        <v>40</v>
      </c>
    </row>
    <row r="1915" spans="1:5">
      <c r="A1915" t="s">
        <v>683</v>
      </c>
      <c r="B1915" t="s">
        <v>684</v>
      </c>
      <c r="C1915" s="10">
        <v>6</v>
      </c>
      <c r="D1915" s="10">
        <v>0.7</v>
      </c>
      <c r="E1915" s="10">
        <v>40</v>
      </c>
    </row>
    <row r="1916" spans="1:5">
      <c r="A1916" t="s">
        <v>1451</v>
      </c>
      <c r="B1916" t="s">
        <v>684</v>
      </c>
      <c r="C1916" s="10">
        <v>6</v>
      </c>
      <c r="D1916" s="10">
        <v>1</v>
      </c>
      <c r="E1916" s="10">
        <v>40</v>
      </c>
    </row>
    <row r="1917" spans="1:5">
      <c r="A1917" t="s">
        <v>1574</v>
      </c>
      <c r="B1917" t="s">
        <v>684</v>
      </c>
      <c r="C1917" s="10">
        <v>6</v>
      </c>
      <c r="D1917" s="10">
        <v>1.5</v>
      </c>
      <c r="E1917" s="10">
        <v>40</v>
      </c>
    </row>
    <row r="1918" spans="1:5">
      <c r="A1918" t="s">
        <v>685</v>
      </c>
      <c r="B1918" t="s">
        <v>686</v>
      </c>
      <c r="C1918" s="10">
        <v>6</v>
      </c>
      <c r="D1918" s="10">
        <v>0.7</v>
      </c>
      <c r="E1918" s="10">
        <v>40</v>
      </c>
    </row>
    <row r="1919" spans="1:5">
      <c r="A1919" t="s">
        <v>687</v>
      </c>
      <c r="B1919" t="s">
        <v>688</v>
      </c>
      <c r="C1919" s="10">
        <v>6</v>
      </c>
      <c r="D1919" s="10">
        <v>0.7</v>
      </c>
      <c r="E1919" s="10">
        <v>40</v>
      </c>
    </row>
    <row r="1920" spans="1:5">
      <c r="A1920" t="s">
        <v>3934</v>
      </c>
      <c r="B1920" t="s">
        <v>3935</v>
      </c>
      <c r="C1920" s="10">
        <v>6</v>
      </c>
      <c r="D1920" s="10">
        <v>0.7</v>
      </c>
      <c r="E1920" s="10">
        <v>48</v>
      </c>
    </row>
    <row r="1921" spans="1:5">
      <c r="A1921" t="s">
        <v>3936</v>
      </c>
      <c r="B1921" t="s">
        <v>3937</v>
      </c>
      <c r="C1921" s="10">
        <v>6</v>
      </c>
      <c r="D1921" s="10">
        <v>0.7</v>
      </c>
      <c r="E1921" s="10">
        <v>58.1</v>
      </c>
    </row>
    <row r="1922" spans="1:5">
      <c r="A1922" t="s">
        <v>9765</v>
      </c>
      <c r="B1922" t="s">
        <v>8637</v>
      </c>
      <c r="C1922" s="10">
        <v>6</v>
      </c>
      <c r="D1922" s="10">
        <v>0.7</v>
      </c>
      <c r="E1922" s="10">
        <v>56.8</v>
      </c>
    </row>
    <row r="1923" spans="1:5">
      <c r="A1923" t="s">
        <v>3938</v>
      </c>
      <c r="B1923" t="s">
        <v>3939</v>
      </c>
      <c r="C1923" s="10">
        <v>6</v>
      </c>
      <c r="D1923" s="10">
        <v>0.7</v>
      </c>
      <c r="E1923" s="10">
        <v>57.2</v>
      </c>
    </row>
    <row r="1924" spans="1:5">
      <c r="A1924" t="s">
        <v>9766</v>
      </c>
      <c r="B1924" t="s">
        <v>8638</v>
      </c>
      <c r="C1924" s="10">
        <v>6</v>
      </c>
      <c r="D1924" s="10">
        <v>0.7</v>
      </c>
      <c r="E1924" s="10">
        <v>48</v>
      </c>
    </row>
    <row r="1925" spans="1:5">
      <c r="A1925" t="s">
        <v>3940</v>
      </c>
      <c r="B1925" t="s">
        <v>3941</v>
      </c>
      <c r="C1925" s="10">
        <v>6</v>
      </c>
      <c r="D1925" s="10">
        <v>0.7</v>
      </c>
      <c r="E1925" s="10">
        <v>48</v>
      </c>
    </row>
    <row r="1926" spans="1:5">
      <c r="A1926" t="s">
        <v>5194</v>
      </c>
      <c r="B1926" t="s">
        <v>5195</v>
      </c>
      <c r="C1926" s="10">
        <v>6</v>
      </c>
      <c r="D1926" s="10">
        <v>0.7</v>
      </c>
      <c r="E1926" s="10">
        <v>46</v>
      </c>
    </row>
    <row r="1927" spans="1:5">
      <c r="A1927" t="s">
        <v>5196</v>
      </c>
      <c r="B1927" t="s">
        <v>5197</v>
      </c>
      <c r="C1927" s="10">
        <v>6</v>
      </c>
      <c r="D1927" s="10">
        <v>0.7</v>
      </c>
      <c r="E1927" s="10">
        <v>46</v>
      </c>
    </row>
    <row r="1928" spans="1:5">
      <c r="A1928" t="s">
        <v>9767</v>
      </c>
      <c r="B1928" t="s">
        <v>8639</v>
      </c>
      <c r="C1928" s="10">
        <v>12</v>
      </c>
      <c r="D1928" s="10">
        <v>0.05</v>
      </c>
      <c r="E1928" s="10">
        <v>46</v>
      </c>
    </row>
    <row r="1929" spans="1:5">
      <c r="A1929" t="s">
        <v>9768</v>
      </c>
      <c r="B1929" t="s">
        <v>8639</v>
      </c>
      <c r="C1929" s="10">
        <v>6</v>
      </c>
      <c r="D1929" s="10">
        <v>0.7</v>
      </c>
      <c r="E1929" s="10">
        <v>46</v>
      </c>
    </row>
    <row r="1930" spans="1:5">
      <c r="A1930" t="s">
        <v>5198</v>
      </c>
      <c r="B1930" t="s">
        <v>5199</v>
      </c>
      <c r="C1930" s="10">
        <v>6</v>
      </c>
      <c r="D1930" s="10">
        <v>0.7</v>
      </c>
      <c r="E1930" s="10">
        <v>46</v>
      </c>
    </row>
    <row r="1931" spans="1:5">
      <c r="A1931" t="s">
        <v>9769</v>
      </c>
      <c r="B1931" t="s">
        <v>8640</v>
      </c>
      <c r="C1931" s="10">
        <v>4</v>
      </c>
      <c r="D1931" s="10">
        <v>0.7</v>
      </c>
      <c r="E1931" s="10">
        <v>58.7</v>
      </c>
    </row>
    <row r="1932" spans="1:5">
      <c r="A1932" t="s">
        <v>3942</v>
      </c>
      <c r="B1932" t="s">
        <v>3943</v>
      </c>
      <c r="C1932" s="10">
        <v>6</v>
      </c>
      <c r="D1932" s="10">
        <v>0.7</v>
      </c>
      <c r="E1932" s="10">
        <v>48</v>
      </c>
    </row>
    <row r="1933" spans="1:5">
      <c r="A1933" t="s">
        <v>5200</v>
      </c>
      <c r="B1933" t="s">
        <v>5201</v>
      </c>
      <c r="C1933" s="10">
        <v>6</v>
      </c>
      <c r="D1933" s="10">
        <v>0.7</v>
      </c>
      <c r="E1933" s="10">
        <v>46</v>
      </c>
    </row>
    <row r="1934" spans="1:5">
      <c r="A1934" t="s">
        <v>3944</v>
      </c>
      <c r="B1934" t="s">
        <v>3945</v>
      </c>
      <c r="C1934" s="10">
        <v>6</v>
      </c>
      <c r="D1934" s="10">
        <v>0.7</v>
      </c>
      <c r="E1934" s="10">
        <v>48</v>
      </c>
    </row>
    <row r="1935" spans="1:5">
      <c r="A1935" t="s">
        <v>3946</v>
      </c>
      <c r="B1935" t="s">
        <v>8641</v>
      </c>
      <c r="C1935" s="10">
        <v>6</v>
      </c>
      <c r="D1935" s="10">
        <v>0.7</v>
      </c>
      <c r="E1935" s="10">
        <v>48</v>
      </c>
    </row>
    <row r="1936" spans="1:5">
      <c r="A1936" t="s">
        <v>9770</v>
      </c>
      <c r="B1936" t="s">
        <v>8642</v>
      </c>
      <c r="C1936" s="10">
        <v>6</v>
      </c>
      <c r="D1936" s="10">
        <v>0.7</v>
      </c>
      <c r="E1936" s="10">
        <v>48</v>
      </c>
    </row>
    <row r="1937" spans="1:5">
      <c r="A1937" t="s">
        <v>9771</v>
      </c>
      <c r="B1937" t="s">
        <v>8643</v>
      </c>
      <c r="C1937" s="10">
        <v>6</v>
      </c>
      <c r="D1937" s="10">
        <v>0.7</v>
      </c>
      <c r="E1937" s="10">
        <v>46</v>
      </c>
    </row>
    <row r="1938" spans="1:5">
      <c r="A1938" t="s">
        <v>5202</v>
      </c>
      <c r="B1938" t="s">
        <v>5203</v>
      </c>
      <c r="C1938" s="10">
        <v>6</v>
      </c>
      <c r="D1938" s="10">
        <v>0.7</v>
      </c>
      <c r="E1938" s="10">
        <v>46</v>
      </c>
    </row>
    <row r="1939" spans="1:5">
      <c r="A1939" t="s">
        <v>5204</v>
      </c>
      <c r="B1939" t="s">
        <v>5205</v>
      </c>
      <c r="C1939" s="10">
        <v>6</v>
      </c>
      <c r="D1939" s="10">
        <v>0.7</v>
      </c>
      <c r="E1939" s="10">
        <v>46</v>
      </c>
    </row>
    <row r="1940" spans="1:5">
      <c r="A1940" t="s">
        <v>5206</v>
      </c>
      <c r="B1940" t="s">
        <v>5207</v>
      </c>
      <c r="C1940" s="10">
        <v>6</v>
      </c>
      <c r="D1940" s="10">
        <v>0.7</v>
      </c>
      <c r="E1940" s="10">
        <v>46</v>
      </c>
    </row>
    <row r="1941" spans="1:5">
      <c r="A1941" t="s">
        <v>9772</v>
      </c>
      <c r="B1941" t="s">
        <v>8644</v>
      </c>
      <c r="C1941" s="10">
        <v>6</v>
      </c>
      <c r="D1941" s="10">
        <v>0.7</v>
      </c>
      <c r="E1941" s="10">
        <v>46</v>
      </c>
    </row>
    <row r="1942" spans="1:5">
      <c r="A1942" t="s">
        <v>9773</v>
      </c>
      <c r="B1942" t="s">
        <v>8645</v>
      </c>
      <c r="C1942" s="10">
        <v>6</v>
      </c>
      <c r="D1942" s="10">
        <v>0.7</v>
      </c>
      <c r="E1942" s="10">
        <v>40</v>
      </c>
    </row>
    <row r="1943" spans="1:5">
      <c r="A1943" t="s">
        <v>5208</v>
      </c>
      <c r="B1943" t="s">
        <v>5209</v>
      </c>
      <c r="C1943" s="10">
        <v>6</v>
      </c>
      <c r="D1943" s="10">
        <v>0.7</v>
      </c>
      <c r="E1943" s="10">
        <v>46</v>
      </c>
    </row>
    <row r="1944" spans="1:5">
      <c r="A1944" t="s">
        <v>689</v>
      </c>
      <c r="B1944" t="s">
        <v>690</v>
      </c>
      <c r="C1944" s="10">
        <v>6</v>
      </c>
      <c r="D1944" s="10">
        <v>0.7</v>
      </c>
      <c r="E1944" s="10">
        <v>40</v>
      </c>
    </row>
    <row r="1945" spans="1:5">
      <c r="A1945" t="s">
        <v>3947</v>
      </c>
      <c r="B1945" t="s">
        <v>3948</v>
      </c>
      <c r="C1945" s="10">
        <v>6</v>
      </c>
      <c r="D1945" s="10">
        <v>0.7</v>
      </c>
      <c r="E1945" s="10">
        <v>60</v>
      </c>
    </row>
    <row r="1946" spans="1:5">
      <c r="A1946" t="s">
        <v>9774</v>
      </c>
      <c r="B1946" t="s">
        <v>3948</v>
      </c>
      <c r="C1946" s="10">
        <v>12</v>
      </c>
      <c r="D1946" s="10">
        <v>1</v>
      </c>
      <c r="E1946" s="10">
        <v>60</v>
      </c>
    </row>
    <row r="1947" spans="1:5">
      <c r="A1947" t="s">
        <v>5460</v>
      </c>
      <c r="B1947" t="s">
        <v>5461</v>
      </c>
      <c r="C1947" s="10">
        <v>6</v>
      </c>
      <c r="D1947" s="10">
        <v>0.7</v>
      </c>
      <c r="E1947" s="10">
        <v>43</v>
      </c>
    </row>
    <row r="1948" spans="1:5">
      <c r="A1948" t="s">
        <v>6849</v>
      </c>
      <c r="B1948" t="s">
        <v>5461</v>
      </c>
      <c r="C1948" s="10">
        <v>12</v>
      </c>
      <c r="D1948" s="10">
        <v>1</v>
      </c>
      <c r="E1948" s="10">
        <v>43</v>
      </c>
    </row>
    <row r="1949" spans="1:5">
      <c r="A1949" t="s">
        <v>5210</v>
      </c>
      <c r="B1949" t="s">
        <v>5211</v>
      </c>
      <c r="C1949" s="10">
        <v>6</v>
      </c>
      <c r="D1949" s="10">
        <v>0.7</v>
      </c>
      <c r="E1949" s="10">
        <v>46</v>
      </c>
    </row>
    <row r="1950" spans="1:5">
      <c r="A1950" t="s">
        <v>9775</v>
      </c>
      <c r="B1950" t="s">
        <v>8646</v>
      </c>
      <c r="C1950" s="10">
        <v>6</v>
      </c>
      <c r="D1950" s="10">
        <v>0.8</v>
      </c>
      <c r="E1950" s="10">
        <v>46.7</v>
      </c>
    </row>
    <row r="1951" spans="1:5">
      <c r="A1951" t="s">
        <v>5462</v>
      </c>
      <c r="B1951" t="s">
        <v>5463</v>
      </c>
      <c r="C1951" s="10">
        <v>6</v>
      </c>
      <c r="D1951" s="10">
        <v>0.7</v>
      </c>
      <c r="E1951" s="10">
        <v>43</v>
      </c>
    </row>
    <row r="1952" spans="1:5">
      <c r="A1952" t="s">
        <v>9776</v>
      </c>
      <c r="B1952" t="s">
        <v>8647</v>
      </c>
      <c r="C1952" s="10">
        <v>6</v>
      </c>
      <c r="D1952" s="10">
        <v>0.7</v>
      </c>
      <c r="E1952" s="10">
        <v>43.7</v>
      </c>
    </row>
    <row r="1953" spans="1:5">
      <c r="A1953" t="s">
        <v>6242</v>
      </c>
      <c r="B1953" t="s">
        <v>6243</v>
      </c>
      <c r="C1953" s="10">
        <v>18</v>
      </c>
      <c r="D1953" s="10">
        <v>0.05</v>
      </c>
      <c r="E1953" s="10">
        <v>43</v>
      </c>
    </row>
    <row r="1954" spans="1:5">
      <c r="A1954" t="s">
        <v>691</v>
      </c>
      <c r="B1954" t="s">
        <v>692</v>
      </c>
      <c r="C1954" s="10">
        <v>6</v>
      </c>
      <c r="D1954" s="10">
        <v>0.7</v>
      </c>
      <c r="E1954" s="10">
        <v>40</v>
      </c>
    </row>
    <row r="1955" spans="1:5">
      <c r="A1955" t="s">
        <v>9777</v>
      </c>
      <c r="B1955" t="s">
        <v>8648</v>
      </c>
      <c r="C1955" s="10">
        <v>6</v>
      </c>
      <c r="D1955" s="10">
        <v>0.7</v>
      </c>
      <c r="E1955" s="10">
        <v>40</v>
      </c>
    </row>
    <row r="1956" spans="1:5">
      <c r="A1956" t="s">
        <v>9778</v>
      </c>
      <c r="B1956" t="s">
        <v>8648</v>
      </c>
      <c r="C1956" s="10">
        <v>6</v>
      </c>
      <c r="D1956" s="10">
        <v>0.7</v>
      </c>
      <c r="E1956" s="10">
        <v>40</v>
      </c>
    </row>
    <row r="1957" spans="1:5">
      <c r="A1957" t="s">
        <v>9779</v>
      </c>
      <c r="B1957" t="s">
        <v>694</v>
      </c>
      <c r="C1957" s="10">
        <v>96</v>
      </c>
      <c r="D1957" s="10">
        <v>0.05</v>
      </c>
      <c r="E1957" s="10">
        <v>40</v>
      </c>
    </row>
    <row r="1958" spans="1:5">
      <c r="A1958" t="s">
        <v>9780</v>
      </c>
      <c r="B1958" t="s">
        <v>694</v>
      </c>
      <c r="C1958" s="10">
        <v>6</v>
      </c>
      <c r="D1958" s="10">
        <v>0.2</v>
      </c>
      <c r="E1958" s="10">
        <v>40</v>
      </c>
    </row>
    <row r="1959" spans="1:5">
      <c r="A1959" t="s">
        <v>9781</v>
      </c>
      <c r="B1959" t="s">
        <v>694</v>
      </c>
      <c r="C1959" s="10">
        <v>12</v>
      </c>
      <c r="D1959" s="10">
        <v>0.35</v>
      </c>
      <c r="E1959" s="10">
        <v>40</v>
      </c>
    </row>
    <row r="1960" spans="1:5">
      <c r="A1960" t="s">
        <v>693</v>
      </c>
      <c r="B1960" t="s">
        <v>694</v>
      </c>
      <c r="C1960" s="10">
        <v>6</v>
      </c>
      <c r="D1960" s="10">
        <v>0.7</v>
      </c>
      <c r="E1960" s="10">
        <v>40</v>
      </c>
    </row>
    <row r="1961" spans="1:5">
      <c r="A1961" t="s">
        <v>1452</v>
      </c>
      <c r="B1961" t="s">
        <v>694</v>
      </c>
      <c r="C1961" s="10">
        <v>6</v>
      </c>
      <c r="D1961" s="10">
        <v>1</v>
      </c>
      <c r="E1961" s="10">
        <v>40</v>
      </c>
    </row>
    <row r="1962" spans="1:5">
      <c r="A1962" t="s">
        <v>695</v>
      </c>
      <c r="B1962" t="s">
        <v>696</v>
      </c>
      <c r="C1962" s="10">
        <v>6</v>
      </c>
      <c r="D1962" s="10">
        <v>0.7</v>
      </c>
      <c r="E1962" s="10">
        <v>40</v>
      </c>
    </row>
    <row r="1963" spans="1:5">
      <c r="A1963" t="s">
        <v>697</v>
      </c>
      <c r="B1963" t="s">
        <v>698</v>
      </c>
      <c r="C1963" s="10">
        <v>6</v>
      </c>
      <c r="D1963" s="10">
        <v>0.7</v>
      </c>
      <c r="E1963" s="10">
        <v>40</v>
      </c>
    </row>
    <row r="1964" spans="1:5">
      <c r="A1964" t="s">
        <v>699</v>
      </c>
      <c r="B1964" t="s">
        <v>700</v>
      </c>
      <c r="C1964" s="10">
        <v>6</v>
      </c>
      <c r="D1964" s="10">
        <v>0.7</v>
      </c>
      <c r="E1964" s="10">
        <v>40</v>
      </c>
    </row>
    <row r="1965" spans="1:5">
      <c r="A1965" t="s">
        <v>9782</v>
      </c>
      <c r="B1965" t="s">
        <v>8649</v>
      </c>
      <c r="C1965" s="10">
        <v>3</v>
      </c>
      <c r="D1965" s="10">
        <v>0.7</v>
      </c>
      <c r="E1965" s="10">
        <v>40</v>
      </c>
    </row>
    <row r="1966" spans="1:5">
      <c r="A1966" t="s">
        <v>6027</v>
      </c>
      <c r="B1966" t="s">
        <v>6028</v>
      </c>
      <c r="C1966" s="10">
        <v>3</v>
      </c>
      <c r="D1966" s="10">
        <v>0.7</v>
      </c>
      <c r="E1966" s="10">
        <v>40</v>
      </c>
    </row>
    <row r="1967" spans="1:5">
      <c r="A1967" t="s">
        <v>9783</v>
      </c>
      <c r="B1967" t="s">
        <v>6030</v>
      </c>
      <c r="C1967" s="10">
        <v>3</v>
      </c>
      <c r="D1967" s="10">
        <v>0.7</v>
      </c>
      <c r="E1967" s="10">
        <v>43.2</v>
      </c>
    </row>
    <row r="1968" spans="1:5">
      <c r="A1968" t="s">
        <v>6029</v>
      </c>
      <c r="B1968" t="s">
        <v>6030</v>
      </c>
      <c r="C1968" s="10">
        <v>3</v>
      </c>
      <c r="D1968" s="10">
        <v>0.7</v>
      </c>
      <c r="E1968" s="10">
        <v>40</v>
      </c>
    </row>
    <row r="1969" spans="1:5">
      <c r="A1969" t="s">
        <v>9784</v>
      </c>
      <c r="B1969" t="s">
        <v>6032</v>
      </c>
      <c r="C1969" s="10">
        <v>3</v>
      </c>
      <c r="D1969" s="10">
        <v>0.7</v>
      </c>
      <c r="E1969" s="10">
        <v>43</v>
      </c>
    </row>
    <row r="1970" spans="1:5">
      <c r="A1970" t="s">
        <v>6031</v>
      </c>
      <c r="B1970" t="s">
        <v>6032</v>
      </c>
      <c r="C1970" s="10">
        <v>3</v>
      </c>
      <c r="D1970" s="10">
        <v>0.7</v>
      </c>
      <c r="E1970" s="10">
        <v>40</v>
      </c>
    </row>
    <row r="1971" spans="1:5">
      <c r="A1971" t="s">
        <v>9785</v>
      </c>
      <c r="B1971" t="s">
        <v>8650</v>
      </c>
      <c r="C1971" s="10">
        <v>3</v>
      </c>
      <c r="D1971" s="10">
        <v>0.7</v>
      </c>
      <c r="E1971" s="10">
        <v>43</v>
      </c>
    </row>
    <row r="1972" spans="1:5">
      <c r="A1972" t="s">
        <v>9786</v>
      </c>
      <c r="B1972" t="s">
        <v>8651</v>
      </c>
      <c r="C1972" s="10">
        <v>3</v>
      </c>
      <c r="D1972" s="10">
        <v>0.7</v>
      </c>
      <c r="E1972" s="10">
        <v>43.8</v>
      </c>
    </row>
    <row r="1973" spans="1:5">
      <c r="A1973" t="s">
        <v>9787</v>
      </c>
      <c r="B1973" t="s">
        <v>8652</v>
      </c>
      <c r="C1973" s="10">
        <v>3</v>
      </c>
      <c r="D1973" s="10">
        <v>0.7</v>
      </c>
      <c r="E1973" s="10">
        <v>43.8</v>
      </c>
    </row>
    <row r="1974" spans="1:5">
      <c r="A1974" t="s">
        <v>9788</v>
      </c>
      <c r="B1974" t="s">
        <v>8653</v>
      </c>
      <c r="C1974" s="10">
        <v>3</v>
      </c>
      <c r="D1974" s="10">
        <v>0.7</v>
      </c>
      <c r="E1974" s="10">
        <v>45.1</v>
      </c>
    </row>
    <row r="1975" spans="1:5">
      <c r="A1975" t="s">
        <v>9789</v>
      </c>
      <c r="B1975" t="s">
        <v>8654</v>
      </c>
      <c r="C1975" s="10">
        <v>3</v>
      </c>
      <c r="D1975" s="10">
        <v>0.7</v>
      </c>
      <c r="E1975" s="10">
        <v>43</v>
      </c>
    </row>
    <row r="1976" spans="1:5">
      <c r="A1976" t="s">
        <v>6244</v>
      </c>
      <c r="B1976" t="s">
        <v>6245</v>
      </c>
      <c r="C1976" s="10">
        <v>3</v>
      </c>
      <c r="D1976" s="10">
        <v>0.7</v>
      </c>
      <c r="E1976" s="10">
        <v>43</v>
      </c>
    </row>
    <row r="1977" spans="1:5">
      <c r="A1977" t="s">
        <v>9790</v>
      </c>
      <c r="B1977" t="s">
        <v>8655</v>
      </c>
      <c r="C1977" s="10">
        <v>1</v>
      </c>
      <c r="D1977" s="10">
        <v>0.7</v>
      </c>
      <c r="E1977" s="10">
        <v>44.6</v>
      </c>
    </row>
    <row r="1978" spans="1:5">
      <c r="A1978" t="s">
        <v>5464</v>
      </c>
      <c r="B1978" t="s">
        <v>5465</v>
      </c>
      <c r="C1978" s="10">
        <v>6</v>
      </c>
      <c r="D1978" s="10">
        <v>0.7</v>
      </c>
      <c r="E1978" s="10">
        <v>43</v>
      </c>
    </row>
    <row r="1979" spans="1:5">
      <c r="A1979" t="s">
        <v>9791</v>
      </c>
      <c r="B1979" t="s">
        <v>8656</v>
      </c>
      <c r="C1979" s="10">
        <v>6</v>
      </c>
      <c r="D1979" s="10">
        <v>0.7</v>
      </c>
      <c r="E1979" s="10">
        <v>43</v>
      </c>
    </row>
    <row r="1980" spans="1:5">
      <c r="A1980" t="s">
        <v>9792</v>
      </c>
      <c r="B1980" t="s">
        <v>8657</v>
      </c>
      <c r="C1980" s="10">
        <v>3</v>
      </c>
      <c r="D1980" s="10">
        <v>0.7</v>
      </c>
      <c r="E1980" s="10">
        <v>43</v>
      </c>
    </row>
    <row r="1981" spans="1:5">
      <c r="A1981" t="s">
        <v>5466</v>
      </c>
      <c r="B1981" t="s">
        <v>5467</v>
      </c>
      <c r="C1981" s="10">
        <v>6</v>
      </c>
      <c r="D1981" s="10">
        <v>0.7</v>
      </c>
      <c r="E1981" s="10">
        <v>43</v>
      </c>
    </row>
    <row r="1982" spans="1:5">
      <c r="A1982" t="s">
        <v>5468</v>
      </c>
      <c r="B1982" t="s">
        <v>5469</v>
      </c>
      <c r="C1982" s="10">
        <v>6</v>
      </c>
      <c r="D1982" s="10">
        <v>0.7</v>
      </c>
      <c r="E1982" s="10">
        <v>43</v>
      </c>
    </row>
    <row r="1983" spans="1:5">
      <c r="A1983" t="s">
        <v>9793</v>
      </c>
      <c r="B1983" t="s">
        <v>8658</v>
      </c>
      <c r="C1983" s="10">
        <v>12</v>
      </c>
      <c r="D1983" s="10">
        <v>0.7</v>
      </c>
      <c r="E1983" s="10">
        <v>50.2</v>
      </c>
    </row>
    <row r="1984" spans="1:5">
      <c r="A1984" t="s">
        <v>6675</v>
      </c>
      <c r="B1984" t="s">
        <v>6676</v>
      </c>
      <c r="C1984" s="10">
        <v>12</v>
      </c>
      <c r="D1984" s="10">
        <v>0.7</v>
      </c>
      <c r="E1984" s="10">
        <v>50.2</v>
      </c>
    </row>
    <row r="1985" spans="1:5">
      <c r="A1985" t="s">
        <v>5711</v>
      </c>
      <c r="B1985" t="s">
        <v>5712</v>
      </c>
      <c r="C1985" s="10">
        <v>12</v>
      </c>
      <c r="D1985" s="10">
        <v>1</v>
      </c>
      <c r="E1985" s="10">
        <v>40</v>
      </c>
    </row>
    <row r="1986" spans="1:5">
      <c r="A1986" t="s">
        <v>3949</v>
      </c>
      <c r="B1986" t="s">
        <v>3950</v>
      </c>
      <c r="C1986" s="10">
        <v>6</v>
      </c>
      <c r="D1986" s="10">
        <v>0.7</v>
      </c>
      <c r="E1986" s="10">
        <v>47</v>
      </c>
    </row>
    <row r="1987" spans="1:5">
      <c r="A1987" t="s">
        <v>9794</v>
      </c>
      <c r="B1987" t="s">
        <v>8659</v>
      </c>
      <c r="C1987" s="10">
        <v>12</v>
      </c>
      <c r="D1987" s="10">
        <v>1</v>
      </c>
      <c r="E1987" s="10">
        <v>40</v>
      </c>
    </row>
    <row r="1988" spans="1:5">
      <c r="A1988" t="s">
        <v>9795</v>
      </c>
      <c r="B1988" t="s">
        <v>8660</v>
      </c>
      <c r="C1988" s="10">
        <v>12</v>
      </c>
      <c r="D1988" s="10">
        <v>1</v>
      </c>
      <c r="E1988" s="10">
        <v>40</v>
      </c>
    </row>
    <row r="1989" spans="1:5">
      <c r="A1989" t="s">
        <v>4758</v>
      </c>
      <c r="B1989" t="s">
        <v>8661</v>
      </c>
      <c r="C1989" s="10">
        <v>6</v>
      </c>
      <c r="D1989" s="10">
        <v>0.7</v>
      </c>
      <c r="E1989" s="10">
        <v>45</v>
      </c>
    </row>
    <row r="1990" spans="1:5">
      <c r="A1990" t="s">
        <v>3951</v>
      </c>
      <c r="B1990" t="s">
        <v>3952</v>
      </c>
      <c r="C1990" s="10">
        <v>6</v>
      </c>
      <c r="D1990" s="10">
        <v>0.7</v>
      </c>
      <c r="E1990" s="10">
        <v>50</v>
      </c>
    </row>
    <row r="1991" spans="1:5">
      <c r="A1991" t="s">
        <v>5212</v>
      </c>
      <c r="B1991" t="s">
        <v>5213</v>
      </c>
      <c r="C1991" s="10">
        <v>6</v>
      </c>
      <c r="D1991" s="10">
        <v>0.7</v>
      </c>
      <c r="E1991" s="10">
        <v>46</v>
      </c>
    </row>
    <row r="1992" spans="1:5">
      <c r="A1992" t="s">
        <v>3953</v>
      </c>
      <c r="B1992" t="s">
        <v>8662</v>
      </c>
      <c r="C1992" s="10">
        <v>6</v>
      </c>
      <c r="D1992" s="10">
        <v>0.7</v>
      </c>
      <c r="E1992" s="10">
        <v>50.5</v>
      </c>
    </row>
    <row r="1993" spans="1:5">
      <c r="A1993" t="s">
        <v>3954</v>
      </c>
      <c r="B1993" t="s">
        <v>3955</v>
      </c>
      <c r="C1993" s="10">
        <v>6</v>
      </c>
      <c r="D1993" s="10">
        <v>0.7</v>
      </c>
      <c r="E1993" s="10">
        <v>50</v>
      </c>
    </row>
    <row r="1994" spans="1:5">
      <c r="A1994" t="s">
        <v>701</v>
      </c>
      <c r="B1994" t="s">
        <v>702</v>
      </c>
      <c r="C1994" s="10">
        <v>6</v>
      </c>
      <c r="D1994" s="10">
        <v>0.7</v>
      </c>
      <c r="E1994" s="10">
        <v>40</v>
      </c>
    </row>
    <row r="1995" spans="1:5">
      <c r="A1995" t="s">
        <v>5470</v>
      </c>
      <c r="B1995" t="s">
        <v>5471</v>
      </c>
      <c r="C1995" s="10">
        <v>6</v>
      </c>
      <c r="D1995" s="10">
        <v>0.7</v>
      </c>
      <c r="E1995" s="10">
        <v>43</v>
      </c>
    </row>
    <row r="1996" spans="1:5">
      <c r="A1996" t="s">
        <v>5472</v>
      </c>
      <c r="B1996" t="s">
        <v>5473</v>
      </c>
      <c r="C1996" s="10">
        <v>6</v>
      </c>
      <c r="D1996" s="10">
        <v>0.7</v>
      </c>
      <c r="E1996" s="10">
        <v>43</v>
      </c>
    </row>
    <row r="1997" spans="1:5">
      <c r="A1997" t="s">
        <v>5474</v>
      </c>
      <c r="B1997" t="s">
        <v>5475</v>
      </c>
      <c r="C1997" s="10">
        <v>6</v>
      </c>
      <c r="D1997" s="10">
        <v>0.7</v>
      </c>
      <c r="E1997" s="10">
        <v>43</v>
      </c>
    </row>
    <row r="1998" spans="1:5">
      <c r="A1998" t="s">
        <v>5476</v>
      </c>
      <c r="B1998" t="s">
        <v>5477</v>
      </c>
      <c r="C1998" s="10">
        <v>6</v>
      </c>
      <c r="D1998" s="10">
        <v>0.7</v>
      </c>
      <c r="E1998" s="10">
        <v>43</v>
      </c>
    </row>
    <row r="1999" spans="1:5">
      <c r="A1999" t="s">
        <v>9796</v>
      </c>
      <c r="B1999" t="s">
        <v>8663</v>
      </c>
      <c r="C1999" s="10">
        <v>3</v>
      </c>
      <c r="D1999" s="10">
        <v>0.7</v>
      </c>
      <c r="E1999" s="10">
        <v>48</v>
      </c>
    </row>
    <row r="2000" spans="1:5">
      <c r="A2000" t="s">
        <v>9797</v>
      </c>
      <c r="B2000" t="s">
        <v>8664</v>
      </c>
      <c r="C2000" s="10">
        <v>3</v>
      </c>
      <c r="D2000" s="10">
        <v>0.7</v>
      </c>
      <c r="E2000" s="10">
        <v>48</v>
      </c>
    </row>
    <row r="2001" spans="1:5">
      <c r="A2001" t="s">
        <v>6246</v>
      </c>
      <c r="B2001" t="s">
        <v>6247</v>
      </c>
      <c r="C2001" s="10">
        <v>1</v>
      </c>
      <c r="D2001" s="10">
        <v>0.7</v>
      </c>
      <c r="E2001" s="10">
        <v>46.8</v>
      </c>
    </row>
    <row r="2002" spans="1:5">
      <c r="A2002" t="s">
        <v>6248</v>
      </c>
      <c r="B2002" t="s">
        <v>6249</v>
      </c>
      <c r="C2002" s="10">
        <v>1</v>
      </c>
      <c r="D2002" s="10">
        <v>0.7</v>
      </c>
      <c r="E2002" s="10">
        <v>46.8</v>
      </c>
    </row>
    <row r="2003" spans="1:5">
      <c r="A2003" t="s">
        <v>9798</v>
      </c>
      <c r="B2003" t="s">
        <v>8665</v>
      </c>
      <c r="C2003" s="10">
        <v>12</v>
      </c>
      <c r="D2003" s="10">
        <v>1</v>
      </c>
      <c r="E2003" s="10">
        <v>43</v>
      </c>
    </row>
    <row r="2004" spans="1:5">
      <c r="A2004" t="s">
        <v>3956</v>
      </c>
      <c r="B2004" t="s">
        <v>3957</v>
      </c>
      <c r="C2004" s="10">
        <v>6</v>
      </c>
      <c r="D2004" s="10">
        <v>0.7</v>
      </c>
      <c r="E2004" s="10">
        <v>59.6</v>
      </c>
    </row>
    <row r="2005" spans="1:5">
      <c r="A2005" t="s">
        <v>3958</v>
      </c>
      <c r="B2005" t="s">
        <v>3959</v>
      </c>
      <c r="C2005" s="10">
        <v>6</v>
      </c>
      <c r="D2005" s="10">
        <v>0.7</v>
      </c>
      <c r="E2005" s="10">
        <v>48</v>
      </c>
    </row>
    <row r="2006" spans="1:5">
      <c r="A2006" t="s">
        <v>5478</v>
      </c>
      <c r="B2006" t="s">
        <v>5479</v>
      </c>
      <c r="C2006" s="10">
        <v>6</v>
      </c>
      <c r="D2006" s="10">
        <v>0.7</v>
      </c>
      <c r="E2006" s="10">
        <v>43</v>
      </c>
    </row>
    <row r="2007" spans="1:5">
      <c r="A2007" t="s">
        <v>6953</v>
      </c>
      <c r="B2007" t="s">
        <v>6954</v>
      </c>
      <c r="C2007" s="10">
        <v>6</v>
      </c>
      <c r="D2007" s="10">
        <v>0.7</v>
      </c>
      <c r="E2007" s="10">
        <v>43</v>
      </c>
    </row>
    <row r="2008" spans="1:5">
      <c r="A2008" t="s">
        <v>5480</v>
      </c>
      <c r="B2008" t="s">
        <v>5481</v>
      </c>
      <c r="C2008" s="10">
        <v>6</v>
      </c>
      <c r="D2008" s="10">
        <v>0.7</v>
      </c>
      <c r="E2008" s="10">
        <v>43</v>
      </c>
    </row>
    <row r="2009" spans="1:5">
      <c r="A2009" t="s">
        <v>5482</v>
      </c>
      <c r="B2009" t="s">
        <v>5483</v>
      </c>
      <c r="C2009" s="10">
        <v>6</v>
      </c>
      <c r="D2009" s="10">
        <v>0.7</v>
      </c>
      <c r="E2009" s="10">
        <v>43</v>
      </c>
    </row>
    <row r="2010" spans="1:5">
      <c r="A2010" t="s">
        <v>9799</v>
      </c>
      <c r="B2010" t="s">
        <v>8666</v>
      </c>
      <c r="C2010" s="10">
        <v>120</v>
      </c>
      <c r="D2010" s="10">
        <v>0.05</v>
      </c>
      <c r="E2010" s="10">
        <v>40</v>
      </c>
    </row>
    <row r="2011" spans="1:5">
      <c r="A2011" t="s">
        <v>1453</v>
      </c>
      <c r="B2011" t="s">
        <v>1454</v>
      </c>
      <c r="C2011" s="10">
        <v>6</v>
      </c>
      <c r="D2011" s="10">
        <v>1</v>
      </c>
      <c r="E2011" s="10">
        <v>40</v>
      </c>
    </row>
    <row r="2012" spans="1:5">
      <c r="A2012" t="s">
        <v>9800</v>
      </c>
      <c r="B2012" t="s">
        <v>8667</v>
      </c>
      <c r="C2012" s="10">
        <v>24</v>
      </c>
      <c r="D2012" s="10">
        <v>0.05</v>
      </c>
      <c r="E2012" s="10">
        <v>40</v>
      </c>
    </row>
    <row r="2013" spans="1:5">
      <c r="A2013" t="s">
        <v>703</v>
      </c>
      <c r="B2013" t="s">
        <v>704</v>
      </c>
      <c r="C2013" s="10">
        <v>6</v>
      </c>
      <c r="D2013" s="10">
        <v>0.7</v>
      </c>
      <c r="E2013" s="10">
        <v>40</v>
      </c>
    </row>
    <row r="2014" spans="1:5">
      <c r="A2014" t="s">
        <v>5214</v>
      </c>
      <c r="B2014" t="s">
        <v>5215</v>
      </c>
      <c r="C2014" s="10">
        <v>6</v>
      </c>
      <c r="D2014" s="10">
        <v>0.7</v>
      </c>
      <c r="E2014" s="10">
        <v>46</v>
      </c>
    </row>
    <row r="2015" spans="1:5">
      <c r="A2015" t="s">
        <v>2092</v>
      </c>
      <c r="B2015" t="s">
        <v>2093</v>
      </c>
      <c r="C2015" s="10">
        <v>6</v>
      </c>
      <c r="D2015" s="10">
        <v>1</v>
      </c>
      <c r="E2015" s="10">
        <v>43</v>
      </c>
    </row>
    <row r="2016" spans="1:5">
      <c r="A2016" t="s">
        <v>5484</v>
      </c>
      <c r="B2016" t="s">
        <v>5485</v>
      </c>
      <c r="C2016" s="10">
        <v>6</v>
      </c>
      <c r="D2016" s="10">
        <v>0.7</v>
      </c>
      <c r="E2016" s="10">
        <v>43</v>
      </c>
    </row>
    <row r="2017" spans="1:5">
      <c r="A2017" t="s">
        <v>2094</v>
      </c>
      <c r="B2017" t="s">
        <v>2095</v>
      </c>
      <c r="C2017" s="10">
        <v>6</v>
      </c>
      <c r="D2017" s="10">
        <v>1</v>
      </c>
      <c r="E2017" s="10">
        <v>43</v>
      </c>
    </row>
    <row r="2018" spans="1:5">
      <c r="A2018" t="s">
        <v>5216</v>
      </c>
      <c r="B2018" t="s">
        <v>5217</v>
      </c>
      <c r="C2018" s="10">
        <v>6</v>
      </c>
      <c r="D2018" s="10">
        <v>0.7</v>
      </c>
      <c r="E2018" s="10">
        <v>46</v>
      </c>
    </row>
    <row r="2019" spans="1:5">
      <c r="A2019" t="s">
        <v>5486</v>
      </c>
      <c r="B2019" t="s">
        <v>5487</v>
      </c>
      <c r="C2019" s="10">
        <v>6</v>
      </c>
      <c r="D2019" s="10">
        <v>0.7</v>
      </c>
      <c r="E2019" s="10">
        <v>43</v>
      </c>
    </row>
    <row r="2020" spans="1:5">
      <c r="A2020" t="s">
        <v>9801</v>
      </c>
      <c r="B2020" t="s">
        <v>8668</v>
      </c>
      <c r="C2020" s="10">
        <v>6</v>
      </c>
      <c r="D2020" s="10">
        <v>0.7</v>
      </c>
      <c r="E2020" s="10">
        <v>43</v>
      </c>
    </row>
    <row r="2021" spans="1:5">
      <c r="A2021" t="s">
        <v>2096</v>
      </c>
      <c r="B2021" t="s">
        <v>2097</v>
      </c>
      <c r="C2021" s="10">
        <v>6</v>
      </c>
      <c r="D2021" s="10">
        <v>1</v>
      </c>
      <c r="E2021" s="10">
        <v>43</v>
      </c>
    </row>
    <row r="2022" spans="1:5">
      <c r="A2022" t="s">
        <v>5488</v>
      </c>
      <c r="B2022" t="s">
        <v>5489</v>
      </c>
      <c r="C2022" s="10">
        <v>6</v>
      </c>
      <c r="D2022" s="10">
        <v>0.7</v>
      </c>
      <c r="E2022" s="10">
        <v>43</v>
      </c>
    </row>
    <row r="2023" spans="1:5">
      <c r="A2023" t="s">
        <v>9802</v>
      </c>
      <c r="B2023" t="s">
        <v>8669</v>
      </c>
      <c r="C2023" s="10">
        <v>6</v>
      </c>
      <c r="D2023" s="10">
        <v>0.7</v>
      </c>
      <c r="E2023" s="10">
        <v>43</v>
      </c>
    </row>
    <row r="2024" spans="1:5">
      <c r="A2024" t="s">
        <v>9803</v>
      </c>
      <c r="B2024" t="s">
        <v>8670</v>
      </c>
      <c r="C2024" s="10">
        <v>6</v>
      </c>
      <c r="D2024" s="10">
        <v>0.7</v>
      </c>
      <c r="E2024" s="10">
        <v>46</v>
      </c>
    </row>
    <row r="2025" spans="1:5">
      <c r="A2025" t="s">
        <v>9804</v>
      </c>
      <c r="B2025" t="s">
        <v>8671</v>
      </c>
      <c r="C2025" s="10">
        <v>1</v>
      </c>
      <c r="D2025" s="10">
        <v>0.7</v>
      </c>
      <c r="E2025" s="10">
        <v>43</v>
      </c>
    </row>
    <row r="2026" spans="1:5">
      <c r="A2026" t="s">
        <v>9805</v>
      </c>
      <c r="B2026" t="s">
        <v>8672</v>
      </c>
      <c r="C2026" s="10">
        <v>1</v>
      </c>
      <c r="D2026" s="10">
        <v>0.7</v>
      </c>
      <c r="E2026" s="10">
        <v>43</v>
      </c>
    </row>
    <row r="2027" spans="1:5">
      <c r="A2027" t="s">
        <v>5218</v>
      </c>
      <c r="B2027" t="s">
        <v>5219</v>
      </c>
      <c r="C2027" s="10">
        <v>6</v>
      </c>
      <c r="D2027" s="10">
        <v>0.7</v>
      </c>
      <c r="E2027" s="10">
        <v>46</v>
      </c>
    </row>
    <row r="2028" spans="1:5">
      <c r="A2028" t="s">
        <v>6250</v>
      </c>
      <c r="B2028" t="s">
        <v>6251</v>
      </c>
      <c r="C2028" s="10">
        <v>4</v>
      </c>
      <c r="D2028" s="10">
        <v>0.7</v>
      </c>
      <c r="E2028" s="10">
        <v>46</v>
      </c>
    </row>
    <row r="2029" spans="1:5">
      <c r="A2029" t="s">
        <v>9806</v>
      </c>
      <c r="B2029" t="s">
        <v>8673</v>
      </c>
      <c r="C2029" s="10">
        <v>6</v>
      </c>
      <c r="D2029" s="10">
        <v>0.7</v>
      </c>
      <c r="E2029" s="10">
        <v>40</v>
      </c>
    </row>
    <row r="2030" spans="1:5">
      <c r="A2030" t="s">
        <v>9807</v>
      </c>
      <c r="B2030" t="s">
        <v>8674</v>
      </c>
      <c r="C2030" s="10">
        <v>1</v>
      </c>
      <c r="D2030" s="10">
        <v>0.7</v>
      </c>
      <c r="E2030" s="10">
        <v>43.7</v>
      </c>
    </row>
    <row r="2031" spans="1:5">
      <c r="A2031" t="s">
        <v>2098</v>
      </c>
      <c r="B2031" t="s">
        <v>2099</v>
      </c>
      <c r="C2031" s="10">
        <v>6</v>
      </c>
      <c r="D2031" s="10">
        <v>1</v>
      </c>
      <c r="E2031" s="10">
        <v>47</v>
      </c>
    </row>
    <row r="2032" spans="1:5">
      <c r="A2032" t="s">
        <v>2100</v>
      </c>
      <c r="B2032" t="s">
        <v>2101</v>
      </c>
      <c r="C2032" s="10">
        <v>6</v>
      </c>
      <c r="D2032" s="10">
        <v>1</v>
      </c>
      <c r="E2032" s="10">
        <v>35</v>
      </c>
    </row>
    <row r="2033" spans="1:5">
      <c r="A2033" t="s">
        <v>705</v>
      </c>
      <c r="B2033" t="s">
        <v>706</v>
      </c>
      <c r="C2033" s="10">
        <v>6</v>
      </c>
      <c r="D2033" s="10">
        <v>0.7</v>
      </c>
      <c r="E2033" s="10">
        <v>40</v>
      </c>
    </row>
    <row r="2034" spans="1:5">
      <c r="A2034" t="s">
        <v>707</v>
      </c>
      <c r="B2034" t="s">
        <v>708</v>
      </c>
      <c r="C2034" s="10">
        <v>6</v>
      </c>
      <c r="D2034" s="10">
        <v>0.7</v>
      </c>
      <c r="E2034" s="10">
        <v>40</v>
      </c>
    </row>
    <row r="2035" spans="1:5">
      <c r="A2035" t="s">
        <v>9808</v>
      </c>
      <c r="B2035" t="s">
        <v>8675</v>
      </c>
      <c r="C2035" s="10">
        <v>6</v>
      </c>
      <c r="D2035" s="10">
        <v>0.7</v>
      </c>
      <c r="E2035" s="10">
        <v>40</v>
      </c>
    </row>
    <row r="2036" spans="1:5">
      <c r="A2036" t="s">
        <v>5913</v>
      </c>
      <c r="B2036" t="s">
        <v>710</v>
      </c>
      <c r="C2036" s="10">
        <v>48</v>
      </c>
      <c r="D2036" s="10">
        <v>0.05</v>
      </c>
      <c r="E2036" s="10">
        <v>40</v>
      </c>
    </row>
    <row r="2037" spans="1:5">
      <c r="A2037" t="s">
        <v>709</v>
      </c>
      <c r="B2037" t="s">
        <v>710</v>
      </c>
      <c r="C2037" s="10">
        <v>6</v>
      </c>
      <c r="D2037" s="10">
        <v>0.7</v>
      </c>
      <c r="E2037" s="10">
        <v>40</v>
      </c>
    </row>
    <row r="2038" spans="1:5">
      <c r="A2038" t="s">
        <v>711</v>
      </c>
      <c r="B2038" t="s">
        <v>712</v>
      </c>
      <c r="C2038" s="10">
        <v>6</v>
      </c>
      <c r="D2038" s="10">
        <v>0.7</v>
      </c>
      <c r="E2038" s="10">
        <v>40</v>
      </c>
    </row>
    <row r="2039" spans="1:5">
      <c r="A2039" t="s">
        <v>713</v>
      </c>
      <c r="B2039" t="s">
        <v>714</v>
      </c>
      <c r="C2039" s="10">
        <v>6</v>
      </c>
      <c r="D2039" s="10">
        <v>0.7</v>
      </c>
      <c r="E2039" s="10">
        <v>40</v>
      </c>
    </row>
    <row r="2040" spans="1:5">
      <c r="A2040" t="s">
        <v>5914</v>
      </c>
      <c r="B2040" t="s">
        <v>5915</v>
      </c>
      <c r="C2040" s="10">
        <v>1</v>
      </c>
      <c r="D2040" s="10">
        <v>3</v>
      </c>
      <c r="E2040" s="10">
        <v>40</v>
      </c>
    </row>
    <row r="2041" spans="1:5">
      <c r="A2041" t="s">
        <v>9809</v>
      </c>
      <c r="B2041" t="s">
        <v>8676</v>
      </c>
      <c r="C2041" s="10">
        <v>6</v>
      </c>
      <c r="D2041" s="10">
        <v>0.75</v>
      </c>
      <c r="E2041" s="10">
        <v>5.5</v>
      </c>
    </row>
    <row r="2042" spans="1:5">
      <c r="A2042" t="s">
        <v>9810</v>
      </c>
      <c r="B2042" t="s">
        <v>8677</v>
      </c>
      <c r="C2042" s="10">
        <v>6</v>
      </c>
      <c r="D2042" s="10">
        <v>0.75</v>
      </c>
      <c r="E2042" s="10">
        <v>5.5</v>
      </c>
    </row>
    <row r="2043" spans="1:5">
      <c r="A2043" t="s">
        <v>9811</v>
      </c>
      <c r="B2043" t="s">
        <v>8678</v>
      </c>
      <c r="C2043" s="10">
        <v>6</v>
      </c>
      <c r="D2043" s="10">
        <v>0.5</v>
      </c>
      <c r="E2043" s="10">
        <v>43</v>
      </c>
    </row>
    <row r="2044" spans="1:5">
      <c r="A2044" t="s">
        <v>3960</v>
      </c>
      <c r="B2044" t="s">
        <v>3961</v>
      </c>
      <c r="C2044" s="10">
        <v>6</v>
      </c>
      <c r="D2044" s="10">
        <v>0.7</v>
      </c>
      <c r="E2044" s="10">
        <v>30</v>
      </c>
    </row>
    <row r="2045" spans="1:5">
      <c r="A2045" t="s">
        <v>2594</v>
      </c>
      <c r="B2045" t="s">
        <v>2595</v>
      </c>
      <c r="C2045" s="10">
        <v>6</v>
      </c>
      <c r="D2045" s="10">
        <v>0.75</v>
      </c>
      <c r="E2045" s="10">
        <v>15</v>
      </c>
    </row>
    <row r="2046" spans="1:5">
      <c r="A2046" t="s">
        <v>4867</v>
      </c>
      <c r="B2046" t="s">
        <v>2103</v>
      </c>
      <c r="C2046" s="10">
        <v>6</v>
      </c>
      <c r="D2046" s="10">
        <v>0.7</v>
      </c>
      <c r="E2046" s="10">
        <v>37.5</v>
      </c>
    </row>
    <row r="2047" spans="1:5">
      <c r="A2047" t="s">
        <v>2102</v>
      </c>
      <c r="B2047" t="s">
        <v>2103</v>
      </c>
      <c r="C2047" s="10">
        <v>6</v>
      </c>
      <c r="D2047" s="10">
        <v>1</v>
      </c>
      <c r="E2047" s="10">
        <v>37.5</v>
      </c>
    </row>
    <row r="2048" spans="1:5">
      <c r="A2048" t="s">
        <v>3962</v>
      </c>
      <c r="B2048" t="s">
        <v>3963</v>
      </c>
      <c r="C2048" s="10">
        <v>6</v>
      </c>
      <c r="D2048" s="10">
        <v>0.7</v>
      </c>
      <c r="E2048" s="10">
        <v>0</v>
      </c>
    </row>
    <row r="2049" spans="1:5">
      <c r="A2049" t="s">
        <v>6252</v>
      </c>
      <c r="B2049" t="s">
        <v>2105</v>
      </c>
      <c r="C2049" s="10">
        <v>48</v>
      </c>
      <c r="D2049" s="10">
        <v>0.2</v>
      </c>
      <c r="E2049" s="10">
        <v>37.5</v>
      </c>
    </row>
    <row r="2050" spans="1:5">
      <c r="A2050" t="s">
        <v>6253</v>
      </c>
      <c r="B2050" t="s">
        <v>2105</v>
      </c>
      <c r="C2050" s="10">
        <v>24</v>
      </c>
      <c r="D2050" s="10">
        <v>0.35</v>
      </c>
      <c r="E2050" s="10">
        <v>37.5</v>
      </c>
    </row>
    <row r="2051" spans="1:5">
      <c r="A2051" t="s">
        <v>4868</v>
      </c>
      <c r="B2051" t="s">
        <v>2105</v>
      </c>
      <c r="C2051" s="10">
        <v>6</v>
      </c>
      <c r="D2051" s="10">
        <v>0.7</v>
      </c>
      <c r="E2051" s="10">
        <v>37.5</v>
      </c>
    </row>
    <row r="2052" spans="1:5">
      <c r="A2052" t="s">
        <v>4869</v>
      </c>
      <c r="B2052" t="s">
        <v>2105</v>
      </c>
      <c r="C2052" s="10">
        <v>6</v>
      </c>
      <c r="D2052" s="10">
        <v>0.7</v>
      </c>
      <c r="E2052" s="10">
        <v>37.5</v>
      </c>
    </row>
    <row r="2053" spans="1:5">
      <c r="A2053" t="s">
        <v>2104</v>
      </c>
      <c r="B2053" t="s">
        <v>2105</v>
      </c>
      <c r="C2053" s="10">
        <v>6</v>
      </c>
      <c r="D2053" s="10">
        <v>1</v>
      </c>
      <c r="E2053" s="10">
        <v>37.5</v>
      </c>
    </row>
    <row r="2054" spans="1:5">
      <c r="A2054" t="s">
        <v>9812</v>
      </c>
      <c r="B2054" t="s">
        <v>8679</v>
      </c>
      <c r="C2054" s="10">
        <v>192</v>
      </c>
      <c r="D2054" s="10">
        <v>0.05</v>
      </c>
      <c r="E2054" s="10">
        <v>37.5</v>
      </c>
    </row>
    <row r="2055" spans="1:5">
      <c r="A2055" t="s">
        <v>9813</v>
      </c>
      <c r="B2055" t="s">
        <v>8680</v>
      </c>
      <c r="C2055" s="10">
        <v>6</v>
      </c>
      <c r="D2055" s="10">
        <v>0.7</v>
      </c>
      <c r="E2055" s="10">
        <v>37.5</v>
      </c>
    </row>
    <row r="2056" spans="1:5">
      <c r="A2056" t="s">
        <v>6254</v>
      </c>
      <c r="B2056" t="s">
        <v>6255</v>
      </c>
      <c r="C2056" s="10">
        <v>192</v>
      </c>
      <c r="D2056" s="10">
        <v>0.05</v>
      </c>
      <c r="E2056" s="10">
        <v>37.5</v>
      </c>
    </row>
    <row r="2057" spans="1:5">
      <c r="A2057" t="s">
        <v>4870</v>
      </c>
      <c r="B2057" t="s">
        <v>2107</v>
      </c>
      <c r="C2057" s="10">
        <v>6</v>
      </c>
      <c r="D2057" s="10">
        <v>0.7</v>
      </c>
      <c r="E2057" s="10">
        <v>37.5</v>
      </c>
    </row>
    <row r="2058" spans="1:5">
      <c r="A2058" t="s">
        <v>2106</v>
      </c>
      <c r="B2058" t="s">
        <v>2107</v>
      </c>
      <c r="C2058" s="10">
        <v>6</v>
      </c>
      <c r="D2058" s="10">
        <v>1</v>
      </c>
      <c r="E2058" s="10">
        <v>37.5</v>
      </c>
    </row>
    <row r="2059" spans="1:5">
      <c r="A2059" t="s">
        <v>9814</v>
      </c>
      <c r="B2059" t="s">
        <v>4871</v>
      </c>
      <c r="C2059" s="10">
        <v>6</v>
      </c>
      <c r="D2059" s="10">
        <v>0.7</v>
      </c>
      <c r="E2059" s="10">
        <v>37.5</v>
      </c>
    </row>
    <row r="2060" spans="1:5">
      <c r="A2060" t="s">
        <v>4872</v>
      </c>
      <c r="B2060" t="s">
        <v>4871</v>
      </c>
      <c r="C2060" s="10">
        <v>6</v>
      </c>
      <c r="D2060" s="10">
        <v>0.7</v>
      </c>
      <c r="E2060" s="10">
        <v>37.5</v>
      </c>
    </row>
    <row r="2061" spans="1:5">
      <c r="A2061" t="s">
        <v>4873</v>
      </c>
      <c r="B2061" t="s">
        <v>4874</v>
      </c>
      <c r="C2061" s="10">
        <v>6</v>
      </c>
      <c r="D2061" s="10">
        <v>0.7</v>
      </c>
      <c r="E2061" s="10">
        <v>37.5</v>
      </c>
    </row>
    <row r="2062" spans="1:5">
      <c r="A2062" t="s">
        <v>2108</v>
      </c>
      <c r="B2062" t="s">
        <v>2109</v>
      </c>
      <c r="C2062" s="10">
        <v>6</v>
      </c>
      <c r="D2062" s="10">
        <v>1</v>
      </c>
      <c r="E2062" s="10">
        <v>30</v>
      </c>
    </row>
    <row r="2063" spans="1:5">
      <c r="A2063" t="s">
        <v>2110</v>
      </c>
      <c r="B2063" t="s">
        <v>2111</v>
      </c>
      <c r="C2063" s="10">
        <v>6</v>
      </c>
      <c r="D2063" s="10">
        <v>1</v>
      </c>
      <c r="E2063" s="10">
        <v>35</v>
      </c>
    </row>
    <row r="2064" spans="1:5">
      <c r="A2064" t="s">
        <v>3964</v>
      </c>
      <c r="B2064" t="s">
        <v>3965</v>
      </c>
      <c r="C2064" s="10">
        <v>6</v>
      </c>
      <c r="D2064" s="10">
        <v>0.7</v>
      </c>
      <c r="E2064" s="10">
        <v>75.5</v>
      </c>
    </row>
    <row r="2065" spans="1:5">
      <c r="A2065" t="s">
        <v>715</v>
      </c>
      <c r="B2065" t="s">
        <v>716</v>
      </c>
      <c r="C2065" s="10">
        <v>6</v>
      </c>
      <c r="D2065" s="10">
        <v>0.7</v>
      </c>
      <c r="E2065" s="10">
        <v>40</v>
      </c>
    </row>
    <row r="2066" spans="1:5">
      <c r="A2066" t="s">
        <v>717</v>
      </c>
      <c r="B2066" t="s">
        <v>718</v>
      </c>
      <c r="C2066" s="10">
        <v>6</v>
      </c>
      <c r="D2066" s="10">
        <v>0.7</v>
      </c>
      <c r="E2066" s="10">
        <v>40</v>
      </c>
    </row>
    <row r="2067" spans="1:5">
      <c r="A2067" t="s">
        <v>5799</v>
      </c>
      <c r="B2067" t="s">
        <v>5800</v>
      </c>
      <c r="C2067" s="10">
        <v>12</v>
      </c>
      <c r="D2067" s="10">
        <v>0.7</v>
      </c>
      <c r="E2067" s="10">
        <v>40</v>
      </c>
    </row>
    <row r="2068" spans="1:5">
      <c r="A2068" t="s">
        <v>3026</v>
      </c>
      <c r="B2068" t="s">
        <v>3027</v>
      </c>
      <c r="C2068" s="10">
        <v>6</v>
      </c>
      <c r="D2068" s="10">
        <v>0.75</v>
      </c>
      <c r="E2068" s="10">
        <v>12</v>
      </c>
    </row>
    <row r="2069" spans="1:5">
      <c r="A2069" t="s">
        <v>5220</v>
      </c>
      <c r="B2069" t="s">
        <v>5221</v>
      </c>
      <c r="C2069" s="10">
        <v>6</v>
      </c>
      <c r="D2069" s="10">
        <v>0.7</v>
      </c>
      <c r="E2069" s="10">
        <v>46</v>
      </c>
    </row>
    <row r="2070" spans="1:5">
      <c r="A2070" t="s">
        <v>3966</v>
      </c>
      <c r="B2070" t="s">
        <v>3967</v>
      </c>
      <c r="C2070" s="10">
        <v>6</v>
      </c>
      <c r="D2070" s="10">
        <v>0.7</v>
      </c>
      <c r="E2070" s="10">
        <v>24</v>
      </c>
    </row>
    <row r="2071" spans="1:5">
      <c r="A2071" t="s">
        <v>3968</v>
      </c>
      <c r="B2071" t="s">
        <v>3969</v>
      </c>
      <c r="C2071" s="10">
        <v>6</v>
      </c>
      <c r="D2071" s="10">
        <v>0.7</v>
      </c>
      <c r="E2071" s="10">
        <v>14</v>
      </c>
    </row>
    <row r="2072" spans="1:5">
      <c r="A2072" t="s">
        <v>2596</v>
      </c>
      <c r="B2072" t="s">
        <v>2597</v>
      </c>
      <c r="C2072" s="10">
        <v>6</v>
      </c>
      <c r="D2072" s="10">
        <v>0.75</v>
      </c>
      <c r="E2072" s="10">
        <v>20</v>
      </c>
    </row>
    <row r="2073" spans="1:5">
      <c r="A2073" t="s">
        <v>2598</v>
      </c>
      <c r="B2073" t="s">
        <v>2599</v>
      </c>
      <c r="C2073" s="10">
        <v>6</v>
      </c>
      <c r="D2073" s="10">
        <v>0.75</v>
      </c>
      <c r="E2073" s="10">
        <v>20</v>
      </c>
    </row>
    <row r="2074" spans="1:5">
      <c r="A2074" t="s">
        <v>2600</v>
      </c>
      <c r="B2074" t="s">
        <v>2601</v>
      </c>
      <c r="C2074" s="10">
        <v>6</v>
      </c>
      <c r="D2074" s="10">
        <v>0.75</v>
      </c>
      <c r="E2074" s="10">
        <v>19</v>
      </c>
    </row>
    <row r="2075" spans="1:5">
      <c r="A2075" t="s">
        <v>2602</v>
      </c>
      <c r="B2075" t="s">
        <v>2603</v>
      </c>
      <c r="C2075" s="10">
        <v>6</v>
      </c>
      <c r="D2075" s="10">
        <v>0.75</v>
      </c>
      <c r="E2075" s="10">
        <v>19</v>
      </c>
    </row>
    <row r="2076" spans="1:5">
      <c r="A2076" t="s">
        <v>2604</v>
      </c>
      <c r="B2076" t="s">
        <v>2605</v>
      </c>
      <c r="C2076" s="10">
        <v>6</v>
      </c>
      <c r="D2076" s="10">
        <v>0.75</v>
      </c>
      <c r="E2076" s="10">
        <v>19</v>
      </c>
    </row>
    <row r="2077" spans="1:5">
      <c r="A2077" t="s">
        <v>9815</v>
      </c>
      <c r="B2077" t="s">
        <v>8681</v>
      </c>
      <c r="C2077" s="10">
        <v>5</v>
      </c>
      <c r="D2077" s="10">
        <v>0.7</v>
      </c>
      <c r="E2077" s="10">
        <v>42</v>
      </c>
    </row>
    <row r="2078" spans="1:5">
      <c r="A2078" t="s">
        <v>6033</v>
      </c>
      <c r="B2078" t="s">
        <v>719</v>
      </c>
      <c r="C2078" s="10">
        <v>3</v>
      </c>
      <c r="D2078" s="10">
        <v>0.7</v>
      </c>
      <c r="E2078" s="10">
        <v>40</v>
      </c>
    </row>
    <row r="2079" spans="1:5">
      <c r="A2079" t="s">
        <v>6034</v>
      </c>
      <c r="B2079" t="s">
        <v>6035</v>
      </c>
      <c r="C2079" s="10">
        <v>3</v>
      </c>
      <c r="D2079" s="10">
        <v>0.7</v>
      </c>
      <c r="E2079" s="10">
        <v>40</v>
      </c>
    </row>
    <row r="2080" spans="1:5">
      <c r="A2080" t="s">
        <v>720</v>
      </c>
      <c r="B2080" t="s">
        <v>721</v>
      </c>
      <c r="C2080" s="10">
        <v>6</v>
      </c>
      <c r="D2080" s="10">
        <v>0.7</v>
      </c>
      <c r="E2080" s="10">
        <v>40</v>
      </c>
    </row>
    <row r="2081" spans="1:5">
      <c r="A2081" t="s">
        <v>722</v>
      </c>
      <c r="B2081" t="s">
        <v>723</v>
      </c>
      <c r="C2081" s="10">
        <v>6</v>
      </c>
      <c r="D2081" s="10">
        <v>0.7</v>
      </c>
      <c r="E2081" s="10">
        <v>40</v>
      </c>
    </row>
    <row r="2082" spans="1:5">
      <c r="A2082" t="s">
        <v>5036</v>
      </c>
      <c r="B2082" t="s">
        <v>5037</v>
      </c>
      <c r="C2082" s="10">
        <v>6</v>
      </c>
      <c r="D2082" s="10">
        <v>0.7</v>
      </c>
      <c r="E2082" s="10">
        <v>38</v>
      </c>
    </row>
    <row r="2083" spans="1:5">
      <c r="A2083" t="s">
        <v>5038</v>
      </c>
      <c r="B2083" t="s">
        <v>5039</v>
      </c>
      <c r="C2083" s="10">
        <v>6</v>
      </c>
      <c r="D2083" s="10">
        <v>0.7</v>
      </c>
      <c r="E2083" s="10">
        <v>38</v>
      </c>
    </row>
    <row r="2084" spans="1:5">
      <c r="A2084" t="s">
        <v>5040</v>
      </c>
      <c r="B2084" t="s">
        <v>5041</v>
      </c>
      <c r="C2084" s="10">
        <v>6</v>
      </c>
      <c r="D2084" s="10">
        <v>0.7</v>
      </c>
      <c r="E2084" s="10">
        <v>38</v>
      </c>
    </row>
    <row r="2085" spans="1:5">
      <c r="A2085" t="s">
        <v>5042</v>
      </c>
      <c r="B2085" t="s">
        <v>5043</v>
      </c>
      <c r="C2085" s="10">
        <v>6</v>
      </c>
      <c r="D2085" s="10">
        <v>0.7</v>
      </c>
      <c r="E2085" s="10">
        <v>38</v>
      </c>
    </row>
    <row r="2086" spans="1:5">
      <c r="A2086" t="s">
        <v>724</v>
      </c>
      <c r="B2086" t="s">
        <v>725</v>
      </c>
      <c r="C2086" s="10">
        <v>6</v>
      </c>
      <c r="D2086" s="10">
        <v>0.7</v>
      </c>
      <c r="E2086" s="10">
        <v>40</v>
      </c>
    </row>
    <row r="2087" spans="1:5">
      <c r="A2087" t="s">
        <v>726</v>
      </c>
      <c r="B2087" t="s">
        <v>727</v>
      </c>
      <c r="C2087" s="10">
        <v>6</v>
      </c>
      <c r="D2087" s="10">
        <v>0.7</v>
      </c>
      <c r="E2087" s="10">
        <v>40</v>
      </c>
    </row>
    <row r="2088" spans="1:5">
      <c r="A2088" t="s">
        <v>6036</v>
      </c>
      <c r="B2088" t="s">
        <v>6037</v>
      </c>
      <c r="C2088" s="10">
        <v>2</v>
      </c>
      <c r="D2088" s="10">
        <v>0.7</v>
      </c>
      <c r="E2088" s="10">
        <v>40</v>
      </c>
    </row>
    <row r="2089" spans="1:5">
      <c r="A2089" t="s">
        <v>5801</v>
      </c>
      <c r="B2089" t="s">
        <v>729</v>
      </c>
      <c r="C2089" s="10">
        <v>12</v>
      </c>
      <c r="D2089" s="10">
        <v>0.35</v>
      </c>
      <c r="E2089" s="10">
        <v>40</v>
      </c>
    </row>
    <row r="2090" spans="1:5">
      <c r="A2090" t="s">
        <v>728</v>
      </c>
      <c r="B2090" t="s">
        <v>729</v>
      </c>
      <c r="C2090" s="10">
        <v>6</v>
      </c>
      <c r="D2090" s="10">
        <v>0.7</v>
      </c>
      <c r="E2090" s="10">
        <v>40</v>
      </c>
    </row>
    <row r="2091" spans="1:5">
      <c r="A2091" t="s">
        <v>5713</v>
      </c>
      <c r="B2091" t="s">
        <v>5714</v>
      </c>
      <c r="C2091" s="10">
        <v>12</v>
      </c>
      <c r="D2091" s="10">
        <v>1</v>
      </c>
      <c r="E2091" s="10">
        <v>40</v>
      </c>
    </row>
    <row r="2092" spans="1:5">
      <c r="A2092" t="s">
        <v>2112</v>
      </c>
      <c r="B2092" t="s">
        <v>2113</v>
      </c>
      <c r="C2092" s="10">
        <v>6</v>
      </c>
      <c r="D2092" s="10">
        <v>1</v>
      </c>
      <c r="E2092" s="10">
        <v>45</v>
      </c>
    </row>
    <row r="2093" spans="1:5">
      <c r="A2093" t="s">
        <v>3970</v>
      </c>
      <c r="B2093" t="s">
        <v>3971</v>
      </c>
      <c r="C2093" s="10">
        <v>6</v>
      </c>
      <c r="D2093" s="10">
        <v>0.7</v>
      </c>
      <c r="E2093" s="10">
        <v>36</v>
      </c>
    </row>
    <row r="2094" spans="1:5">
      <c r="A2094" t="s">
        <v>9816</v>
      </c>
      <c r="B2094" t="s">
        <v>731</v>
      </c>
      <c r="C2094" s="10">
        <v>24</v>
      </c>
      <c r="D2094" s="10">
        <v>0.2</v>
      </c>
      <c r="E2094" s="10">
        <v>40</v>
      </c>
    </row>
    <row r="2095" spans="1:5">
      <c r="A2095" t="s">
        <v>5802</v>
      </c>
      <c r="B2095" t="s">
        <v>731</v>
      </c>
      <c r="C2095" s="10">
        <v>12</v>
      </c>
      <c r="D2095" s="10">
        <v>0.35</v>
      </c>
      <c r="E2095" s="10">
        <v>40</v>
      </c>
    </row>
    <row r="2096" spans="1:5">
      <c r="A2096" t="s">
        <v>5803</v>
      </c>
      <c r="B2096" t="s">
        <v>731</v>
      </c>
      <c r="C2096" s="10">
        <v>12</v>
      </c>
      <c r="D2096" s="10">
        <v>0.7</v>
      </c>
      <c r="E2096" s="10">
        <v>40</v>
      </c>
    </row>
    <row r="2097" spans="1:5">
      <c r="A2097" t="s">
        <v>730</v>
      </c>
      <c r="B2097" t="s">
        <v>731</v>
      </c>
      <c r="C2097" s="10">
        <v>6</v>
      </c>
      <c r="D2097" s="10">
        <v>0.7</v>
      </c>
      <c r="E2097" s="10">
        <v>40</v>
      </c>
    </row>
    <row r="2098" spans="1:5">
      <c r="A2098" t="s">
        <v>9817</v>
      </c>
      <c r="B2098" t="s">
        <v>731</v>
      </c>
      <c r="C2098" s="10">
        <v>12</v>
      </c>
      <c r="D2098" s="10">
        <v>1</v>
      </c>
      <c r="E2098" s="10">
        <v>40</v>
      </c>
    </row>
    <row r="2099" spans="1:5">
      <c r="A2099" t="s">
        <v>1455</v>
      </c>
      <c r="B2099" t="s">
        <v>731</v>
      </c>
      <c r="C2099" s="10">
        <v>6</v>
      </c>
      <c r="D2099" s="10">
        <v>1</v>
      </c>
      <c r="E2099" s="10">
        <v>40</v>
      </c>
    </row>
    <row r="2100" spans="1:5">
      <c r="A2100" t="s">
        <v>732</v>
      </c>
      <c r="B2100" t="s">
        <v>733</v>
      </c>
      <c r="C2100" s="10">
        <v>6</v>
      </c>
      <c r="D2100" s="10">
        <v>0.7</v>
      </c>
      <c r="E2100" s="10">
        <v>40</v>
      </c>
    </row>
    <row r="2101" spans="1:5">
      <c r="A2101" t="s">
        <v>9818</v>
      </c>
      <c r="B2101" t="s">
        <v>8682</v>
      </c>
      <c r="C2101" s="10">
        <v>6</v>
      </c>
      <c r="D2101" s="10">
        <v>0.7</v>
      </c>
      <c r="E2101" s="10">
        <v>41</v>
      </c>
    </row>
    <row r="2102" spans="1:5">
      <c r="A2102" t="s">
        <v>734</v>
      </c>
      <c r="B2102" t="s">
        <v>735</v>
      </c>
      <c r="C2102" s="10">
        <v>6</v>
      </c>
      <c r="D2102" s="10">
        <v>0.7</v>
      </c>
      <c r="E2102" s="10">
        <v>40</v>
      </c>
    </row>
    <row r="2103" spans="1:5">
      <c r="A2103" t="s">
        <v>736</v>
      </c>
      <c r="B2103" t="s">
        <v>737</v>
      </c>
      <c r="C2103" s="10">
        <v>6</v>
      </c>
      <c r="D2103" s="10">
        <v>0.7</v>
      </c>
      <c r="E2103" s="10">
        <v>40</v>
      </c>
    </row>
    <row r="2104" spans="1:5">
      <c r="A2104" t="s">
        <v>738</v>
      </c>
      <c r="B2104" t="s">
        <v>739</v>
      </c>
      <c r="C2104" s="10">
        <v>6</v>
      </c>
      <c r="D2104" s="10">
        <v>0.7</v>
      </c>
      <c r="E2104" s="10">
        <v>40</v>
      </c>
    </row>
    <row r="2105" spans="1:5">
      <c r="A2105" t="s">
        <v>740</v>
      </c>
      <c r="B2105" t="s">
        <v>741</v>
      </c>
      <c r="C2105" s="10">
        <v>6</v>
      </c>
      <c r="D2105" s="10">
        <v>0.7</v>
      </c>
      <c r="E2105" s="10">
        <v>40</v>
      </c>
    </row>
    <row r="2106" spans="1:5">
      <c r="A2106" t="s">
        <v>742</v>
      </c>
      <c r="B2106" t="s">
        <v>743</v>
      </c>
      <c r="C2106" s="10">
        <v>6</v>
      </c>
      <c r="D2106" s="10">
        <v>0.7</v>
      </c>
      <c r="E2106" s="10">
        <v>40</v>
      </c>
    </row>
    <row r="2107" spans="1:5">
      <c r="A2107" t="s">
        <v>744</v>
      </c>
      <c r="B2107" t="s">
        <v>745</v>
      </c>
      <c r="C2107" s="10">
        <v>6</v>
      </c>
      <c r="D2107" s="10">
        <v>0.7</v>
      </c>
      <c r="E2107" s="10">
        <v>40</v>
      </c>
    </row>
    <row r="2108" spans="1:5">
      <c r="A2108" t="s">
        <v>5044</v>
      </c>
      <c r="B2108" t="s">
        <v>2115</v>
      </c>
      <c r="C2108" s="10">
        <v>6</v>
      </c>
      <c r="D2108" s="10">
        <v>0.7</v>
      </c>
      <c r="E2108" s="10">
        <v>38</v>
      </c>
    </row>
    <row r="2109" spans="1:5">
      <c r="A2109" t="s">
        <v>2114</v>
      </c>
      <c r="B2109" t="s">
        <v>2115</v>
      </c>
      <c r="C2109" s="10">
        <v>6</v>
      </c>
      <c r="D2109" s="10">
        <v>1</v>
      </c>
      <c r="E2109" s="10">
        <v>38</v>
      </c>
    </row>
    <row r="2110" spans="1:5">
      <c r="A2110" t="s">
        <v>5045</v>
      </c>
      <c r="B2110" t="s">
        <v>5046</v>
      </c>
      <c r="C2110" s="10">
        <v>6</v>
      </c>
      <c r="D2110" s="10">
        <v>0.7</v>
      </c>
      <c r="E2110" s="10">
        <v>38</v>
      </c>
    </row>
    <row r="2111" spans="1:5">
      <c r="A2111" t="s">
        <v>746</v>
      </c>
      <c r="B2111" t="s">
        <v>747</v>
      </c>
      <c r="C2111" s="10">
        <v>6</v>
      </c>
      <c r="D2111" s="10">
        <v>0.7</v>
      </c>
      <c r="E2111" s="10">
        <v>40</v>
      </c>
    </row>
    <row r="2112" spans="1:5">
      <c r="A2112" t="s">
        <v>6256</v>
      </c>
      <c r="B2112" t="s">
        <v>6257</v>
      </c>
      <c r="C2112" s="10">
        <v>3</v>
      </c>
      <c r="D2112" s="10">
        <v>0.7</v>
      </c>
      <c r="E2112" s="10">
        <v>46</v>
      </c>
    </row>
    <row r="2113" spans="1:5">
      <c r="A2113" t="s">
        <v>6258</v>
      </c>
      <c r="B2113" t="s">
        <v>6259</v>
      </c>
      <c r="C2113" s="10">
        <v>3</v>
      </c>
      <c r="D2113" s="10">
        <v>0.7</v>
      </c>
      <c r="E2113" s="10">
        <v>46</v>
      </c>
    </row>
    <row r="2114" spans="1:5">
      <c r="A2114" t="s">
        <v>6260</v>
      </c>
      <c r="B2114" t="s">
        <v>3973</v>
      </c>
      <c r="C2114" s="10">
        <v>8</v>
      </c>
      <c r="D2114" s="10">
        <v>0.5</v>
      </c>
      <c r="E2114" s="10">
        <v>70</v>
      </c>
    </row>
    <row r="2115" spans="1:5">
      <c r="A2115" t="s">
        <v>3972</v>
      </c>
      <c r="B2115" t="s">
        <v>3973</v>
      </c>
      <c r="C2115" s="10">
        <v>6</v>
      </c>
      <c r="D2115" s="10">
        <v>0.7</v>
      </c>
      <c r="E2115" s="10">
        <v>70</v>
      </c>
    </row>
    <row r="2116" spans="1:5">
      <c r="A2116" t="s">
        <v>3974</v>
      </c>
      <c r="B2116" t="s">
        <v>3975</v>
      </c>
      <c r="C2116" s="10">
        <v>6</v>
      </c>
      <c r="D2116" s="10">
        <v>0.7</v>
      </c>
      <c r="E2116" s="10">
        <v>70</v>
      </c>
    </row>
    <row r="2117" spans="1:5">
      <c r="A2117" t="s">
        <v>9819</v>
      </c>
      <c r="B2117" t="s">
        <v>8683</v>
      </c>
      <c r="C2117" s="10">
        <v>6</v>
      </c>
      <c r="D2117" s="10">
        <v>0.7</v>
      </c>
      <c r="E2117" s="10">
        <v>40</v>
      </c>
    </row>
    <row r="2118" spans="1:5">
      <c r="A2118" t="s">
        <v>9820</v>
      </c>
      <c r="B2118" t="s">
        <v>8684</v>
      </c>
      <c r="C2118" s="10">
        <v>6</v>
      </c>
      <c r="D2118" s="10">
        <v>0.7</v>
      </c>
      <c r="E2118" s="10">
        <v>37.5</v>
      </c>
    </row>
    <row r="2119" spans="1:5">
      <c r="A2119" t="s">
        <v>748</v>
      </c>
      <c r="B2119" t="s">
        <v>749</v>
      </c>
      <c r="C2119" s="10">
        <v>6</v>
      </c>
      <c r="D2119" s="10">
        <v>0.7</v>
      </c>
      <c r="E2119" s="10">
        <v>40</v>
      </c>
    </row>
    <row r="2120" spans="1:5">
      <c r="A2120" t="s">
        <v>5916</v>
      </c>
      <c r="B2120" t="s">
        <v>751</v>
      </c>
      <c r="C2120" s="10">
        <v>96</v>
      </c>
      <c r="D2120" s="10">
        <v>0.05</v>
      </c>
      <c r="E2120" s="10">
        <v>40</v>
      </c>
    </row>
    <row r="2121" spans="1:5">
      <c r="A2121" t="s">
        <v>9821</v>
      </c>
      <c r="B2121" t="s">
        <v>751</v>
      </c>
      <c r="C2121" s="10">
        <v>12</v>
      </c>
      <c r="D2121" s="10">
        <v>0.2</v>
      </c>
      <c r="E2121" s="10">
        <v>40</v>
      </c>
    </row>
    <row r="2122" spans="1:5">
      <c r="A2122" t="s">
        <v>5804</v>
      </c>
      <c r="B2122" t="s">
        <v>751</v>
      </c>
      <c r="C2122" s="10">
        <v>12</v>
      </c>
      <c r="D2122" s="10">
        <v>0.35</v>
      </c>
      <c r="E2122" s="10">
        <v>40</v>
      </c>
    </row>
    <row r="2123" spans="1:5">
      <c r="A2123" t="s">
        <v>750</v>
      </c>
      <c r="B2123" t="s">
        <v>751</v>
      </c>
      <c r="C2123" s="10">
        <v>6</v>
      </c>
      <c r="D2123" s="10">
        <v>0.7</v>
      </c>
      <c r="E2123" s="10">
        <v>40</v>
      </c>
    </row>
    <row r="2124" spans="1:5">
      <c r="A2124" t="s">
        <v>1456</v>
      </c>
      <c r="B2124" t="s">
        <v>751</v>
      </c>
      <c r="C2124" s="10">
        <v>6</v>
      </c>
      <c r="D2124" s="10">
        <v>1</v>
      </c>
      <c r="E2124" s="10">
        <v>40</v>
      </c>
    </row>
    <row r="2125" spans="1:5">
      <c r="A2125" t="s">
        <v>1575</v>
      </c>
      <c r="B2125" t="s">
        <v>751</v>
      </c>
      <c r="C2125" s="10">
        <v>6</v>
      </c>
      <c r="D2125" s="10">
        <v>1.5</v>
      </c>
      <c r="E2125" s="10">
        <v>40</v>
      </c>
    </row>
    <row r="2126" spans="1:5">
      <c r="A2126" t="s">
        <v>5917</v>
      </c>
      <c r="B2126" t="s">
        <v>751</v>
      </c>
      <c r="C2126" s="10">
        <v>2</v>
      </c>
      <c r="D2126" s="10">
        <v>3</v>
      </c>
      <c r="E2126" s="10">
        <v>40</v>
      </c>
    </row>
    <row r="2127" spans="1:5">
      <c r="A2127" t="s">
        <v>5918</v>
      </c>
      <c r="B2127" t="s">
        <v>751</v>
      </c>
      <c r="C2127" s="10">
        <v>1</v>
      </c>
      <c r="D2127" s="10">
        <v>4.5</v>
      </c>
      <c r="E2127" s="10">
        <v>40</v>
      </c>
    </row>
    <row r="2128" spans="1:5">
      <c r="A2128" t="s">
        <v>5919</v>
      </c>
      <c r="B2128" t="s">
        <v>751</v>
      </c>
      <c r="C2128" s="10">
        <v>1</v>
      </c>
      <c r="D2128" s="10">
        <v>6</v>
      </c>
      <c r="E2128" s="10">
        <v>40</v>
      </c>
    </row>
    <row r="2129" spans="1:5">
      <c r="A2129" t="s">
        <v>752</v>
      </c>
      <c r="B2129" t="s">
        <v>753</v>
      </c>
      <c r="C2129" s="10">
        <v>6</v>
      </c>
      <c r="D2129" s="10">
        <v>0.7</v>
      </c>
      <c r="E2129" s="10">
        <v>40</v>
      </c>
    </row>
    <row r="2130" spans="1:5">
      <c r="A2130" t="s">
        <v>2116</v>
      </c>
      <c r="B2130" t="s">
        <v>2117</v>
      </c>
      <c r="C2130" s="10">
        <v>6</v>
      </c>
      <c r="D2130" s="10">
        <v>1</v>
      </c>
      <c r="E2130" s="10">
        <v>30</v>
      </c>
    </row>
    <row r="2131" spans="1:5">
      <c r="A2131" t="s">
        <v>2118</v>
      </c>
      <c r="B2131" t="s">
        <v>2119</v>
      </c>
      <c r="C2131" s="10">
        <v>6</v>
      </c>
      <c r="D2131" s="10">
        <v>1</v>
      </c>
      <c r="E2131" s="10">
        <v>30</v>
      </c>
    </row>
    <row r="2132" spans="1:5">
      <c r="A2132" t="s">
        <v>2120</v>
      </c>
      <c r="B2132" t="s">
        <v>2121</v>
      </c>
      <c r="C2132" s="10">
        <v>6</v>
      </c>
      <c r="D2132" s="10">
        <v>1</v>
      </c>
      <c r="E2132" s="10">
        <v>30</v>
      </c>
    </row>
    <row r="2133" spans="1:5">
      <c r="A2133" t="s">
        <v>754</v>
      </c>
      <c r="B2133" t="s">
        <v>755</v>
      </c>
      <c r="C2133" s="10">
        <v>6</v>
      </c>
      <c r="D2133" s="10">
        <v>0.7</v>
      </c>
      <c r="E2133" s="10">
        <v>40</v>
      </c>
    </row>
    <row r="2134" spans="1:5">
      <c r="A2134" t="s">
        <v>756</v>
      </c>
      <c r="B2134" t="s">
        <v>757</v>
      </c>
      <c r="C2134" s="10">
        <v>6</v>
      </c>
      <c r="D2134" s="10">
        <v>0.7</v>
      </c>
      <c r="E2134" s="10">
        <v>40</v>
      </c>
    </row>
    <row r="2135" spans="1:5">
      <c r="A2135" t="s">
        <v>5047</v>
      </c>
      <c r="B2135" t="s">
        <v>5048</v>
      </c>
      <c r="C2135" s="10">
        <v>6</v>
      </c>
      <c r="D2135" s="10">
        <v>0.7</v>
      </c>
      <c r="E2135" s="10">
        <v>38</v>
      </c>
    </row>
    <row r="2136" spans="1:5">
      <c r="A2136" t="s">
        <v>758</v>
      </c>
      <c r="B2136" t="s">
        <v>759</v>
      </c>
      <c r="C2136" s="10">
        <v>6</v>
      </c>
      <c r="D2136" s="10">
        <v>0.7</v>
      </c>
      <c r="E2136" s="10">
        <v>40</v>
      </c>
    </row>
    <row r="2137" spans="1:5">
      <c r="A2137" t="s">
        <v>1457</v>
      </c>
      <c r="B2137" t="s">
        <v>759</v>
      </c>
      <c r="C2137" s="10">
        <v>6</v>
      </c>
      <c r="D2137" s="10">
        <v>1</v>
      </c>
      <c r="E2137" s="10">
        <v>40</v>
      </c>
    </row>
    <row r="2138" spans="1:5">
      <c r="A2138" t="s">
        <v>8310</v>
      </c>
      <c r="B2138" t="s">
        <v>8685</v>
      </c>
      <c r="C2138" s="10">
        <v>6</v>
      </c>
      <c r="D2138" s="10">
        <v>1</v>
      </c>
      <c r="E2138" s="10">
        <v>40</v>
      </c>
    </row>
    <row r="2139" spans="1:5">
      <c r="A2139" t="s">
        <v>4759</v>
      </c>
      <c r="B2139" t="s">
        <v>4760</v>
      </c>
      <c r="C2139" s="10">
        <v>6</v>
      </c>
      <c r="D2139" s="10">
        <v>0.7</v>
      </c>
      <c r="E2139" s="10">
        <v>45</v>
      </c>
    </row>
    <row r="2140" spans="1:5">
      <c r="A2140" t="s">
        <v>760</v>
      </c>
      <c r="B2140" t="s">
        <v>761</v>
      </c>
      <c r="C2140" s="10">
        <v>6</v>
      </c>
      <c r="D2140" s="10">
        <v>0.7</v>
      </c>
      <c r="E2140" s="10">
        <v>40</v>
      </c>
    </row>
    <row r="2141" spans="1:5">
      <c r="A2141" t="s">
        <v>9822</v>
      </c>
      <c r="B2141" t="s">
        <v>8686</v>
      </c>
      <c r="C2141" s="10">
        <v>6</v>
      </c>
      <c r="D2141" s="10">
        <v>0.7</v>
      </c>
      <c r="E2141" s="10">
        <v>43</v>
      </c>
    </row>
    <row r="2142" spans="1:5">
      <c r="A2142" t="s">
        <v>5490</v>
      </c>
      <c r="B2142" t="s">
        <v>5491</v>
      </c>
      <c r="C2142" s="10">
        <v>6</v>
      </c>
      <c r="D2142" s="10">
        <v>0.7</v>
      </c>
      <c r="E2142" s="10">
        <v>43</v>
      </c>
    </row>
    <row r="2143" spans="1:5">
      <c r="A2143" t="s">
        <v>9823</v>
      </c>
      <c r="B2143" t="s">
        <v>8687</v>
      </c>
      <c r="C2143" s="10">
        <v>6</v>
      </c>
      <c r="D2143" s="10">
        <v>0.7</v>
      </c>
      <c r="E2143" s="10">
        <v>40</v>
      </c>
    </row>
    <row r="2144" spans="1:5">
      <c r="A2144" t="s">
        <v>3976</v>
      </c>
      <c r="B2144" t="s">
        <v>3977</v>
      </c>
      <c r="C2144" s="10">
        <v>6</v>
      </c>
      <c r="D2144" s="10">
        <v>0.7</v>
      </c>
      <c r="E2144" s="10">
        <v>44</v>
      </c>
    </row>
    <row r="2145" spans="1:5">
      <c r="A2145" t="s">
        <v>5492</v>
      </c>
      <c r="B2145" t="s">
        <v>5493</v>
      </c>
      <c r="C2145" s="10">
        <v>6</v>
      </c>
      <c r="D2145" s="10">
        <v>0.7</v>
      </c>
      <c r="E2145" s="10">
        <v>43</v>
      </c>
    </row>
    <row r="2146" spans="1:5">
      <c r="A2146" t="s">
        <v>5049</v>
      </c>
      <c r="B2146" t="s">
        <v>5050</v>
      </c>
      <c r="C2146" s="10">
        <v>6</v>
      </c>
      <c r="D2146" s="10">
        <v>0.7</v>
      </c>
      <c r="E2146" s="10">
        <v>38</v>
      </c>
    </row>
    <row r="2147" spans="1:5">
      <c r="A2147" t="s">
        <v>5805</v>
      </c>
      <c r="B2147" t="s">
        <v>5716</v>
      </c>
      <c r="C2147" s="10">
        <v>12</v>
      </c>
      <c r="D2147" s="10">
        <v>0.7</v>
      </c>
      <c r="E2147" s="10">
        <v>40</v>
      </c>
    </row>
    <row r="2148" spans="1:5">
      <c r="A2148" t="s">
        <v>5715</v>
      </c>
      <c r="B2148" t="s">
        <v>5716</v>
      </c>
      <c r="C2148" s="10">
        <v>12</v>
      </c>
      <c r="D2148" s="10">
        <v>1</v>
      </c>
      <c r="E2148" s="10">
        <v>40</v>
      </c>
    </row>
    <row r="2149" spans="1:5">
      <c r="A2149" t="s">
        <v>9824</v>
      </c>
      <c r="B2149" t="s">
        <v>8688</v>
      </c>
      <c r="C2149" s="10">
        <v>6</v>
      </c>
      <c r="D2149" s="10">
        <v>0.7</v>
      </c>
      <c r="E2149" s="10">
        <v>43</v>
      </c>
    </row>
    <row r="2150" spans="1:5">
      <c r="A2150" t="s">
        <v>1814</v>
      </c>
      <c r="B2150" t="s">
        <v>1815</v>
      </c>
      <c r="C2150" s="10">
        <v>6</v>
      </c>
      <c r="D2150" s="10">
        <v>0.5</v>
      </c>
      <c r="E2150" s="10">
        <v>46</v>
      </c>
    </row>
    <row r="2151" spans="1:5">
      <c r="A2151" t="s">
        <v>9825</v>
      </c>
      <c r="B2151" t="s">
        <v>8689</v>
      </c>
      <c r="C2151" s="10">
        <v>6</v>
      </c>
      <c r="D2151" s="10">
        <v>0.5</v>
      </c>
      <c r="E2151" s="10">
        <v>40</v>
      </c>
    </row>
    <row r="2152" spans="1:5">
      <c r="A2152" t="s">
        <v>9826</v>
      </c>
      <c r="B2152" t="s">
        <v>8690</v>
      </c>
      <c r="C2152" s="10">
        <v>6</v>
      </c>
      <c r="D2152" s="10">
        <v>0.7</v>
      </c>
      <c r="E2152" s="10">
        <v>43</v>
      </c>
    </row>
    <row r="2153" spans="1:5">
      <c r="A2153" t="s">
        <v>9827</v>
      </c>
      <c r="B2153" t="s">
        <v>8691</v>
      </c>
      <c r="C2153" s="10">
        <v>6</v>
      </c>
      <c r="D2153" s="10">
        <v>0.7</v>
      </c>
      <c r="E2153" s="10">
        <v>40</v>
      </c>
    </row>
    <row r="2154" spans="1:5">
      <c r="A2154" t="s">
        <v>9828</v>
      </c>
      <c r="B2154" t="s">
        <v>8692</v>
      </c>
      <c r="C2154" s="10">
        <v>6</v>
      </c>
      <c r="D2154" s="10">
        <v>0.7</v>
      </c>
      <c r="E2154" s="10">
        <v>43</v>
      </c>
    </row>
    <row r="2155" spans="1:5">
      <c r="A2155" t="s">
        <v>9829</v>
      </c>
      <c r="B2155" t="s">
        <v>8693</v>
      </c>
      <c r="C2155" s="10">
        <v>6</v>
      </c>
      <c r="D2155" s="10">
        <v>0.7</v>
      </c>
      <c r="E2155" s="10">
        <v>43</v>
      </c>
    </row>
    <row r="2156" spans="1:5">
      <c r="A2156" t="s">
        <v>9830</v>
      </c>
      <c r="B2156" t="s">
        <v>8694</v>
      </c>
      <c r="C2156" s="10">
        <v>6</v>
      </c>
      <c r="D2156" s="10">
        <v>0.7</v>
      </c>
      <c r="E2156" s="10">
        <v>45</v>
      </c>
    </row>
    <row r="2157" spans="1:5">
      <c r="A2157" t="s">
        <v>9831</v>
      </c>
      <c r="B2157" t="s">
        <v>8695</v>
      </c>
      <c r="C2157" s="10">
        <v>6</v>
      </c>
      <c r="D2157" s="10">
        <v>0.7</v>
      </c>
      <c r="E2157" s="10">
        <v>42</v>
      </c>
    </row>
    <row r="2158" spans="1:5">
      <c r="A2158" t="s">
        <v>762</v>
      </c>
      <c r="B2158" t="s">
        <v>763</v>
      </c>
      <c r="C2158" s="10">
        <v>6</v>
      </c>
      <c r="D2158" s="10">
        <v>0.7</v>
      </c>
      <c r="E2158" s="10">
        <v>40</v>
      </c>
    </row>
    <row r="2159" spans="1:5">
      <c r="A2159" t="s">
        <v>764</v>
      </c>
      <c r="B2159" t="s">
        <v>765</v>
      </c>
      <c r="C2159" s="10">
        <v>6</v>
      </c>
      <c r="D2159" s="10">
        <v>0.7</v>
      </c>
      <c r="E2159" s="10">
        <v>40</v>
      </c>
    </row>
    <row r="2160" spans="1:5">
      <c r="A2160" t="s">
        <v>766</v>
      </c>
      <c r="B2160" t="s">
        <v>767</v>
      </c>
      <c r="C2160" s="10">
        <v>6</v>
      </c>
      <c r="D2160" s="10">
        <v>0.7</v>
      </c>
      <c r="E2160" s="10">
        <v>40</v>
      </c>
    </row>
    <row r="2161" spans="1:5">
      <c r="A2161" t="s">
        <v>2122</v>
      </c>
      <c r="B2161" t="s">
        <v>2123</v>
      </c>
      <c r="C2161" s="10">
        <v>6</v>
      </c>
      <c r="D2161" s="10">
        <v>1</v>
      </c>
      <c r="E2161" s="10">
        <v>20</v>
      </c>
    </row>
    <row r="2162" spans="1:5">
      <c r="A2162" t="s">
        <v>2124</v>
      </c>
      <c r="B2162" t="s">
        <v>2125</v>
      </c>
      <c r="C2162" s="10">
        <v>6</v>
      </c>
      <c r="D2162" s="10">
        <v>1</v>
      </c>
      <c r="E2162" s="10">
        <v>30</v>
      </c>
    </row>
    <row r="2163" spans="1:5">
      <c r="A2163" t="s">
        <v>6677</v>
      </c>
      <c r="B2163" t="s">
        <v>2127</v>
      </c>
      <c r="C2163" s="10">
        <v>12</v>
      </c>
      <c r="D2163" s="10">
        <v>0.5</v>
      </c>
      <c r="E2163" s="10">
        <v>35</v>
      </c>
    </row>
    <row r="2164" spans="1:5">
      <c r="A2164" t="s">
        <v>2126</v>
      </c>
      <c r="B2164" t="s">
        <v>2127</v>
      </c>
      <c r="C2164" s="10">
        <v>6</v>
      </c>
      <c r="D2164" s="10">
        <v>1</v>
      </c>
      <c r="E2164" s="10">
        <v>35</v>
      </c>
    </row>
    <row r="2165" spans="1:5">
      <c r="A2165" t="s">
        <v>6678</v>
      </c>
      <c r="B2165" t="s">
        <v>6679</v>
      </c>
      <c r="C2165" s="10">
        <v>12</v>
      </c>
      <c r="D2165" s="10">
        <v>0.75</v>
      </c>
      <c r="E2165" s="10">
        <v>17.5</v>
      </c>
    </row>
    <row r="2166" spans="1:5">
      <c r="A2166" t="s">
        <v>6850</v>
      </c>
      <c r="B2166" t="s">
        <v>6679</v>
      </c>
      <c r="C2166" s="10">
        <v>12</v>
      </c>
      <c r="D2166" s="10">
        <v>1</v>
      </c>
      <c r="E2166" s="10">
        <v>17.5</v>
      </c>
    </row>
    <row r="2167" spans="1:5">
      <c r="A2167" t="s">
        <v>3978</v>
      </c>
      <c r="B2167" t="s">
        <v>3979</v>
      </c>
      <c r="C2167" s="10">
        <v>6</v>
      </c>
      <c r="D2167" s="10">
        <v>0.7</v>
      </c>
      <c r="E2167" s="10">
        <v>18</v>
      </c>
    </row>
    <row r="2168" spans="1:5">
      <c r="A2168" t="s">
        <v>3980</v>
      </c>
      <c r="B2168" t="s">
        <v>3981</v>
      </c>
      <c r="C2168" s="10">
        <v>6</v>
      </c>
      <c r="D2168" s="10">
        <v>0.7</v>
      </c>
      <c r="E2168" s="10">
        <v>47</v>
      </c>
    </row>
    <row r="2169" spans="1:5">
      <c r="A2169" t="s">
        <v>768</v>
      </c>
      <c r="B2169" t="s">
        <v>769</v>
      </c>
      <c r="C2169" s="10">
        <v>6</v>
      </c>
      <c r="D2169" s="10">
        <v>0.7</v>
      </c>
      <c r="E2169" s="10">
        <v>40</v>
      </c>
    </row>
    <row r="2170" spans="1:5">
      <c r="A2170" t="s">
        <v>9832</v>
      </c>
      <c r="B2170" t="s">
        <v>8696</v>
      </c>
      <c r="C2170" s="10">
        <v>6</v>
      </c>
      <c r="D2170" s="10">
        <v>0.7</v>
      </c>
      <c r="E2170" s="10">
        <v>40</v>
      </c>
    </row>
    <row r="2171" spans="1:5">
      <c r="A2171" t="s">
        <v>9833</v>
      </c>
      <c r="B2171" t="s">
        <v>8697</v>
      </c>
      <c r="C2171" s="10">
        <v>6</v>
      </c>
      <c r="D2171" s="10">
        <v>0.7</v>
      </c>
      <c r="E2171" s="10">
        <v>46</v>
      </c>
    </row>
    <row r="2172" spans="1:5">
      <c r="A2172" t="s">
        <v>9834</v>
      </c>
      <c r="B2172" t="s">
        <v>8698</v>
      </c>
      <c r="C2172" s="10">
        <v>6</v>
      </c>
      <c r="D2172" s="10">
        <v>0.7</v>
      </c>
      <c r="E2172" s="10">
        <v>40</v>
      </c>
    </row>
    <row r="2173" spans="1:5">
      <c r="A2173" t="s">
        <v>770</v>
      </c>
      <c r="B2173" t="s">
        <v>771</v>
      </c>
      <c r="C2173" s="10">
        <v>6</v>
      </c>
      <c r="D2173" s="10">
        <v>0.7</v>
      </c>
      <c r="E2173" s="10">
        <v>40</v>
      </c>
    </row>
    <row r="2174" spans="1:5">
      <c r="A2174" t="s">
        <v>1458</v>
      </c>
      <c r="B2174" t="s">
        <v>771</v>
      </c>
      <c r="C2174" s="10">
        <v>6</v>
      </c>
      <c r="D2174" s="10">
        <v>1</v>
      </c>
      <c r="E2174" s="10">
        <v>40</v>
      </c>
    </row>
    <row r="2175" spans="1:5">
      <c r="A2175" t="s">
        <v>772</v>
      </c>
      <c r="B2175" t="s">
        <v>773</v>
      </c>
      <c r="C2175" s="10">
        <v>6</v>
      </c>
      <c r="D2175" s="10">
        <v>0.7</v>
      </c>
      <c r="E2175" s="10">
        <v>40</v>
      </c>
    </row>
    <row r="2176" spans="1:5">
      <c r="A2176" t="s">
        <v>774</v>
      </c>
      <c r="B2176" t="s">
        <v>775</v>
      </c>
      <c r="C2176" s="10">
        <v>6</v>
      </c>
      <c r="D2176" s="10">
        <v>0.7</v>
      </c>
      <c r="E2176" s="10">
        <v>40</v>
      </c>
    </row>
    <row r="2177" spans="1:5">
      <c r="A2177" t="s">
        <v>1459</v>
      </c>
      <c r="B2177" t="s">
        <v>775</v>
      </c>
      <c r="C2177" s="10">
        <v>6</v>
      </c>
      <c r="D2177" s="10">
        <v>1</v>
      </c>
      <c r="E2177" s="10">
        <v>40</v>
      </c>
    </row>
    <row r="2178" spans="1:5">
      <c r="A2178" t="s">
        <v>776</v>
      </c>
      <c r="B2178" t="s">
        <v>777</v>
      </c>
      <c r="C2178" s="10">
        <v>6</v>
      </c>
      <c r="D2178" s="10">
        <v>0.7</v>
      </c>
      <c r="E2178" s="10">
        <v>40</v>
      </c>
    </row>
    <row r="2179" spans="1:5">
      <c r="A2179" t="s">
        <v>1460</v>
      </c>
      <c r="B2179" t="s">
        <v>777</v>
      </c>
      <c r="C2179" s="10">
        <v>6</v>
      </c>
      <c r="D2179" s="10">
        <v>1</v>
      </c>
      <c r="E2179" s="10">
        <v>40</v>
      </c>
    </row>
    <row r="2180" spans="1:5">
      <c r="A2180" t="s">
        <v>3982</v>
      </c>
      <c r="B2180" t="s">
        <v>3983</v>
      </c>
      <c r="C2180" s="10">
        <v>6</v>
      </c>
      <c r="D2180" s="10">
        <v>0.7</v>
      </c>
      <c r="E2180" s="10">
        <v>35</v>
      </c>
    </row>
    <row r="2181" spans="1:5">
      <c r="A2181" t="s">
        <v>4761</v>
      </c>
      <c r="B2181" t="s">
        <v>4762</v>
      </c>
      <c r="C2181" s="10">
        <v>6</v>
      </c>
      <c r="D2181" s="10">
        <v>0.7</v>
      </c>
      <c r="E2181" s="10">
        <v>45</v>
      </c>
    </row>
    <row r="2182" spans="1:5">
      <c r="A2182" t="s">
        <v>9835</v>
      </c>
      <c r="B2182" t="s">
        <v>8699</v>
      </c>
      <c r="C2182" s="10">
        <v>3</v>
      </c>
      <c r="D2182" s="10">
        <v>0.7</v>
      </c>
      <c r="E2182" s="10">
        <v>40</v>
      </c>
    </row>
    <row r="2183" spans="1:5">
      <c r="A2183" t="s">
        <v>3984</v>
      </c>
      <c r="B2183" t="s">
        <v>3985</v>
      </c>
      <c r="C2183" s="10">
        <v>6</v>
      </c>
      <c r="D2183" s="10">
        <v>0.7</v>
      </c>
      <c r="E2183" s="10">
        <v>41.3</v>
      </c>
    </row>
    <row r="2184" spans="1:5">
      <c r="A2184" t="s">
        <v>778</v>
      </c>
      <c r="B2184" t="s">
        <v>779</v>
      </c>
      <c r="C2184" s="10">
        <v>6</v>
      </c>
      <c r="D2184" s="10">
        <v>0.7</v>
      </c>
      <c r="E2184" s="10">
        <v>40</v>
      </c>
    </row>
    <row r="2185" spans="1:5">
      <c r="A2185" t="s">
        <v>3986</v>
      </c>
      <c r="B2185" t="s">
        <v>3987</v>
      </c>
      <c r="C2185" s="10">
        <v>6</v>
      </c>
      <c r="D2185" s="10">
        <v>0.7</v>
      </c>
      <c r="E2185" s="10">
        <v>41.2</v>
      </c>
    </row>
    <row r="2186" spans="1:5">
      <c r="A2186" t="s">
        <v>3988</v>
      </c>
      <c r="B2186" t="s">
        <v>3989</v>
      </c>
      <c r="C2186" s="10">
        <v>6</v>
      </c>
      <c r="D2186" s="10">
        <v>0.7</v>
      </c>
      <c r="E2186" s="10">
        <v>41.4</v>
      </c>
    </row>
    <row r="2187" spans="1:5">
      <c r="A2187" t="s">
        <v>3990</v>
      </c>
      <c r="B2187" t="s">
        <v>3991</v>
      </c>
      <c r="C2187" s="10">
        <v>6</v>
      </c>
      <c r="D2187" s="10">
        <v>0.7</v>
      </c>
      <c r="E2187" s="10">
        <v>26</v>
      </c>
    </row>
    <row r="2188" spans="1:5">
      <c r="A2188" t="s">
        <v>5717</v>
      </c>
      <c r="B2188" t="s">
        <v>5718</v>
      </c>
      <c r="C2188" s="10">
        <v>12</v>
      </c>
      <c r="D2188" s="10">
        <v>1</v>
      </c>
      <c r="E2188" s="10">
        <v>40</v>
      </c>
    </row>
    <row r="2189" spans="1:5">
      <c r="A2189" t="s">
        <v>6261</v>
      </c>
      <c r="B2189" t="s">
        <v>6262</v>
      </c>
      <c r="C2189" s="10">
        <v>8</v>
      </c>
      <c r="D2189" s="10">
        <v>0.15</v>
      </c>
      <c r="E2189" s="10">
        <v>45.33</v>
      </c>
    </row>
    <row r="2190" spans="1:5">
      <c r="A2190" t="s">
        <v>3992</v>
      </c>
      <c r="B2190" t="s">
        <v>3993</v>
      </c>
      <c r="C2190" s="10">
        <v>6</v>
      </c>
      <c r="D2190" s="10">
        <v>0.7</v>
      </c>
      <c r="E2190" s="10">
        <v>50</v>
      </c>
    </row>
    <row r="2191" spans="1:5">
      <c r="A2191" t="s">
        <v>3994</v>
      </c>
      <c r="B2191" t="s">
        <v>3995</v>
      </c>
      <c r="C2191" s="10">
        <v>6</v>
      </c>
      <c r="D2191" s="10">
        <v>0.7</v>
      </c>
      <c r="E2191" s="10">
        <v>42</v>
      </c>
    </row>
    <row r="2192" spans="1:5">
      <c r="A2192" t="s">
        <v>5494</v>
      </c>
      <c r="B2192" t="s">
        <v>5495</v>
      </c>
      <c r="C2192" s="10">
        <v>6</v>
      </c>
      <c r="D2192" s="10">
        <v>0.7</v>
      </c>
      <c r="E2192" s="10">
        <v>43</v>
      </c>
    </row>
    <row r="2193" spans="1:5">
      <c r="A2193" t="s">
        <v>2914</v>
      </c>
      <c r="B2193" t="s">
        <v>2915</v>
      </c>
      <c r="C2193" s="10">
        <v>6</v>
      </c>
      <c r="D2193" s="10">
        <v>0.75</v>
      </c>
      <c r="E2193" s="10">
        <v>13</v>
      </c>
    </row>
    <row r="2194" spans="1:5">
      <c r="A2194" t="s">
        <v>2916</v>
      </c>
      <c r="B2194" t="s">
        <v>2917</v>
      </c>
      <c r="C2194" s="10">
        <v>6</v>
      </c>
      <c r="D2194" s="10">
        <v>0.75</v>
      </c>
      <c r="E2194" s="10">
        <v>13</v>
      </c>
    </row>
    <row r="2195" spans="1:5">
      <c r="A2195" t="s">
        <v>9836</v>
      </c>
      <c r="B2195" t="s">
        <v>8700</v>
      </c>
      <c r="C2195" s="10">
        <v>6</v>
      </c>
      <c r="D2195" s="10">
        <v>0.75</v>
      </c>
      <c r="E2195" s="10">
        <v>13</v>
      </c>
    </row>
    <row r="2196" spans="1:5">
      <c r="A2196" t="s">
        <v>9837</v>
      </c>
      <c r="B2196" t="s">
        <v>8701</v>
      </c>
      <c r="C2196" s="10">
        <v>6</v>
      </c>
      <c r="D2196" s="10">
        <v>0.75</v>
      </c>
      <c r="E2196" s="10">
        <v>12.5</v>
      </c>
    </row>
    <row r="2197" spans="1:5">
      <c r="A2197" t="s">
        <v>3996</v>
      </c>
      <c r="B2197" t="s">
        <v>3997</v>
      </c>
      <c r="C2197" s="10">
        <v>6</v>
      </c>
      <c r="D2197" s="10">
        <v>0.7</v>
      </c>
      <c r="E2197" s="10">
        <v>24</v>
      </c>
    </row>
    <row r="2198" spans="1:5">
      <c r="A2198" t="s">
        <v>3148</v>
      </c>
      <c r="B2198" t="s">
        <v>3149</v>
      </c>
      <c r="C2198" s="10">
        <v>6</v>
      </c>
      <c r="D2198" s="10">
        <v>0.75</v>
      </c>
      <c r="E2198" s="10">
        <v>12.5</v>
      </c>
    </row>
    <row r="2199" spans="1:5">
      <c r="A2199" t="s">
        <v>3998</v>
      </c>
      <c r="B2199" t="s">
        <v>3999</v>
      </c>
      <c r="C2199" s="10">
        <v>6</v>
      </c>
      <c r="D2199" s="10">
        <v>0.7</v>
      </c>
      <c r="E2199" s="10">
        <v>35</v>
      </c>
    </row>
    <row r="2200" spans="1:5">
      <c r="A2200" t="s">
        <v>6851</v>
      </c>
      <c r="B2200" t="s">
        <v>6852</v>
      </c>
      <c r="C2200" s="10">
        <v>12</v>
      </c>
      <c r="D2200" s="10">
        <v>1</v>
      </c>
      <c r="E2200" s="10">
        <v>43.4</v>
      </c>
    </row>
    <row r="2201" spans="1:5">
      <c r="A2201" t="s">
        <v>4000</v>
      </c>
      <c r="B2201" t="s">
        <v>4001</v>
      </c>
      <c r="C2201" s="10">
        <v>6</v>
      </c>
      <c r="D2201" s="10">
        <v>0.7</v>
      </c>
      <c r="E2201" s="10">
        <v>43.4</v>
      </c>
    </row>
    <row r="2202" spans="1:5">
      <c r="A2202" t="s">
        <v>6263</v>
      </c>
      <c r="B2202" t="s">
        <v>1658</v>
      </c>
      <c r="C2202" s="10">
        <v>96</v>
      </c>
      <c r="D2202" s="10">
        <v>0.05</v>
      </c>
      <c r="E2202" s="10">
        <v>41.4</v>
      </c>
    </row>
    <row r="2203" spans="1:5">
      <c r="A2203" t="s">
        <v>6680</v>
      </c>
      <c r="B2203" t="s">
        <v>1658</v>
      </c>
      <c r="C2203" s="10">
        <v>12</v>
      </c>
      <c r="D2203" s="10">
        <v>0.35</v>
      </c>
      <c r="E2203" s="10">
        <v>41.4</v>
      </c>
    </row>
    <row r="2204" spans="1:5">
      <c r="A2204" t="s">
        <v>4002</v>
      </c>
      <c r="B2204" t="s">
        <v>1658</v>
      </c>
      <c r="C2204" s="10">
        <v>6</v>
      </c>
      <c r="D2204" s="10">
        <v>0.7</v>
      </c>
      <c r="E2204" s="10">
        <v>41.4</v>
      </c>
    </row>
    <row r="2205" spans="1:5">
      <c r="A2205" t="s">
        <v>6853</v>
      </c>
      <c r="B2205" t="s">
        <v>1658</v>
      </c>
      <c r="C2205" s="10">
        <v>12</v>
      </c>
      <c r="D2205" s="10">
        <v>1</v>
      </c>
      <c r="E2205" s="10">
        <v>44</v>
      </c>
    </row>
    <row r="2206" spans="1:5">
      <c r="A2206" t="s">
        <v>1657</v>
      </c>
      <c r="B2206" t="s">
        <v>1658</v>
      </c>
      <c r="C2206" s="10">
        <v>6</v>
      </c>
      <c r="D2206" s="10">
        <v>1.75</v>
      </c>
      <c r="E2206" s="10">
        <v>41.4</v>
      </c>
    </row>
    <row r="2207" spans="1:5">
      <c r="A2207" t="s">
        <v>9838</v>
      </c>
      <c r="B2207" t="s">
        <v>8702</v>
      </c>
      <c r="C2207" s="10">
        <v>6</v>
      </c>
      <c r="D2207" s="10">
        <v>0.7</v>
      </c>
      <c r="E2207" s="10">
        <v>41.4</v>
      </c>
    </row>
    <row r="2208" spans="1:5">
      <c r="A2208" t="s">
        <v>4003</v>
      </c>
      <c r="B2208" t="s">
        <v>4004</v>
      </c>
      <c r="C2208" s="10">
        <v>6</v>
      </c>
      <c r="D2208" s="10">
        <v>0.7</v>
      </c>
      <c r="E2208" s="10">
        <v>43.4</v>
      </c>
    </row>
    <row r="2209" spans="1:5">
      <c r="A2209" t="s">
        <v>9839</v>
      </c>
      <c r="B2209" t="s">
        <v>8703</v>
      </c>
      <c r="C2209" s="10">
        <v>6</v>
      </c>
      <c r="D2209" s="10">
        <v>1.1000000000000001</v>
      </c>
      <c r="E2209" s="10">
        <v>41.4</v>
      </c>
    </row>
    <row r="2210" spans="1:5">
      <c r="A2210" t="s">
        <v>9840</v>
      </c>
      <c r="B2210" t="s">
        <v>8704</v>
      </c>
      <c r="C2210" s="10">
        <v>6</v>
      </c>
      <c r="D2210" s="10">
        <v>0.7</v>
      </c>
      <c r="E2210" s="10">
        <v>43.4</v>
      </c>
    </row>
    <row r="2211" spans="1:5">
      <c r="A2211" t="s">
        <v>4005</v>
      </c>
      <c r="B2211" t="s">
        <v>4006</v>
      </c>
      <c r="C2211" s="10">
        <v>6</v>
      </c>
      <c r="D2211" s="10">
        <v>0.7</v>
      </c>
      <c r="E2211" s="10">
        <v>43.4</v>
      </c>
    </row>
    <row r="2212" spans="1:5">
      <c r="A2212" t="s">
        <v>4007</v>
      </c>
      <c r="B2212" t="s">
        <v>4008</v>
      </c>
      <c r="C2212" s="10">
        <v>6</v>
      </c>
      <c r="D2212" s="10">
        <v>0.7</v>
      </c>
      <c r="E2212" s="10">
        <v>43.4</v>
      </c>
    </row>
    <row r="2213" spans="1:5">
      <c r="A2213" t="s">
        <v>3028</v>
      </c>
      <c r="B2213" t="s">
        <v>3029</v>
      </c>
      <c r="C2213" s="10">
        <v>6</v>
      </c>
      <c r="D2213" s="10">
        <v>0.75</v>
      </c>
      <c r="E2213" s="10">
        <v>12</v>
      </c>
    </row>
    <row r="2214" spans="1:5">
      <c r="A2214" t="s">
        <v>2606</v>
      </c>
      <c r="B2214" t="s">
        <v>2607</v>
      </c>
      <c r="C2214" s="10">
        <v>6</v>
      </c>
      <c r="D2214" s="10">
        <v>0.75</v>
      </c>
      <c r="E2214" s="10">
        <v>11.5</v>
      </c>
    </row>
    <row r="2215" spans="1:5">
      <c r="A2215" t="s">
        <v>6681</v>
      </c>
      <c r="B2215" t="s">
        <v>6682</v>
      </c>
      <c r="C2215" s="10">
        <v>12</v>
      </c>
      <c r="D2215" s="10">
        <v>0.2</v>
      </c>
      <c r="E2215" s="10">
        <v>11.5</v>
      </c>
    </row>
    <row r="2216" spans="1:5">
      <c r="A2216" t="s">
        <v>9841</v>
      </c>
      <c r="B2216" t="s">
        <v>8705</v>
      </c>
      <c r="C2216" s="10">
        <v>6</v>
      </c>
      <c r="D2216" s="10">
        <v>1</v>
      </c>
      <c r="E2216" s="10">
        <v>20</v>
      </c>
    </row>
    <row r="2217" spans="1:5">
      <c r="A2217" t="s">
        <v>2128</v>
      </c>
      <c r="B2217" t="s">
        <v>2129</v>
      </c>
      <c r="C2217" s="10">
        <v>6</v>
      </c>
      <c r="D2217" s="10">
        <v>1</v>
      </c>
      <c r="E2217" s="10">
        <v>35</v>
      </c>
    </row>
    <row r="2218" spans="1:5">
      <c r="A2218" t="s">
        <v>2130</v>
      </c>
      <c r="B2218" t="s">
        <v>2131</v>
      </c>
      <c r="C2218" s="10">
        <v>6</v>
      </c>
      <c r="D2218" s="10">
        <v>1</v>
      </c>
      <c r="E2218" s="10">
        <v>35</v>
      </c>
    </row>
    <row r="2219" spans="1:5">
      <c r="A2219" t="s">
        <v>9842</v>
      </c>
      <c r="B2219" t="s">
        <v>8706</v>
      </c>
      <c r="C2219" s="10">
        <v>3</v>
      </c>
      <c r="D2219" s="10">
        <v>0.7</v>
      </c>
      <c r="E2219" s="10">
        <v>40</v>
      </c>
    </row>
    <row r="2220" spans="1:5">
      <c r="A2220" t="s">
        <v>5920</v>
      </c>
      <c r="B2220" t="s">
        <v>781</v>
      </c>
      <c r="C2220" s="10">
        <v>120</v>
      </c>
      <c r="D2220" s="10">
        <v>0.05</v>
      </c>
      <c r="E2220" s="10">
        <v>40</v>
      </c>
    </row>
    <row r="2221" spans="1:5">
      <c r="A2221" t="s">
        <v>5921</v>
      </c>
      <c r="B2221" t="s">
        <v>781</v>
      </c>
      <c r="C2221" s="10">
        <v>24</v>
      </c>
      <c r="D2221" s="10">
        <v>0.2</v>
      </c>
      <c r="E2221" s="10">
        <v>40</v>
      </c>
    </row>
    <row r="2222" spans="1:5">
      <c r="A2222" t="s">
        <v>5806</v>
      </c>
      <c r="B2222" t="s">
        <v>781</v>
      </c>
      <c r="C2222" s="10">
        <v>12</v>
      </c>
      <c r="D2222" s="10">
        <v>0.35</v>
      </c>
      <c r="E2222" s="10">
        <v>40</v>
      </c>
    </row>
    <row r="2223" spans="1:5">
      <c r="A2223" t="s">
        <v>5807</v>
      </c>
      <c r="B2223" t="s">
        <v>781</v>
      </c>
      <c r="C2223" s="10">
        <v>12</v>
      </c>
      <c r="D2223" s="10">
        <v>0.7</v>
      </c>
      <c r="E2223" s="10">
        <v>40</v>
      </c>
    </row>
    <row r="2224" spans="1:5">
      <c r="A2224" t="s">
        <v>780</v>
      </c>
      <c r="B2224" t="s">
        <v>781</v>
      </c>
      <c r="C2224" s="10">
        <v>6</v>
      </c>
      <c r="D2224" s="10">
        <v>0.7</v>
      </c>
      <c r="E2224" s="10">
        <v>40</v>
      </c>
    </row>
    <row r="2225" spans="1:5">
      <c r="A2225" t="s">
        <v>5719</v>
      </c>
      <c r="B2225" t="s">
        <v>781</v>
      </c>
      <c r="C2225" s="10">
        <v>12</v>
      </c>
      <c r="D2225" s="10">
        <v>1</v>
      </c>
      <c r="E2225" s="10">
        <v>40</v>
      </c>
    </row>
    <row r="2226" spans="1:5">
      <c r="A2226" t="s">
        <v>1576</v>
      </c>
      <c r="B2226" t="s">
        <v>781</v>
      </c>
      <c r="C2226" s="10">
        <v>6</v>
      </c>
      <c r="D2226" s="10">
        <v>1.5</v>
      </c>
      <c r="E2226" s="10">
        <v>40</v>
      </c>
    </row>
    <row r="2227" spans="1:5">
      <c r="A2227" t="s">
        <v>9843</v>
      </c>
      <c r="B2227" t="s">
        <v>5721</v>
      </c>
      <c r="C2227" s="10">
        <v>12</v>
      </c>
      <c r="D2227" s="10">
        <v>0.7</v>
      </c>
      <c r="E2227" s="10">
        <v>40</v>
      </c>
    </row>
    <row r="2228" spans="1:5">
      <c r="A2228" t="s">
        <v>5720</v>
      </c>
      <c r="B2228" t="s">
        <v>5721</v>
      </c>
      <c r="C2228" s="10">
        <v>12</v>
      </c>
      <c r="D2228" s="10">
        <v>1</v>
      </c>
      <c r="E2228" s="10">
        <v>40</v>
      </c>
    </row>
    <row r="2229" spans="1:5">
      <c r="A2229" t="s">
        <v>782</v>
      </c>
      <c r="B2229" t="s">
        <v>783</v>
      </c>
      <c r="C2229" s="10">
        <v>6</v>
      </c>
      <c r="D2229" s="10">
        <v>0.7</v>
      </c>
      <c r="E2229" s="10">
        <v>40</v>
      </c>
    </row>
    <row r="2230" spans="1:5">
      <c r="A2230" t="s">
        <v>9844</v>
      </c>
      <c r="B2230" t="s">
        <v>8707</v>
      </c>
      <c r="C2230" s="10">
        <v>6</v>
      </c>
      <c r="D2230" s="10">
        <v>0.7</v>
      </c>
      <c r="E2230" s="10">
        <v>40</v>
      </c>
    </row>
    <row r="2231" spans="1:5">
      <c r="A2231" t="s">
        <v>9845</v>
      </c>
      <c r="B2231" t="s">
        <v>8708</v>
      </c>
      <c r="C2231" s="10">
        <v>6</v>
      </c>
      <c r="D2231" s="10">
        <v>0.7</v>
      </c>
      <c r="E2231" s="10">
        <v>40</v>
      </c>
    </row>
    <row r="2232" spans="1:5">
      <c r="A2232" t="s">
        <v>9846</v>
      </c>
      <c r="B2232" t="s">
        <v>8708</v>
      </c>
      <c r="C2232" s="10">
        <v>12</v>
      </c>
      <c r="D2232" s="10">
        <v>1</v>
      </c>
      <c r="E2232" s="10">
        <v>40</v>
      </c>
    </row>
    <row r="2233" spans="1:5">
      <c r="A2233" t="s">
        <v>5808</v>
      </c>
      <c r="B2233" t="s">
        <v>785</v>
      </c>
      <c r="C2233" s="10">
        <v>12</v>
      </c>
      <c r="D2233" s="10">
        <v>0.7</v>
      </c>
      <c r="E2233" s="10">
        <v>40</v>
      </c>
    </row>
    <row r="2234" spans="1:5">
      <c r="A2234" t="s">
        <v>784</v>
      </c>
      <c r="B2234" t="s">
        <v>785</v>
      </c>
      <c r="C2234" s="10">
        <v>6</v>
      </c>
      <c r="D2234" s="10">
        <v>0.7</v>
      </c>
      <c r="E2234" s="10">
        <v>40</v>
      </c>
    </row>
    <row r="2235" spans="1:5">
      <c r="A2235" t="s">
        <v>1461</v>
      </c>
      <c r="B2235" t="s">
        <v>785</v>
      </c>
      <c r="C2235" s="10">
        <v>6</v>
      </c>
      <c r="D2235" s="10">
        <v>1</v>
      </c>
      <c r="E2235" s="10">
        <v>40</v>
      </c>
    </row>
    <row r="2236" spans="1:5">
      <c r="A2236" t="s">
        <v>786</v>
      </c>
      <c r="B2236" t="s">
        <v>787</v>
      </c>
      <c r="C2236" s="10">
        <v>6</v>
      </c>
      <c r="D2236" s="10">
        <v>0.7</v>
      </c>
      <c r="E2236" s="10">
        <v>40</v>
      </c>
    </row>
    <row r="2237" spans="1:5">
      <c r="A2237" t="s">
        <v>9847</v>
      </c>
      <c r="B2237" t="s">
        <v>8709</v>
      </c>
      <c r="C2237" s="10">
        <v>6</v>
      </c>
      <c r="D2237" s="10">
        <v>1</v>
      </c>
      <c r="E2237" s="10">
        <v>40</v>
      </c>
    </row>
    <row r="2238" spans="1:5">
      <c r="A2238" t="s">
        <v>9848</v>
      </c>
      <c r="B2238" t="s">
        <v>8709</v>
      </c>
      <c r="C2238" s="10">
        <v>6</v>
      </c>
      <c r="D2238" s="10">
        <v>1</v>
      </c>
      <c r="E2238" s="10">
        <v>40</v>
      </c>
    </row>
    <row r="2239" spans="1:5">
      <c r="A2239" t="s">
        <v>4763</v>
      </c>
      <c r="B2239" t="s">
        <v>4764</v>
      </c>
      <c r="C2239" s="10">
        <v>6</v>
      </c>
      <c r="D2239" s="10">
        <v>0.7</v>
      </c>
      <c r="E2239" s="10">
        <v>45</v>
      </c>
    </row>
    <row r="2240" spans="1:5">
      <c r="A2240" t="s">
        <v>9849</v>
      </c>
      <c r="B2240" t="s">
        <v>8710</v>
      </c>
      <c r="C2240" s="10">
        <v>6</v>
      </c>
      <c r="D2240" s="10">
        <v>0.7</v>
      </c>
      <c r="E2240" s="10">
        <v>45</v>
      </c>
    </row>
    <row r="2241" spans="1:5">
      <c r="A2241" t="s">
        <v>788</v>
      </c>
      <c r="B2241" t="s">
        <v>789</v>
      </c>
      <c r="C2241" s="10">
        <v>6</v>
      </c>
      <c r="D2241" s="10">
        <v>0.7</v>
      </c>
      <c r="E2241" s="10">
        <v>40</v>
      </c>
    </row>
    <row r="2242" spans="1:5">
      <c r="A2242" t="s">
        <v>1816</v>
      </c>
      <c r="B2242" t="s">
        <v>1817</v>
      </c>
      <c r="C2242" s="10">
        <v>6</v>
      </c>
      <c r="D2242" s="10">
        <v>0.5</v>
      </c>
      <c r="E2242" s="10">
        <v>43</v>
      </c>
    </row>
    <row r="2243" spans="1:5">
      <c r="A2243" t="s">
        <v>790</v>
      </c>
      <c r="B2243" t="s">
        <v>791</v>
      </c>
      <c r="C2243" s="10">
        <v>6</v>
      </c>
      <c r="D2243" s="10">
        <v>0.7</v>
      </c>
      <c r="E2243" s="10">
        <v>40</v>
      </c>
    </row>
    <row r="2244" spans="1:5">
      <c r="A2244" t="s">
        <v>792</v>
      </c>
      <c r="B2244" t="s">
        <v>793</v>
      </c>
      <c r="C2244" s="10">
        <v>6</v>
      </c>
      <c r="D2244" s="10">
        <v>0.7</v>
      </c>
      <c r="E2244" s="10">
        <v>40</v>
      </c>
    </row>
    <row r="2245" spans="1:5">
      <c r="A2245" t="s">
        <v>9850</v>
      </c>
      <c r="B2245" t="s">
        <v>8711</v>
      </c>
      <c r="C2245" s="10">
        <v>6</v>
      </c>
      <c r="D2245" s="10">
        <v>0.7</v>
      </c>
      <c r="E2245" s="10">
        <v>40</v>
      </c>
    </row>
    <row r="2246" spans="1:5">
      <c r="A2246" t="s">
        <v>794</v>
      </c>
      <c r="B2246" t="s">
        <v>795</v>
      </c>
      <c r="C2246" s="10">
        <v>6</v>
      </c>
      <c r="D2246" s="10">
        <v>0.7</v>
      </c>
      <c r="E2246" s="10">
        <v>40</v>
      </c>
    </row>
    <row r="2247" spans="1:5">
      <c r="A2247" t="s">
        <v>9851</v>
      </c>
      <c r="B2247" t="s">
        <v>8712</v>
      </c>
      <c r="C2247" s="10">
        <v>6</v>
      </c>
      <c r="D2247" s="10">
        <v>0.7</v>
      </c>
      <c r="E2247" s="10">
        <v>43</v>
      </c>
    </row>
    <row r="2248" spans="1:5">
      <c r="A2248" t="s">
        <v>9852</v>
      </c>
      <c r="B2248" t="s">
        <v>8713</v>
      </c>
      <c r="C2248" s="10">
        <v>6</v>
      </c>
      <c r="D2248" s="10">
        <v>0.7</v>
      </c>
      <c r="E2248" s="10">
        <v>43</v>
      </c>
    </row>
    <row r="2249" spans="1:5">
      <c r="A2249" t="s">
        <v>5496</v>
      </c>
      <c r="B2249" t="s">
        <v>5497</v>
      </c>
      <c r="C2249" s="10">
        <v>6</v>
      </c>
      <c r="D2249" s="10">
        <v>0.7</v>
      </c>
      <c r="E2249" s="10">
        <v>43</v>
      </c>
    </row>
    <row r="2250" spans="1:5">
      <c r="A2250" t="s">
        <v>6683</v>
      </c>
      <c r="B2250" t="s">
        <v>6684</v>
      </c>
      <c r="C2250" s="10">
        <v>12</v>
      </c>
      <c r="D2250" s="10">
        <v>0.7</v>
      </c>
      <c r="E2250" s="10">
        <v>43</v>
      </c>
    </row>
    <row r="2251" spans="1:5">
      <c r="A2251" t="s">
        <v>9853</v>
      </c>
      <c r="B2251" t="s">
        <v>8714</v>
      </c>
      <c r="C2251" s="10">
        <v>6</v>
      </c>
      <c r="D2251" s="10">
        <v>0.7</v>
      </c>
      <c r="E2251" s="10">
        <v>26</v>
      </c>
    </row>
    <row r="2252" spans="1:5">
      <c r="A2252" t="s">
        <v>6264</v>
      </c>
      <c r="B2252" t="s">
        <v>6265</v>
      </c>
      <c r="C2252" s="10">
        <v>9</v>
      </c>
      <c r="D2252" s="10">
        <v>0.7</v>
      </c>
      <c r="E2252" s="10">
        <v>26</v>
      </c>
    </row>
    <row r="2253" spans="1:5">
      <c r="A2253" t="s">
        <v>9854</v>
      </c>
      <c r="B2253" t="s">
        <v>8715</v>
      </c>
      <c r="C2253" s="10">
        <v>3</v>
      </c>
      <c r="D2253" s="10">
        <v>0.7</v>
      </c>
      <c r="E2253" s="10">
        <v>38</v>
      </c>
    </row>
    <row r="2254" spans="1:5">
      <c r="A2254" t="s">
        <v>9855</v>
      </c>
      <c r="B2254" t="s">
        <v>8716</v>
      </c>
      <c r="C2254" s="10">
        <v>6</v>
      </c>
      <c r="D2254" s="10">
        <v>0.7</v>
      </c>
      <c r="E2254" s="10">
        <v>46</v>
      </c>
    </row>
    <row r="2255" spans="1:5">
      <c r="A2255" t="s">
        <v>9856</v>
      </c>
      <c r="B2255" t="s">
        <v>8717</v>
      </c>
      <c r="C2255" s="10">
        <v>6</v>
      </c>
      <c r="D2255" s="10">
        <v>0.7</v>
      </c>
      <c r="E2255" s="10">
        <v>46</v>
      </c>
    </row>
    <row r="2256" spans="1:5">
      <c r="A2256" t="s">
        <v>5222</v>
      </c>
      <c r="B2256" t="s">
        <v>5223</v>
      </c>
      <c r="C2256" s="10">
        <v>6</v>
      </c>
      <c r="D2256" s="10">
        <v>0.7</v>
      </c>
      <c r="E2256" s="10">
        <v>46</v>
      </c>
    </row>
    <row r="2257" spans="1:5">
      <c r="A2257" t="s">
        <v>796</v>
      </c>
      <c r="B2257" t="s">
        <v>797</v>
      </c>
      <c r="C2257" s="10">
        <v>6</v>
      </c>
      <c r="D2257" s="10">
        <v>0.7</v>
      </c>
      <c r="E2257" s="10">
        <v>40</v>
      </c>
    </row>
    <row r="2258" spans="1:5">
      <c r="A2258" t="s">
        <v>798</v>
      </c>
      <c r="B2258" t="s">
        <v>799</v>
      </c>
      <c r="C2258" s="10">
        <v>6</v>
      </c>
      <c r="D2258" s="10">
        <v>0.7</v>
      </c>
      <c r="E2258" s="10">
        <v>40</v>
      </c>
    </row>
    <row r="2259" spans="1:5">
      <c r="A2259" t="s">
        <v>800</v>
      </c>
      <c r="B2259" t="s">
        <v>801</v>
      </c>
      <c r="C2259" s="10">
        <v>6</v>
      </c>
      <c r="D2259" s="10">
        <v>0.7</v>
      </c>
      <c r="E2259" s="10">
        <v>40</v>
      </c>
    </row>
    <row r="2260" spans="1:5">
      <c r="A2260" t="s">
        <v>5809</v>
      </c>
      <c r="B2260" t="s">
        <v>5810</v>
      </c>
      <c r="C2260" s="10">
        <v>12</v>
      </c>
      <c r="D2260" s="10">
        <v>0.35</v>
      </c>
      <c r="E2260" s="10">
        <v>40</v>
      </c>
    </row>
    <row r="2261" spans="1:5">
      <c r="A2261" t="s">
        <v>802</v>
      </c>
      <c r="B2261" t="s">
        <v>803</v>
      </c>
      <c r="C2261" s="10">
        <v>6</v>
      </c>
      <c r="D2261" s="10">
        <v>0.7</v>
      </c>
      <c r="E2261" s="10">
        <v>40</v>
      </c>
    </row>
    <row r="2262" spans="1:5">
      <c r="A2262" t="s">
        <v>9857</v>
      </c>
      <c r="B2262" t="s">
        <v>8718</v>
      </c>
      <c r="C2262" s="10">
        <v>6</v>
      </c>
      <c r="D2262" s="10">
        <v>0.7</v>
      </c>
      <c r="E2262" s="10">
        <v>40</v>
      </c>
    </row>
    <row r="2263" spans="1:5">
      <c r="A2263" t="s">
        <v>804</v>
      </c>
      <c r="B2263" t="s">
        <v>805</v>
      </c>
      <c r="C2263" s="10">
        <v>6</v>
      </c>
      <c r="D2263" s="10">
        <v>0.7</v>
      </c>
      <c r="E2263" s="10">
        <v>40</v>
      </c>
    </row>
    <row r="2264" spans="1:5">
      <c r="A2264" t="s">
        <v>6854</v>
      </c>
      <c r="B2264" t="s">
        <v>6855</v>
      </c>
      <c r="C2264" s="10">
        <v>12</v>
      </c>
      <c r="D2264" s="10">
        <v>1</v>
      </c>
      <c r="E2264" s="10">
        <v>42.3</v>
      </c>
    </row>
    <row r="2265" spans="1:5">
      <c r="A2265" t="s">
        <v>4009</v>
      </c>
      <c r="B2265" t="s">
        <v>4010</v>
      </c>
      <c r="C2265" s="10">
        <v>6</v>
      </c>
      <c r="D2265" s="10">
        <v>0.7</v>
      </c>
      <c r="E2265" s="10">
        <v>44</v>
      </c>
    </row>
    <row r="2266" spans="1:5">
      <c r="A2266" t="s">
        <v>9858</v>
      </c>
      <c r="B2266" t="s">
        <v>8719</v>
      </c>
      <c r="C2266" s="10">
        <v>6</v>
      </c>
      <c r="D2266" s="10">
        <v>0.7</v>
      </c>
      <c r="E2266" s="10">
        <v>44.5</v>
      </c>
    </row>
    <row r="2267" spans="1:5">
      <c r="A2267" t="s">
        <v>5498</v>
      </c>
      <c r="B2267" t="s">
        <v>5499</v>
      </c>
      <c r="C2267" s="10">
        <v>6</v>
      </c>
      <c r="D2267" s="10">
        <v>0.7</v>
      </c>
      <c r="E2267" s="10">
        <v>43</v>
      </c>
    </row>
    <row r="2268" spans="1:5">
      <c r="A2268" t="s">
        <v>9859</v>
      </c>
      <c r="B2268" t="s">
        <v>8720</v>
      </c>
      <c r="C2268" s="10">
        <v>6</v>
      </c>
      <c r="D2268" s="10">
        <v>0.7</v>
      </c>
      <c r="E2268" s="10">
        <v>46</v>
      </c>
    </row>
    <row r="2269" spans="1:5">
      <c r="A2269" t="s">
        <v>6266</v>
      </c>
      <c r="B2269" t="s">
        <v>6267</v>
      </c>
      <c r="C2269" s="10">
        <v>3</v>
      </c>
      <c r="D2269" s="10">
        <v>0.7</v>
      </c>
      <c r="E2269" s="10">
        <v>46</v>
      </c>
    </row>
    <row r="2270" spans="1:5">
      <c r="A2270" t="s">
        <v>4011</v>
      </c>
      <c r="B2270" t="s">
        <v>4012</v>
      </c>
      <c r="C2270" s="10">
        <v>6</v>
      </c>
      <c r="D2270" s="10">
        <v>0.7</v>
      </c>
      <c r="E2270" s="10">
        <v>63.3</v>
      </c>
    </row>
    <row r="2271" spans="1:5">
      <c r="A2271" t="s">
        <v>4013</v>
      </c>
      <c r="B2271" t="s">
        <v>4014</v>
      </c>
      <c r="C2271" s="10">
        <v>6</v>
      </c>
      <c r="D2271" s="10">
        <v>0.7</v>
      </c>
      <c r="E2271" s="10">
        <v>64.099999999999994</v>
      </c>
    </row>
    <row r="2272" spans="1:5">
      <c r="A2272" t="s">
        <v>4015</v>
      </c>
      <c r="B2272" t="s">
        <v>4016</v>
      </c>
      <c r="C2272" s="10">
        <v>6</v>
      </c>
      <c r="D2272" s="10">
        <v>0.7</v>
      </c>
      <c r="E2272" s="10">
        <v>43.1</v>
      </c>
    </row>
    <row r="2273" spans="1:5">
      <c r="A2273" t="s">
        <v>9860</v>
      </c>
      <c r="B2273" t="s">
        <v>8721</v>
      </c>
      <c r="C2273" s="10">
        <v>12</v>
      </c>
      <c r="D2273" s="10">
        <v>0.15</v>
      </c>
      <c r="E2273" s="10">
        <v>42.1</v>
      </c>
    </row>
    <row r="2274" spans="1:5">
      <c r="A2274" t="s">
        <v>9861</v>
      </c>
      <c r="B2274" t="s">
        <v>8722</v>
      </c>
      <c r="C2274" s="10">
        <v>12</v>
      </c>
      <c r="D2274" s="10">
        <v>1</v>
      </c>
      <c r="E2274" s="10">
        <v>40</v>
      </c>
    </row>
    <row r="2275" spans="1:5">
      <c r="A2275" t="s">
        <v>9862</v>
      </c>
      <c r="B2275" t="s">
        <v>8723</v>
      </c>
      <c r="C2275" s="10">
        <v>6</v>
      </c>
      <c r="D2275" s="10">
        <v>0.7</v>
      </c>
      <c r="E2275" s="10">
        <v>46.8</v>
      </c>
    </row>
    <row r="2276" spans="1:5">
      <c r="A2276" t="s">
        <v>5811</v>
      </c>
      <c r="B2276" t="s">
        <v>8724</v>
      </c>
      <c r="C2276" s="10">
        <v>12</v>
      </c>
      <c r="D2276" s="10">
        <v>0.2</v>
      </c>
      <c r="E2276" s="10">
        <v>40</v>
      </c>
    </row>
    <row r="2277" spans="1:5">
      <c r="A2277" t="s">
        <v>5812</v>
      </c>
      <c r="B2277" t="s">
        <v>8725</v>
      </c>
      <c r="C2277" s="10">
        <v>12</v>
      </c>
      <c r="D2277" s="10">
        <v>0.2</v>
      </c>
      <c r="E2277" s="10">
        <v>40</v>
      </c>
    </row>
    <row r="2278" spans="1:5">
      <c r="A2278" t="s">
        <v>806</v>
      </c>
      <c r="B2278" t="s">
        <v>807</v>
      </c>
      <c r="C2278" s="10">
        <v>6</v>
      </c>
      <c r="D2278" s="10">
        <v>0.7</v>
      </c>
      <c r="E2278" s="10">
        <v>40</v>
      </c>
    </row>
    <row r="2279" spans="1:5">
      <c r="A2279" t="s">
        <v>1462</v>
      </c>
      <c r="B2279" t="s">
        <v>1463</v>
      </c>
      <c r="C2279" s="10">
        <v>6</v>
      </c>
      <c r="D2279" s="10">
        <v>1</v>
      </c>
      <c r="E2279" s="10">
        <v>40</v>
      </c>
    </row>
    <row r="2280" spans="1:5">
      <c r="A2280" t="s">
        <v>808</v>
      </c>
      <c r="B2280" t="s">
        <v>809</v>
      </c>
      <c r="C2280" s="10">
        <v>6</v>
      </c>
      <c r="D2280" s="10">
        <v>0.7</v>
      </c>
      <c r="E2280" s="10">
        <v>40</v>
      </c>
    </row>
    <row r="2281" spans="1:5">
      <c r="A2281" t="s">
        <v>2132</v>
      </c>
      <c r="B2281" t="s">
        <v>2133</v>
      </c>
      <c r="C2281" s="10">
        <v>6</v>
      </c>
      <c r="D2281" s="10">
        <v>1</v>
      </c>
      <c r="E2281" s="10">
        <v>30</v>
      </c>
    </row>
    <row r="2282" spans="1:5">
      <c r="A2282" t="s">
        <v>2134</v>
      </c>
      <c r="B2282" t="s">
        <v>2135</v>
      </c>
      <c r="C2282" s="10">
        <v>6</v>
      </c>
      <c r="D2282" s="10">
        <v>1</v>
      </c>
      <c r="E2282" s="10">
        <v>20</v>
      </c>
    </row>
    <row r="2283" spans="1:5">
      <c r="A2283" t="s">
        <v>2136</v>
      </c>
      <c r="B2283" t="s">
        <v>2137</v>
      </c>
      <c r="C2283" s="10">
        <v>6</v>
      </c>
      <c r="D2283" s="10">
        <v>1</v>
      </c>
      <c r="E2283" s="10">
        <v>20</v>
      </c>
    </row>
    <row r="2284" spans="1:5">
      <c r="A2284" t="s">
        <v>4017</v>
      </c>
      <c r="B2284" t="s">
        <v>4018</v>
      </c>
      <c r="C2284" s="10">
        <v>6</v>
      </c>
      <c r="D2284" s="10">
        <v>0.7</v>
      </c>
      <c r="E2284" s="10">
        <v>0</v>
      </c>
    </row>
    <row r="2285" spans="1:5">
      <c r="A2285" t="s">
        <v>6685</v>
      </c>
      <c r="B2285" t="s">
        <v>1819</v>
      </c>
      <c r="C2285" s="10">
        <v>12</v>
      </c>
      <c r="D2285" s="10">
        <v>0.2</v>
      </c>
      <c r="E2285" s="10">
        <v>35</v>
      </c>
    </row>
    <row r="2286" spans="1:5">
      <c r="A2286" t="s">
        <v>1818</v>
      </c>
      <c r="B2286" t="s">
        <v>1819</v>
      </c>
      <c r="C2286" s="10">
        <v>6</v>
      </c>
      <c r="D2286" s="10">
        <v>0.5</v>
      </c>
      <c r="E2286" s="10">
        <v>35</v>
      </c>
    </row>
    <row r="2287" spans="1:5">
      <c r="A2287" t="s">
        <v>2138</v>
      </c>
      <c r="B2287" t="s">
        <v>1819</v>
      </c>
      <c r="C2287" s="10">
        <v>6</v>
      </c>
      <c r="D2287" s="10">
        <v>1</v>
      </c>
      <c r="E2287" s="10">
        <v>35</v>
      </c>
    </row>
    <row r="2288" spans="1:5">
      <c r="A2288" t="s">
        <v>2139</v>
      </c>
      <c r="B2288" t="s">
        <v>2140</v>
      </c>
      <c r="C2288" s="10">
        <v>6</v>
      </c>
      <c r="D2288" s="10">
        <v>1</v>
      </c>
      <c r="E2288" s="10">
        <v>30</v>
      </c>
    </row>
    <row r="2289" spans="1:5">
      <c r="A2289" t="s">
        <v>5051</v>
      </c>
      <c r="B2289" t="s">
        <v>5052</v>
      </c>
      <c r="C2289" s="10">
        <v>6</v>
      </c>
      <c r="D2289" s="10">
        <v>0.7</v>
      </c>
      <c r="E2289" s="10">
        <v>38</v>
      </c>
    </row>
    <row r="2290" spans="1:5">
      <c r="A2290" t="s">
        <v>5053</v>
      </c>
      <c r="B2290" t="s">
        <v>5054</v>
      </c>
      <c r="C2290" s="10">
        <v>6</v>
      </c>
      <c r="D2290" s="10">
        <v>0.7</v>
      </c>
      <c r="E2290" s="10">
        <v>38</v>
      </c>
    </row>
    <row r="2291" spans="1:5">
      <c r="A2291" t="s">
        <v>4019</v>
      </c>
      <c r="B2291" t="s">
        <v>4020</v>
      </c>
      <c r="C2291" s="10">
        <v>6</v>
      </c>
      <c r="D2291" s="10">
        <v>0.7</v>
      </c>
      <c r="E2291" s="10">
        <v>35</v>
      </c>
    </row>
    <row r="2292" spans="1:5">
      <c r="A2292" t="s">
        <v>4021</v>
      </c>
      <c r="B2292" t="s">
        <v>4022</v>
      </c>
      <c r="C2292" s="10">
        <v>6</v>
      </c>
      <c r="D2292" s="10">
        <v>0.7</v>
      </c>
      <c r="E2292" s="10">
        <v>30</v>
      </c>
    </row>
    <row r="2293" spans="1:5">
      <c r="A2293" t="s">
        <v>2141</v>
      </c>
      <c r="B2293" t="s">
        <v>2142</v>
      </c>
      <c r="C2293" s="10">
        <v>6</v>
      </c>
      <c r="D2293" s="10">
        <v>1</v>
      </c>
      <c r="E2293" s="10">
        <v>35</v>
      </c>
    </row>
    <row r="2294" spans="1:5">
      <c r="A2294" t="s">
        <v>6686</v>
      </c>
      <c r="B2294" t="s">
        <v>6687</v>
      </c>
      <c r="C2294" s="10">
        <v>12</v>
      </c>
      <c r="D2294" s="10">
        <v>0.2</v>
      </c>
      <c r="E2294" s="10">
        <v>35</v>
      </c>
    </row>
    <row r="2295" spans="1:5">
      <c r="A2295" t="s">
        <v>2143</v>
      </c>
      <c r="B2295" t="s">
        <v>2144</v>
      </c>
      <c r="C2295" s="10">
        <v>6</v>
      </c>
      <c r="D2295" s="10">
        <v>1</v>
      </c>
      <c r="E2295" s="10">
        <v>22</v>
      </c>
    </row>
    <row r="2296" spans="1:5">
      <c r="A2296" t="s">
        <v>2145</v>
      </c>
      <c r="B2296" t="s">
        <v>2146</v>
      </c>
      <c r="C2296" s="10">
        <v>6</v>
      </c>
      <c r="D2296" s="10">
        <v>1</v>
      </c>
      <c r="E2296" s="10">
        <v>35</v>
      </c>
    </row>
    <row r="2297" spans="1:5">
      <c r="A2297" t="s">
        <v>6688</v>
      </c>
      <c r="B2297" t="s">
        <v>6689</v>
      </c>
      <c r="C2297" s="10">
        <v>12</v>
      </c>
      <c r="D2297" s="10">
        <v>0.2</v>
      </c>
      <c r="E2297" s="10">
        <v>35</v>
      </c>
    </row>
    <row r="2298" spans="1:5">
      <c r="A2298" t="s">
        <v>2147</v>
      </c>
      <c r="B2298" t="s">
        <v>2148</v>
      </c>
      <c r="C2298" s="10">
        <v>6</v>
      </c>
      <c r="D2298" s="10">
        <v>1</v>
      </c>
      <c r="E2298" s="10">
        <v>35</v>
      </c>
    </row>
    <row r="2299" spans="1:5">
      <c r="A2299" t="s">
        <v>6690</v>
      </c>
      <c r="B2299" t="s">
        <v>6691</v>
      </c>
      <c r="C2299" s="10">
        <v>12</v>
      </c>
      <c r="D2299" s="10">
        <v>0.2</v>
      </c>
      <c r="E2299" s="10">
        <v>35</v>
      </c>
    </row>
    <row r="2300" spans="1:5">
      <c r="A2300" t="s">
        <v>1820</v>
      </c>
      <c r="B2300" t="s">
        <v>1821</v>
      </c>
      <c r="C2300" s="10">
        <v>6</v>
      </c>
      <c r="D2300" s="10">
        <v>0.5</v>
      </c>
      <c r="E2300" s="10">
        <v>45</v>
      </c>
    </row>
    <row r="2301" spans="1:5">
      <c r="A2301" t="s">
        <v>4023</v>
      </c>
      <c r="B2301" t="s">
        <v>4024</v>
      </c>
      <c r="C2301" s="10">
        <v>6</v>
      </c>
      <c r="D2301" s="10">
        <v>0.7</v>
      </c>
      <c r="E2301" s="10">
        <v>32</v>
      </c>
    </row>
    <row r="2302" spans="1:5">
      <c r="A2302" t="s">
        <v>4025</v>
      </c>
      <c r="B2302" t="s">
        <v>4026</v>
      </c>
      <c r="C2302" s="10">
        <v>6</v>
      </c>
      <c r="D2302" s="10">
        <v>0.7</v>
      </c>
      <c r="E2302" s="10">
        <v>17</v>
      </c>
    </row>
    <row r="2303" spans="1:5">
      <c r="A2303" t="s">
        <v>1822</v>
      </c>
      <c r="B2303" t="s">
        <v>1823</v>
      </c>
      <c r="C2303" s="10">
        <v>6</v>
      </c>
      <c r="D2303" s="10">
        <v>0.5</v>
      </c>
      <c r="E2303" s="10">
        <v>44</v>
      </c>
    </row>
    <row r="2304" spans="1:5">
      <c r="A2304" t="s">
        <v>2608</v>
      </c>
      <c r="B2304" t="s">
        <v>2609</v>
      </c>
      <c r="C2304" s="10">
        <v>6</v>
      </c>
      <c r="D2304" s="10">
        <v>0.75</v>
      </c>
      <c r="E2304" s="10">
        <v>15</v>
      </c>
    </row>
    <row r="2305" spans="1:5">
      <c r="A2305" t="s">
        <v>9863</v>
      </c>
      <c r="B2305" t="s">
        <v>8726</v>
      </c>
      <c r="C2305" s="10">
        <v>6</v>
      </c>
      <c r="D2305" s="10">
        <v>0.7</v>
      </c>
      <c r="E2305" s="10">
        <v>46</v>
      </c>
    </row>
    <row r="2306" spans="1:5">
      <c r="A2306" t="s">
        <v>5224</v>
      </c>
      <c r="B2306" t="s">
        <v>5225</v>
      </c>
      <c r="C2306" s="10">
        <v>6</v>
      </c>
      <c r="D2306" s="10">
        <v>0.7</v>
      </c>
      <c r="E2306" s="10">
        <v>46</v>
      </c>
    </row>
    <row r="2307" spans="1:5">
      <c r="A2307" t="s">
        <v>5226</v>
      </c>
      <c r="B2307" t="s">
        <v>5227</v>
      </c>
      <c r="C2307" s="10">
        <v>6</v>
      </c>
      <c r="D2307" s="10">
        <v>0.7</v>
      </c>
      <c r="E2307" s="10">
        <v>46</v>
      </c>
    </row>
    <row r="2308" spans="1:5">
      <c r="A2308" t="s">
        <v>5228</v>
      </c>
      <c r="B2308" t="s">
        <v>5229</v>
      </c>
      <c r="C2308" s="10">
        <v>6</v>
      </c>
      <c r="D2308" s="10">
        <v>0.7</v>
      </c>
      <c r="E2308" s="10">
        <v>46</v>
      </c>
    </row>
    <row r="2309" spans="1:5">
      <c r="A2309" t="s">
        <v>6692</v>
      </c>
      <c r="B2309" t="s">
        <v>6693</v>
      </c>
      <c r="C2309" s="10">
        <v>12</v>
      </c>
      <c r="D2309" s="10">
        <v>0.7</v>
      </c>
      <c r="E2309" s="10">
        <v>15</v>
      </c>
    </row>
    <row r="2310" spans="1:5">
      <c r="A2310" t="s">
        <v>6856</v>
      </c>
      <c r="B2310" t="s">
        <v>6857</v>
      </c>
      <c r="C2310" s="10">
        <v>12</v>
      </c>
      <c r="D2310" s="10">
        <v>1</v>
      </c>
      <c r="E2310" s="10">
        <v>0</v>
      </c>
    </row>
    <row r="2311" spans="1:5">
      <c r="A2311" t="s">
        <v>6694</v>
      </c>
      <c r="B2311" t="s">
        <v>2150</v>
      </c>
      <c r="C2311" s="10">
        <v>12</v>
      </c>
      <c r="D2311" s="10">
        <v>0.2</v>
      </c>
      <c r="E2311" s="10">
        <v>37.5</v>
      </c>
    </row>
    <row r="2312" spans="1:5">
      <c r="A2312" t="s">
        <v>6695</v>
      </c>
      <c r="B2312" t="s">
        <v>2150</v>
      </c>
      <c r="C2312" s="10">
        <v>12</v>
      </c>
      <c r="D2312" s="10">
        <v>0.35</v>
      </c>
      <c r="E2312" s="10">
        <v>37.5</v>
      </c>
    </row>
    <row r="2313" spans="1:5">
      <c r="A2313" t="s">
        <v>6696</v>
      </c>
      <c r="B2313" t="s">
        <v>2150</v>
      </c>
      <c r="C2313" s="10">
        <v>12</v>
      </c>
      <c r="D2313" s="10">
        <v>0.7</v>
      </c>
      <c r="E2313" s="10">
        <v>37.5</v>
      </c>
    </row>
    <row r="2314" spans="1:5">
      <c r="A2314" t="s">
        <v>2149</v>
      </c>
      <c r="B2314" t="s">
        <v>2150</v>
      </c>
      <c r="C2314" s="10">
        <v>6</v>
      </c>
      <c r="D2314" s="10">
        <v>1</v>
      </c>
      <c r="E2314" s="10">
        <v>37.5</v>
      </c>
    </row>
    <row r="2315" spans="1:5">
      <c r="A2315" t="s">
        <v>2151</v>
      </c>
      <c r="B2315" t="s">
        <v>2152</v>
      </c>
      <c r="C2315" s="10">
        <v>6</v>
      </c>
      <c r="D2315" s="10">
        <v>1</v>
      </c>
      <c r="E2315" s="10">
        <v>37.5</v>
      </c>
    </row>
    <row r="2316" spans="1:5">
      <c r="A2316" t="s">
        <v>1464</v>
      </c>
      <c r="B2316" t="s">
        <v>1465</v>
      </c>
      <c r="C2316" s="10">
        <v>6</v>
      </c>
      <c r="D2316" s="10">
        <v>1</v>
      </c>
      <c r="E2316" s="10">
        <v>40</v>
      </c>
    </row>
    <row r="2317" spans="1:5">
      <c r="A2317" t="s">
        <v>2610</v>
      </c>
      <c r="B2317" t="s">
        <v>2611</v>
      </c>
      <c r="C2317" s="10">
        <v>6</v>
      </c>
      <c r="D2317" s="10">
        <v>0.75</v>
      </c>
      <c r="E2317" s="10">
        <v>6.9</v>
      </c>
    </row>
    <row r="2318" spans="1:5">
      <c r="A2318" t="s">
        <v>2612</v>
      </c>
      <c r="B2318" t="s">
        <v>2613</v>
      </c>
      <c r="C2318" s="10">
        <v>6</v>
      </c>
      <c r="D2318" s="10">
        <v>0.75</v>
      </c>
      <c r="E2318" s="10">
        <v>6.9</v>
      </c>
    </row>
    <row r="2319" spans="1:5">
      <c r="A2319" t="s">
        <v>2614</v>
      </c>
      <c r="B2319" t="s">
        <v>2615</v>
      </c>
      <c r="C2319" s="10">
        <v>6</v>
      </c>
      <c r="D2319" s="10">
        <v>0.75</v>
      </c>
      <c r="E2319" s="10">
        <v>6.9</v>
      </c>
    </row>
    <row r="2320" spans="1:5">
      <c r="A2320" t="s">
        <v>810</v>
      </c>
      <c r="B2320" t="s">
        <v>811</v>
      </c>
      <c r="C2320" s="10">
        <v>6</v>
      </c>
      <c r="D2320" s="10">
        <v>0.7</v>
      </c>
      <c r="E2320" s="10">
        <v>40</v>
      </c>
    </row>
    <row r="2321" spans="1:5">
      <c r="A2321" t="s">
        <v>4027</v>
      </c>
      <c r="B2321" t="s">
        <v>4028</v>
      </c>
      <c r="C2321" s="10">
        <v>6</v>
      </c>
      <c r="D2321" s="10">
        <v>0.7</v>
      </c>
      <c r="E2321" s="10">
        <v>58</v>
      </c>
    </row>
    <row r="2322" spans="1:5">
      <c r="A2322" t="s">
        <v>6907</v>
      </c>
      <c r="B2322" t="s">
        <v>6908</v>
      </c>
      <c r="C2322" s="10">
        <v>6</v>
      </c>
      <c r="D2322" s="10">
        <v>0.7</v>
      </c>
      <c r="E2322" s="10">
        <v>40</v>
      </c>
    </row>
    <row r="2323" spans="1:5">
      <c r="A2323" t="s">
        <v>9864</v>
      </c>
      <c r="B2323" t="s">
        <v>8727</v>
      </c>
      <c r="C2323" s="10">
        <v>6</v>
      </c>
      <c r="D2323" s="10">
        <v>0.7</v>
      </c>
      <c r="E2323" s="10">
        <v>43</v>
      </c>
    </row>
    <row r="2324" spans="1:5">
      <c r="A2324" t="s">
        <v>4029</v>
      </c>
      <c r="B2324" t="s">
        <v>4030</v>
      </c>
      <c r="C2324" s="10">
        <v>6</v>
      </c>
      <c r="D2324" s="10">
        <v>0.7</v>
      </c>
      <c r="E2324" s="10">
        <v>48.1</v>
      </c>
    </row>
    <row r="2325" spans="1:5">
      <c r="A2325" t="s">
        <v>4031</v>
      </c>
      <c r="B2325" t="s">
        <v>4032</v>
      </c>
      <c r="C2325" s="10">
        <v>6</v>
      </c>
      <c r="D2325" s="10">
        <v>0.7</v>
      </c>
      <c r="E2325" s="10">
        <v>50.2</v>
      </c>
    </row>
    <row r="2326" spans="1:5">
      <c r="A2326" t="s">
        <v>4033</v>
      </c>
      <c r="B2326" t="s">
        <v>2154</v>
      </c>
      <c r="C2326" s="10">
        <v>6</v>
      </c>
      <c r="D2326" s="10">
        <v>0.7</v>
      </c>
      <c r="E2326" s="10">
        <v>35</v>
      </c>
    </row>
    <row r="2327" spans="1:5">
      <c r="A2327" t="s">
        <v>2153</v>
      </c>
      <c r="B2327" t="s">
        <v>2154</v>
      </c>
      <c r="C2327" s="10">
        <v>6</v>
      </c>
      <c r="D2327" s="10">
        <v>1</v>
      </c>
      <c r="E2327" s="10">
        <v>35</v>
      </c>
    </row>
    <row r="2328" spans="1:5">
      <c r="A2328" t="s">
        <v>1824</v>
      </c>
      <c r="B2328" t="s">
        <v>1825</v>
      </c>
      <c r="C2328" s="10">
        <v>6</v>
      </c>
      <c r="D2328" s="10">
        <v>0.5</v>
      </c>
      <c r="E2328" s="10">
        <v>20</v>
      </c>
    </row>
    <row r="2329" spans="1:5">
      <c r="A2329" t="s">
        <v>1466</v>
      </c>
      <c r="B2329" t="s">
        <v>1467</v>
      </c>
      <c r="C2329" s="10">
        <v>6</v>
      </c>
      <c r="D2329" s="10">
        <v>1</v>
      </c>
      <c r="E2329" s="10">
        <v>40</v>
      </c>
    </row>
    <row r="2330" spans="1:5">
      <c r="A2330" t="s">
        <v>4765</v>
      </c>
      <c r="B2330" t="s">
        <v>4766</v>
      </c>
      <c r="C2330" s="10">
        <v>6</v>
      </c>
      <c r="D2330" s="10">
        <v>0.7</v>
      </c>
      <c r="E2330" s="10">
        <v>45</v>
      </c>
    </row>
    <row r="2331" spans="1:5">
      <c r="A2331" t="s">
        <v>4034</v>
      </c>
      <c r="B2331" t="s">
        <v>4035</v>
      </c>
      <c r="C2331" s="10">
        <v>6</v>
      </c>
      <c r="D2331" s="10">
        <v>0.7</v>
      </c>
      <c r="E2331" s="10">
        <v>46.4</v>
      </c>
    </row>
    <row r="2332" spans="1:5">
      <c r="A2332" t="s">
        <v>4036</v>
      </c>
      <c r="B2332" t="s">
        <v>4037</v>
      </c>
      <c r="C2332" s="10">
        <v>6</v>
      </c>
      <c r="D2332" s="10">
        <v>0.7</v>
      </c>
      <c r="E2332" s="10">
        <v>30</v>
      </c>
    </row>
    <row r="2333" spans="1:5">
      <c r="A2333" t="s">
        <v>4038</v>
      </c>
      <c r="B2333" t="s">
        <v>4039</v>
      </c>
      <c r="C2333" s="10">
        <v>6</v>
      </c>
      <c r="D2333" s="10">
        <v>0.7</v>
      </c>
      <c r="E2333" s="10">
        <v>30</v>
      </c>
    </row>
    <row r="2334" spans="1:5">
      <c r="A2334" t="s">
        <v>5813</v>
      </c>
      <c r="B2334" t="s">
        <v>813</v>
      </c>
      <c r="C2334" s="10">
        <v>12</v>
      </c>
      <c r="D2334" s="10">
        <v>0.35</v>
      </c>
      <c r="E2334" s="10">
        <v>40</v>
      </c>
    </row>
    <row r="2335" spans="1:5">
      <c r="A2335" t="s">
        <v>812</v>
      </c>
      <c r="B2335" t="s">
        <v>813</v>
      </c>
      <c r="C2335" s="10">
        <v>6</v>
      </c>
      <c r="D2335" s="10">
        <v>0.7</v>
      </c>
      <c r="E2335" s="10">
        <v>40</v>
      </c>
    </row>
    <row r="2336" spans="1:5">
      <c r="A2336" t="s">
        <v>1468</v>
      </c>
      <c r="B2336" t="s">
        <v>813</v>
      </c>
      <c r="C2336" s="10">
        <v>6</v>
      </c>
      <c r="D2336" s="10">
        <v>1</v>
      </c>
      <c r="E2336" s="10">
        <v>40</v>
      </c>
    </row>
    <row r="2337" spans="1:5">
      <c r="A2337" t="s">
        <v>4040</v>
      </c>
      <c r="B2337" t="s">
        <v>4041</v>
      </c>
      <c r="C2337" s="10">
        <v>6</v>
      </c>
      <c r="D2337" s="10">
        <v>0.7</v>
      </c>
      <c r="E2337" s="10">
        <v>20</v>
      </c>
    </row>
    <row r="2338" spans="1:5">
      <c r="A2338" t="s">
        <v>9865</v>
      </c>
      <c r="B2338" t="s">
        <v>8728</v>
      </c>
      <c r="C2338" s="10">
        <v>6</v>
      </c>
      <c r="D2338" s="10">
        <v>0.7</v>
      </c>
      <c r="E2338" s="10">
        <v>40</v>
      </c>
    </row>
    <row r="2339" spans="1:5">
      <c r="A2339" t="s">
        <v>814</v>
      </c>
      <c r="B2339" t="s">
        <v>815</v>
      </c>
      <c r="C2339" s="10">
        <v>6</v>
      </c>
      <c r="D2339" s="10">
        <v>0.7</v>
      </c>
      <c r="E2339" s="10">
        <v>40</v>
      </c>
    </row>
    <row r="2340" spans="1:5">
      <c r="A2340" t="s">
        <v>4042</v>
      </c>
      <c r="B2340" t="s">
        <v>2156</v>
      </c>
      <c r="C2340" s="10">
        <v>6</v>
      </c>
      <c r="D2340" s="10">
        <v>0.7</v>
      </c>
      <c r="E2340" s="10">
        <v>30</v>
      </c>
    </row>
    <row r="2341" spans="1:5">
      <c r="A2341" t="s">
        <v>2155</v>
      </c>
      <c r="B2341" t="s">
        <v>2156</v>
      </c>
      <c r="C2341" s="10">
        <v>6</v>
      </c>
      <c r="D2341" s="10">
        <v>1</v>
      </c>
      <c r="E2341" s="10">
        <v>30</v>
      </c>
    </row>
    <row r="2342" spans="1:5">
      <c r="A2342" t="s">
        <v>816</v>
      </c>
      <c r="B2342" t="s">
        <v>817</v>
      </c>
      <c r="C2342" s="10">
        <v>6</v>
      </c>
      <c r="D2342" s="10">
        <v>0.7</v>
      </c>
      <c r="E2342" s="10">
        <v>40</v>
      </c>
    </row>
    <row r="2343" spans="1:5">
      <c r="A2343" t="s">
        <v>818</v>
      </c>
      <c r="B2343" t="s">
        <v>819</v>
      </c>
      <c r="C2343" s="10">
        <v>6</v>
      </c>
      <c r="D2343" s="10">
        <v>0.7</v>
      </c>
      <c r="E2343" s="10">
        <v>40</v>
      </c>
    </row>
    <row r="2344" spans="1:5">
      <c r="A2344" t="s">
        <v>9866</v>
      </c>
      <c r="B2344" t="s">
        <v>8729</v>
      </c>
      <c r="C2344" s="10">
        <v>6</v>
      </c>
      <c r="D2344" s="10">
        <v>0.7</v>
      </c>
      <c r="E2344" s="10">
        <v>64.5</v>
      </c>
    </row>
    <row r="2345" spans="1:5">
      <c r="A2345" t="s">
        <v>9867</v>
      </c>
      <c r="B2345" t="s">
        <v>821</v>
      </c>
      <c r="C2345" s="10">
        <v>120</v>
      </c>
      <c r="D2345" s="10">
        <v>0.05</v>
      </c>
      <c r="E2345" s="10">
        <v>40</v>
      </c>
    </row>
    <row r="2346" spans="1:5">
      <c r="A2346" t="s">
        <v>5922</v>
      </c>
      <c r="B2346" t="s">
        <v>821</v>
      </c>
      <c r="C2346" s="10">
        <v>120</v>
      </c>
      <c r="D2346" s="10">
        <v>0.05</v>
      </c>
      <c r="E2346" s="10">
        <v>40</v>
      </c>
    </row>
    <row r="2347" spans="1:5">
      <c r="A2347" t="s">
        <v>5923</v>
      </c>
      <c r="B2347" t="s">
        <v>821</v>
      </c>
      <c r="C2347" s="10">
        <v>24</v>
      </c>
      <c r="D2347" s="10">
        <v>0.2</v>
      </c>
      <c r="E2347" s="10">
        <v>40</v>
      </c>
    </row>
    <row r="2348" spans="1:5">
      <c r="A2348" t="s">
        <v>5814</v>
      </c>
      <c r="B2348" t="s">
        <v>821</v>
      </c>
      <c r="C2348" s="10">
        <v>12</v>
      </c>
      <c r="D2348" s="10">
        <v>0.35</v>
      </c>
      <c r="E2348" s="10">
        <v>40</v>
      </c>
    </row>
    <row r="2349" spans="1:5">
      <c r="A2349" t="s">
        <v>9868</v>
      </c>
      <c r="B2349" t="s">
        <v>821</v>
      </c>
      <c r="C2349" s="10">
        <v>12</v>
      </c>
      <c r="D2349" s="10">
        <v>0.5</v>
      </c>
      <c r="E2349" s="10">
        <v>40</v>
      </c>
    </row>
    <row r="2350" spans="1:5">
      <c r="A2350" t="s">
        <v>5815</v>
      </c>
      <c r="B2350" t="s">
        <v>821</v>
      </c>
      <c r="C2350" s="10">
        <v>12</v>
      </c>
      <c r="D2350" s="10">
        <v>0.7</v>
      </c>
      <c r="E2350" s="10">
        <v>40</v>
      </c>
    </row>
    <row r="2351" spans="1:5">
      <c r="A2351" t="s">
        <v>820</v>
      </c>
      <c r="B2351" t="s">
        <v>821</v>
      </c>
      <c r="C2351" s="10">
        <v>6</v>
      </c>
      <c r="D2351" s="10">
        <v>0.7</v>
      </c>
      <c r="E2351" s="10">
        <v>40</v>
      </c>
    </row>
    <row r="2352" spans="1:5">
      <c r="A2352" t="s">
        <v>822</v>
      </c>
      <c r="B2352" t="s">
        <v>821</v>
      </c>
      <c r="C2352" s="10">
        <v>6</v>
      </c>
      <c r="D2352" s="10">
        <v>0.7</v>
      </c>
      <c r="E2352" s="10">
        <v>40</v>
      </c>
    </row>
    <row r="2353" spans="1:5">
      <c r="A2353" t="s">
        <v>823</v>
      </c>
      <c r="B2353" t="s">
        <v>821</v>
      </c>
      <c r="C2353" s="10">
        <v>6</v>
      </c>
      <c r="D2353" s="10">
        <v>0.7</v>
      </c>
      <c r="E2353" s="10">
        <v>40</v>
      </c>
    </row>
    <row r="2354" spans="1:5">
      <c r="A2354" t="s">
        <v>5722</v>
      </c>
      <c r="B2354" t="s">
        <v>821</v>
      </c>
      <c r="C2354" s="10">
        <v>12</v>
      </c>
      <c r="D2354" s="10">
        <v>1</v>
      </c>
      <c r="E2354" s="10">
        <v>40</v>
      </c>
    </row>
    <row r="2355" spans="1:5">
      <c r="A2355" t="s">
        <v>1469</v>
      </c>
      <c r="B2355" t="s">
        <v>821</v>
      </c>
      <c r="C2355" s="10">
        <v>6</v>
      </c>
      <c r="D2355" s="10">
        <v>1</v>
      </c>
      <c r="E2355" s="10">
        <v>40</v>
      </c>
    </row>
    <row r="2356" spans="1:5">
      <c r="A2356" t="s">
        <v>1470</v>
      </c>
      <c r="B2356" t="s">
        <v>821</v>
      </c>
      <c r="C2356" s="10">
        <v>6</v>
      </c>
      <c r="D2356" s="10">
        <v>1</v>
      </c>
      <c r="E2356" s="10">
        <v>40</v>
      </c>
    </row>
    <row r="2357" spans="1:5">
      <c r="A2357" t="s">
        <v>1471</v>
      </c>
      <c r="B2357" t="s">
        <v>821</v>
      </c>
      <c r="C2357" s="10">
        <v>6</v>
      </c>
      <c r="D2357" s="10">
        <v>1</v>
      </c>
      <c r="E2357" s="10">
        <v>40</v>
      </c>
    </row>
    <row r="2358" spans="1:5">
      <c r="A2358" t="s">
        <v>9869</v>
      </c>
      <c r="B2358" t="s">
        <v>821</v>
      </c>
      <c r="C2358" s="10">
        <v>6</v>
      </c>
      <c r="D2358" s="10">
        <v>1.5</v>
      </c>
      <c r="E2358" s="10">
        <v>40</v>
      </c>
    </row>
    <row r="2359" spans="1:5">
      <c r="A2359" t="s">
        <v>1577</v>
      </c>
      <c r="B2359" t="s">
        <v>821</v>
      </c>
      <c r="C2359" s="10">
        <v>6</v>
      </c>
      <c r="D2359" s="10">
        <v>1.5</v>
      </c>
      <c r="E2359" s="10">
        <v>40</v>
      </c>
    </row>
    <row r="2360" spans="1:5">
      <c r="A2360" t="s">
        <v>9870</v>
      </c>
      <c r="B2360" t="s">
        <v>821</v>
      </c>
      <c r="C2360" s="10">
        <v>6</v>
      </c>
      <c r="D2360" s="10">
        <v>1.75</v>
      </c>
      <c r="E2360" s="10">
        <v>40</v>
      </c>
    </row>
    <row r="2361" spans="1:5">
      <c r="A2361" t="s">
        <v>5924</v>
      </c>
      <c r="B2361" t="s">
        <v>821</v>
      </c>
      <c r="C2361" s="10">
        <v>1</v>
      </c>
      <c r="D2361" s="10">
        <v>3</v>
      </c>
      <c r="E2361" s="10">
        <v>40</v>
      </c>
    </row>
    <row r="2362" spans="1:5">
      <c r="A2362" t="s">
        <v>9871</v>
      </c>
      <c r="B2362" t="s">
        <v>8730</v>
      </c>
      <c r="C2362" s="10">
        <v>12</v>
      </c>
      <c r="D2362" s="10">
        <v>0.2</v>
      </c>
      <c r="E2362" s="10">
        <v>43</v>
      </c>
    </row>
    <row r="2363" spans="1:5">
      <c r="A2363" t="s">
        <v>9872</v>
      </c>
      <c r="B2363" t="s">
        <v>8731</v>
      </c>
      <c r="C2363" s="10">
        <v>6</v>
      </c>
      <c r="D2363" s="10">
        <v>0.7</v>
      </c>
      <c r="E2363" s="10">
        <v>40</v>
      </c>
    </row>
    <row r="2364" spans="1:5">
      <c r="A2364" t="s">
        <v>9873</v>
      </c>
      <c r="B2364" t="s">
        <v>8732</v>
      </c>
      <c r="C2364" s="10">
        <v>6</v>
      </c>
      <c r="D2364" s="10">
        <v>0.7</v>
      </c>
      <c r="E2364" s="10">
        <v>40</v>
      </c>
    </row>
    <row r="2365" spans="1:5">
      <c r="A2365" t="s">
        <v>9874</v>
      </c>
      <c r="B2365" t="s">
        <v>8733</v>
      </c>
      <c r="C2365" s="10">
        <v>6</v>
      </c>
      <c r="D2365" s="10">
        <v>0.7</v>
      </c>
      <c r="E2365" s="10">
        <v>40</v>
      </c>
    </row>
    <row r="2366" spans="1:5">
      <c r="A2366" t="s">
        <v>824</v>
      </c>
      <c r="B2366" t="s">
        <v>825</v>
      </c>
      <c r="C2366" s="10">
        <v>6</v>
      </c>
      <c r="D2366" s="10">
        <v>0.7</v>
      </c>
      <c r="E2366" s="10">
        <v>40</v>
      </c>
    </row>
    <row r="2367" spans="1:5">
      <c r="A2367" t="s">
        <v>826</v>
      </c>
      <c r="B2367" t="s">
        <v>827</v>
      </c>
      <c r="C2367" s="10">
        <v>6</v>
      </c>
      <c r="D2367" s="10">
        <v>0.7</v>
      </c>
      <c r="E2367" s="10">
        <v>40</v>
      </c>
    </row>
    <row r="2368" spans="1:5">
      <c r="A2368" t="s">
        <v>9875</v>
      </c>
      <c r="B2368" t="s">
        <v>8734</v>
      </c>
      <c r="C2368" s="10">
        <v>6</v>
      </c>
      <c r="D2368" s="10">
        <v>0.7</v>
      </c>
      <c r="E2368" s="10">
        <v>40</v>
      </c>
    </row>
    <row r="2369" spans="1:5">
      <c r="A2369" t="s">
        <v>9876</v>
      </c>
      <c r="B2369" t="s">
        <v>8735</v>
      </c>
      <c r="C2369" s="10">
        <v>6</v>
      </c>
      <c r="D2369" s="10">
        <v>1</v>
      </c>
      <c r="E2369" s="10">
        <v>45</v>
      </c>
    </row>
    <row r="2370" spans="1:5">
      <c r="A2370" t="s">
        <v>4043</v>
      </c>
      <c r="B2370" t="s">
        <v>2158</v>
      </c>
      <c r="C2370" s="10">
        <v>6</v>
      </c>
      <c r="D2370" s="10">
        <v>0.7</v>
      </c>
      <c r="E2370" s="10">
        <v>35</v>
      </c>
    </row>
    <row r="2371" spans="1:5">
      <c r="A2371" t="s">
        <v>2157</v>
      </c>
      <c r="B2371" t="s">
        <v>2158</v>
      </c>
      <c r="C2371" s="10">
        <v>6</v>
      </c>
      <c r="D2371" s="10">
        <v>1</v>
      </c>
      <c r="E2371" s="10">
        <v>35</v>
      </c>
    </row>
    <row r="2372" spans="1:5">
      <c r="A2372" t="s">
        <v>4044</v>
      </c>
      <c r="B2372" t="s">
        <v>4045</v>
      </c>
      <c r="C2372" s="10">
        <v>6</v>
      </c>
      <c r="D2372" s="10">
        <v>0.7</v>
      </c>
      <c r="E2372" s="10">
        <v>50</v>
      </c>
    </row>
    <row r="2373" spans="1:5">
      <c r="A2373" t="s">
        <v>6858</v>
      </c>
      <c r="B2373" t="s">
        <v>6859</v>
      </c>
      <c r="C2373" s="10">
        <v>12</v>
      </c>
      <c r="D2373" s="10">
        <v>1</v>
      </c>
      <c r="E2373" s="10">
        <v>50</v>
      </c>
    </row>
    <row r="2374" spans="1:5">
      <c r="A2374" t="s">
        <v>6697</v>
      </c>
      <c r="B2374" t="s">
        <v>6698</v>
      </c>
      <c r="C2374" s="10">
        <v>12</v>
      </c>
      <c r="D2374" s="10">
        <v>0.25</v>
      </c>
      <c r="E2374" s="10">
        <v>39</v>
      </c>
    </row>
    <row r="2375" spans="1:5">
      <c r="A2375" t="s">
        <v>4046</v>
      </c>
      <c r="B2375" t="s">
        <v>2160</v>
      </c>
      <c r="C2375" s="10">
        <v>6</v>
      </c>
      <c r="D2375" s="10">
        <v>0.7</v>
      </c>
      <c r="E2375" s="10">
        <v>35</v>
      </c>
    </row>
    <row r="2376" spans="1:5">
      <c r="A2376" t="s">
        <v>2159</v>
      </c>
      <c r="B2376" t="s">
        <v>2160</v>
      </c>
      <c r="C2376" s="10">
        <v>6</v>
      </c>
      <c r="D2376" s="10">
        <v>1</v>
      </c>
      <c r="E2376" s="10">
        <v>35</v>
      </c>
    </row>
    <row r="2377" spans="1:5">
      <c r="A2377" t="s">
        <v>828</v>
      </c>
      <c r="B2377" t="s">
        <v>829</v>
      </c>
      <c r="C2377" s="10">
        <v>6</v>
      </c>
      <c r="D2377" s="10">
        <v>0.7</v>
      </c>
      <c r="E2377" s="10">
        <v>40</v>
      </c>
    </row>
    <row r="2378" spans="1:5">
      <c r="A2378" t="s">
        <v>9877</v>
      </c>
      <c r="B2378" t="s">
        <v>829</v>
      </c>
      <c r="C2378" s="10">
        <v>6</v>
      </c>
      <c r="D2378" s="10">
        <v>1</v>
      </c>
      <c r="E2378" s="10">
        <v>40</v>
      </c>
    </row>
    <row r="2379" spans="1:5">
      <c r="A2379" t="s">
        <v>9878</v>
      </c>
      <c r="B2379" t="s">
        <v>8736</v>
      </c>
      <c r="C2379" s="10">
        <v>6</v>
      </c>
      <c r="D2379" s="10">
        <v>0.7</v>
      </c>
      <c r="E2379" s="10">
        <v>40</v>
      </c>
    </row>
    <row r="2380" spans="1:5">
      <c r="A2380" t="s">
        <v>830</v>
      </c>
      <c r="B2380" t="s">
        <v>831</v>
      </c>
      <c r="C2380" s="10">
        <v>6</v>
      </c>
      <c r="D2380" s="10">
        <v>0.7</v>
      </c>
      <c r="E2380" s="10">
        <v>40</v>
      </c>
    </row>
    <row r="2381" spans="1:5">
      <c r="A2381" t="s">
        <v>4047</v>
      </c>
      <c r="B2381" t="s">
        <v>4048</v>
      </c>
      <c r="C2381" s="10">
        <v>6</v>
      </c>
      <c r="D2381" s="10">
        <v>0.7</v>
      </c>
      <c r="E2381" s="10">
        <v>35</v>
      </c>
    </row>
    <row r="2382" spans="1:5">
      <c r="A2382" t="s">
        <v>6860</v>
      </c>
      <c r="B2382" t="s">
        <v>4048</v>
      </c>
      <c r="C2382" s="10">
        <v>12</v>
      </c>
      <c r="D2382" s="10">
        <v>1</v>
      </c>
      <c r="E2382" s="10">
        <v>35</v>
      </c>
    </row>
    <row r="2383" spans="1:5">
      <c r="A2383" t="s">
        <v>9879</v>
      </c>
      <c r="B2383" t="s">
        <v>8737</v>
      </c>
      <c r="C2383" s="10">
        <v>6</v>
      </c>
      <c r="D2383" s="10">
        <v>0.7</v>
      </c>
      <c r="E2383" s="10">
        <v>35</v>
      </c>
    </row>
    <row r="2384" spans="1:5">
      <c r="A2384" t="s">
        <v>6268</v>
      </c>
      <c r="B2384" t="s">
        <v>6269</v>
      </c>
      <c r="C2384" s="10">
        <v>120</v>
      </c>
      <c r="D2384" s="10">
        <v>0.05</v>
      </c>
      <c r="E2384" s="10">
        <v>35</v>
      </c>
    </row>
    <row r="2385" spans="1:5">
      <c r="A2385" t="s">
        <v>5500</v>
      </c>
      <c r="B2385" t="s">
        <v>5501</v>
      </c>
      <c r="C2385" s="10">
        <v>6</v>
      </c>
      <c r="D2385" s="10">
        <v>0.7</v>
      </c>
      <c r="E2385" s="10">
        <v>43</v>
      </c>
    </row>
    <row r="2386" spans="1:5">
      <c r="A2386" t="s">
        <v>5502</v>
      </c>
      <c r="B2386" t="s">
        <v>5503</v>
      </c>
      <c r="C2386" s="10">
        <v>6</v>
      </c>
      <c r="D2386" s="10">
        <v>0.7</v>
      </c>
      <c r="E2386" s="10">
        <v>43</v>
      </c>
    </row>
    <row r="2387" spans="1:5">
      <c r="A2387" t="s">
        <v>6861</v>
      </c>
      <c r="B2387" t="s">
        <v>6862</v>
      </c>
      <c r="C2387" s="10">
        <v>12</v>
      </c>
      <c r="D2387" s="10">
        <v>1</v>
      </c>
      <c r="E2387" s="10">
        <v>43</v>
      </c>
    </row>
    <row r="2388" spans="1:5">
      <c r="A2388" t="s">
        <v>9880</v>
      </c>
      <c r="B2388" t="s">
        <v>8738</v>
      </c>
      <c r="C2388" s="10">
        <v>12</v>
      </c>
      <c r="D2388" s="10">
        <v>1</v>
      </c>
      <c r="E2388" s="10">
        <v>40</v>
      </c>
    </row>
    <row r="2389" spans="1:5">
      <c r="A2389" t="s">
        <v>5504</v>
      </c>
      <c r="B2389" t="s">
        <v>5505</v>
      </c>
      <c r="C2389" s="10">
        <v>6</v>
      </c>
      <c r="D2389" s="10">
        <v>0.7</v>
      </c>
      <c r="E2389" s="10">
        <v>43</v>
      </c>
    </row>
    <row r="2390" spans="1:5">
      <c r="A2390" t="s">
        <v>9881</v>
      </c>
      <c r="B2390" t="s">
        <v>8739</v>
      </c>
      <c r="C2390" s="10">
        <v>12</v>
      </c>
      <c r="D2390" s="10">
        <v>1</v>
      </c>
      <c r="E2390" s="10">
        <v>45</v>
      </c>
    </row>
    <row r="2391" spans="1:5">
      <c r="A2391" t="s">
        <v>2161</v>
      </c>
      <c r="B2391" t="s">
        <v>2162</v>
      </c>
      <c r="C2391" s="10">
        <v>6</v>
      </c>
      <c r="D2391" s="10">
        <v>1</v>
      </c>
      <c r="E2391" s="10">
        <v>45</v>
      </c>
    </row>
    <row r="2392" spans="1:5">
      <c r="A2392" t="s">
        <v>9882</v>
      </c>
      <c r="B2392" t="s">
        <v>8740</v>
      </c>
      <c r="C2392" s="10">
        <v>6</v>
      </c>
      <c r="D2392" s="10">
        <v>0.35</v>
      </c>
      <c r="E2392" s="10">
        <v>45</v>
      </c>
    </row>
    <row r="2393" spans="1:5">
      <c r="A2393" t="s">
        <v>4049</v>
      </c>
      <c r="B2393" t="s">
        <v>4050</v>
      </c>
      <c r="C2393" s="10">
        <v>6</v>
      </c>
      <c r="D2393" s="10">
        <v>0.7</v>
      </c>
      <c r="E2393" s="10">
        <v>62.5</v>
      </c>
    </row>
    <row r="2394" spans="1:5">
      <c r="A2394" t="s">
        <v>4051</v>
      </c>
      <c r="B2394" t="s">
        <v>4052</v>
      </c>
      <c r="C2394" s="10">
        <v>6</v>
      </c>
      <c r="D2394" s="10">
        <v>0.7</v>
      </c>
      <c r="E2394" s="10">
        <v>64.5</v>
      </c>
    </row>
    <row r="2395" spans="1:5">
      <c r="A2395" t="s">
        <v>4053</v>
      </c>
      <c r="B2395" t="s">
        <v>4054</v>
      </c>
      <c r="C2395" s="10">
        <v>6</v>
      </c>
      <c r="D2395" s="10">
        <v>0.7</v>
      </c>
      <c r="E2395" s="10">
        <v>47</v>
      </c>
    </row>
    <row r="2396" spans="1:5">
      <c r="A2396" t="s">
        <v>9883</v>
      </c>
      <c r="B2396" t="s">
        <v>4054</v>
      </c>
      <c r="C2396" s="10">
        <v>6</v>
      </c>
      <c r="D2396" s="10">
        <v>0.7</v>
      </c>
      <c r="E2396" s="10">
        <v>47</v>
      </c>
    </row>
    <row r="2397" spans="1:5">
      <c r="A2397" t="s">
        <v>9884</v>
      </c>
      <c r="B2397" t="s">
        <v>8741</v>
      </c>
      <c r="C2397" s="10">
        <v>6</v>
      </c>
      <c r="D2397" s="10">
        <v>0.7</v>
      </c>
      <c r="E2397" s="10">
        <v>45</v>
      </c>
    </row>
    <row r="2398" spans="1:5">
      <c r="A2398" t="s">
        <v>4055</v>
      </c>
      <c r="B2398" t="s">
        <v>4056</v>
      </c>
      <c r="C2398" s="10">
        <v>6</v>
      </c>
      <c r="D2398" s="10">
        <v>0.7</v>
      </c>
      <c r="E2398" s="10">
        <v>50</v>
      </c>
    </row>
    <row r="2399" spans="1:5">
      <c r="A2399" t="s">
        <v>4767</v>
      </c>
      <c r="B2399" t="s">
        <v>4768</v>
      </c>
      <c r="C2399" s="10">
        <v>6</v>
      </c>
      <c r="D2399" s="10">
        <v>0.7</v>
      </c>
      <c r="E2399" s="10">
        <v>45</v>
      </c>
    </row>
    <row r="2400" spans="1:5">
      <c r="A2400" t="s">
        <v>6270</v>
      </c>
      <c r="B2400" t="s">
        <v>4770</v>
      </c>
      <c r="C2400" s="10">
        <v>60</v>
      </c>
      <c r="D2400" s="10">
        <v>0.05</v>
      </c>
      <c r="E2400" s="10">
        <v>45</v>
      </c>
    </row>
    <row r="2401" spans="1:5">
      <c r="A2401" t="s">
        <v>4769</v>
      </c>
      <c r="B2401" t="s">
        <v>4770</v>
      </c>
      <c r="C2401" s="10">
        <v>6</v>
      </c>
      <c r="D2401" s="10">
        <v>0.7</v>
      </c>
      <c r="E2401" s="10">
        <v>45</v>
      </c>
    </row>
    <row r="2402" spans="1:5">
      <c r="A2402" t="s">
        <v>4057</v>
      </c>
      <c r="B2402" t="s">
        <v>4058</v>
      </c>
      <c r="C2402" s="10">
        <v>6</v>
      </c>
      <c r="D2402" s="10">
        <v>0.7</v>
      </c>
      <c r="E2402" s="10">
        <v>47</v>
      </c>
    </row>
    <row r="2403" spans="1:5">
      <c r="A2403" t="s">
        <v>4771</v>
      </c>
      <c r="B2403" t="s">
        <v>4772</v>
      </c>
      <c r="C2403" s="10">
        <v>6</v>
      </c>
      <c r="D2403" s="10">
        <v>0.7</v>
      </c>
      <c r="E2403" s="10">
        <v>45</v>
      </c>
    </row>
    <row r="2404" spans="1:5">
      <c r="A2404" t="s">
        <v>6699</v>
      </c>
      <c r="B2404" t="s">
        <v>6700</v>
      </c>
      <c r="C2404" s="10">
        <v>12</v>
      </c>
      <c r="D2404" s="10">
        <v>0.5</v>
      </c>
      <c r="E2404" s="10">
        <v>53.5</v>
      </c>
    </row>
    <row r="2405" spans="1:5">
      <c r="A2405" t="s">
        <v>6701</v>
      </c>
      <c r="B2405" t="s">
        <v>6702</v>
      </c>
      <c r="C2405" s="10">
        <v>12</v>
      </c>
      <c r="D2405" s="10">
        <v>0.5</v>
      </c>
      <c r="E2405" s="10">
        <v>53.5</v>
      </c>
    </row>
    <row r="2406" spans="1:5">
      <c r="A2406" t="s">
        <v>6937</v>
      </c>
      <c r="B2406" t="s">
        <v>6938</v>
      </c>
      <c r="C2406" s="10">
        <v>6</v>
      </c>
      <c r="D2406" s="10">
        <v>0.7</v>
      </c>
      <c r="E2406" s="10">
        <v>50</v>
      </c>
    </row>
    <row r="2407" spans="1:5">
      <c r="A2407" t="s">
        <v>6271</v>
      </c>
      <c r="B2407" t="s">
        <v>1660</v>
      </c>
      <c r="C2407" s="10">
        <v>120</v>
      </c>
      <c r="D2407" s="10">
        <v>0.02</v>
      </c>
      <c r="E2407" s="10">
        <v>35</v>
      </c>
    </row>
    <row r="2408" spans="1:5">
      <c r="A2408" t="s">
        <v>6272</v>
      </c>
      <c r="B2408" t="s">
        <v>1660</v>
      </c>
      <c r="C2408" s="10">
        <v>96</v>
      </c>
      <c r="D2408" s="10">
        <v>0.02</v>
      </c>
      <c r="E2408" s="10">
        <v>35</v>
      </c>
    </row>
    <row r="2409" spans="1:5">
      <c r="A2409" t="s">
        <v>6273</v>
      </c>
      <c r="B2409" t="s">
        <v>1660</v>
      </c>
      <c r="C2409" s="10">
        <v>24</v>
      </c>
      <c r="D2409" s="10">
        <v>0.04</v>
      </c>
      <c r="E2409" s="10">
        <v>35</v>
      </c>
    </row>
    <row r="2410" spans="1:5">
      <c r="A2410" t="s">
        <v>9885</v>
      </c>
      <c r="B2410" t="s">
        <v>1660</v>
      </c>
      <c r="C2410" s="10">
        <v>48</v>
      </c>
      <c r="D2410" s="10">
        <v>0.1</v>
      </c>
      <c r="E2410" s="10">
        <v>35</v>
      </c>
    </row>
    <row r="2411" spans="1:5">
      <c r="A2411" t="s">
        <v>6703</v>
      </c>
      <c r="B2411" t="s">
        <v>1660</v>
      </c>
      <c r="C2411" s="10">
        <v>12</v>
      </c>
      <c r="D2411" s="10">
        <v>0.1</v>
      </c>
      <c r="E2411" s="10">
        <v>35</v>
      </c>
    </row>
    <row r="2412" spans="1:5">
      <c r="A2412" t="s">
        <v>6274</v>
      </c>
      <c r="B2412" t="s">
        <v>1660</v>
      </c>
      <c r="C2412" s="10">
        <v>48</v>
      </c>
      <c r="D2412" s="10">
        <v>0.2</v>
      </c>
      <c r="E2412" s="10">
        <v>35</v>
      </c>
    </row>
    <row r="2413" spans="1:5">
      <c r="A2413" t="s">
        <v>6275</v>
      </c>
      <c r="B2413" t="s">
        <v>1660</v>
      </c>
      <c r="C2413" s="10">
        <v>48</v>
      </c>
      <c r="D2413" s="10">
        <v>0.2</v>
      </c>
      <c r="E2413" s="10">
        <v>35</v>
      </c>
    </row>
    <row r="2414" spans="1:5">
      <c r="A2414" t="s">
        <v>1659</v>
      </c>
      <c r="B2414" t="s">
        <v>1660</v>
      </c>
      <c r="C2414" s="10">
        <v>6</v>
      </c>
      <c r="D2414" s="10">
        <v>0.35</v>
      </c>
      <c r="E2414" s="10">
        <v>35</v>
      </c>
    </row>
    <row r="2415" spans="1:5">
      <c r="A2415" t="s">
        <v>1661</v>
      </c>
      <c r="B2415" t="s">
        <v>1660</v>
      </c>
      <c r="C2415" s="10">
        <v>6</v>
      </c>
      <c r="D2415" s="10">
        <v>0.35</v>
      </c>
      <c r="E2415" s="10">
        <v>35</v>
      </c>
    </row>
    <row r="2416" spans="1:5">
      <c r="A2416" t="s">
        <v>1826</v>
      </c>
      <c r="B2416" t="s">
        <v>1660</v>
      </c>
      <c r="C2416" s="10">
        <v>6</v>
      </c>
      <c r="D2416" s="10">
        <v>0.5</v>
      </c>
      <c r="E2416" s="10">
        <v>35</v>
      </c>
    </row>
    <row r="2417" spans="1:5">
      <c r="A2417" t="s">
        <v>1827</v>
      </c>
      <c r="B2417" t="s">
        <v>1660</v>
      </c>
      <c r="C2417" s="10">
        <v>6</v>
      </c>
      <c r="D2417" s="10">
        <v>0.5</v>
      </c>
      <c r="E2417" s="10">
        <v>35</v>
      </c>
    </row>
    <row r="2418" spans="1:5">
      <c r="A2418" t="s">
        <v>9886</v>
      </c>
      <c r="B2418" t="s">
        <v>1660</v>
      </c>
      <c r="C2418" s="10">
        <v>6</v>
      </c>
      <c r="D2418" s="10">
        <v>0.7</v>
      </c>
      <c r="E2418" s="10">
        <v>35</v>
      </c>
    </row>
    <row r="2419" spans="1:5">
      <c r="A2419" t="s">
        <v>4059</v>
      </c>
      <c r="B2419" t="s">
        <v>1660</v>
      </c>
      <c r="C2419" s="10">
        <v>6</v>
      </c>
      <c r="D2419" s="10">
        <v>0.7</v>
      </c>
      <c r="E2419" s="10">
        <v>35</v>
      </c>
    </row>
    <row r="2420" spans="1:5">
      <c r="A2420" t="s">
        <v>4060</v>
      </c>
      <c r="B2420" t="s">
        <v>1660</v>
      </c>
      <c r="C2420" s="10">
        <v>6</v>
      </c>
      <c r="D2420" s="10">
        <v>0.7</v>
      </c>
      <c r="E2420" s="10">
        <v>35</v>
      </c>
    </row>
    <row r="2421" spans="1:5">
      <c r="A2421" t="s">
        <v>4061</v>
      </c>
      <c r="B2421" t="s">
        <v>1660</v>
      </c>
      <c r="C2421" s="10">
        <v>6</v>
      </c>
      <c r="D2421" s="10">
        <v>0.7</v>
      </c>
      <c r="E2421" s="10">
        <v>35</v>
      </c>
    </row>
    <row r="2422" spans="1:5">
      <c r="A2422" t="s">
        <v>2163</v>
      </c>
      <c r="B2422" t="s">
        <v>1660</v>
      </c>
      <c r="C2422" s="10">
        <v>6</v>
      </c>
      <c r="D2422" s="10">
        <v>1</v>
      </c>
      <c r="E2422" s="10">
        <v>35</v>
      </c>
    </row>
    <row r="2423" spans="1:5">
      <c r="A2423" t="s">
        <v>2164</v>
      </c>
      <c r="B2423" t="s">
        <v>1660</v>
      </c>
      <c r="C2423" s="10">
        <v>6</v>
      </c>
      <c r="D2423" s="10">
        <v>1</v>
      </c>
      <c r="E2423" s="10">
        <v>35</v>
      </c>
    </row>
    <row r="2424" spans="1:5">
      <c r="A2424" t="s">
        <v>1662</v>
      </c>
      <c r="B2424" t="s">
        <v>1660</v>
      </c>
      <c r="C2424" s="10">
        <v>6</v>
      </c>
      <c r="D2424" s="10">
        <v>1.75</v>
      </c>
      <c r="E2424" s="10">
        <v>35</v>
      </c>
    </row>
    <row r="2425" spans="1:5">
      <c r="A2425" t="s">
        <v>6276</v>
      </c>
      <c r="B2425" t="s">
        <v>1660</v>
      </c>
      <c r="C2425" s="10">
        <v>3</v>
      </c>
      <c r="D2425" s="10">
        <v>3</v>
      </c>
      <c r="E2425" s="10">
        <v>35</v>
      </c>
    </row>
    <row r="2426" spans="1:5">
      <c r="A2426" t="s">
        <v>2165</v>
      </c>
      <c r="B2426" t="s">
        <v>2166</v>
      </c>
      <c r="C2426" s="10">
        <v>6</v>
      </c>
      <c r="D2426" s="10">
        <v>1</v>
      </c>
      <c r="E2426" s="10">
        <v>35</v>
      </c>
    </row>
    <row r="2427" spans="1:5">
      <c r="A2427" t="s">
        <v>4062</v>
      </c>
      <c r="B2427" t="s">
        <v>4063</v>
      </c>
      <c r="C2427" s="10">
        <v>6</v>
      </c>
      <c r="D2427" s="10">
        <v>0.7</v>
      </c>
      <c r="E2427" s="10">
        <v>35</v>
      </c>
    </row>
    <row r="2428" spans="1:5">
      <c r="A2428" t="s">
        <v>9887</v>
      </c>
      <c r="B2428" t="s">
        <v>8742</v>
      </c>
      <c r="C2428" s="10">
        <v>6</v>
      </c>
      <c r="D2428" s="10">
        <v>0.7</v>
      </c>
      <c r="E2428" s="10">
        <v>35</v>
      </c>
    </row>
    <row r="2429" spans="1:5">
      <c r="A2429" t="s">
        <v>2167</v>
      </c>
      <c r="B2429" t="s">
        <v>2168</v>
      </c>
      <c r="C2429" s="10">
        <v>6</v>
      </c>
      <c r="D2429" s="10">
        <v>1</v>
      </c>
      <c r="E2429" s="10">
        <v>35</v>
      </c>
    </row>
    <row r="2430" spans="1:5">
      <c r="A2430" t="s">
        <v>1663</v>
      </c>
      <c r="B2430" t="s">
        <v>1664</v>
      </c>
      <c r="C2430" s="10">
        <v>6</v>
      </c>
      <c r="D2430" s="10">
        <v>1.75</v>
      </c>
      <c r="E2430" s="10">
        <v>35</v>
      </c>
    </row>
    <row r="2431" spans="1:5">
      <c r="A2431" t="s">
        <v>1828</v>
      </c>
      <c r="B2431" t="s">
        <v>1829</v>
      </c>
      <c r="C2431" s="10">
        <v>6</v>
      </c>
      <c r="D2431" s="10">
        <v>0.5</v>
      </c>
      <c r="E2431" s="10">
        <v>38</v>
      </c>
    </row>
    <row r="2432" spans="1:5">
      <c r="A2432" t="s">
        <v>2170</v>
      </c>
      <c r="B2432" t="s">
        <v>2169</v>
      </c>
      <c r="C2432" s="10">
        <v>6</v>
      </c>
      <c r="D2432" s="10">
        <v>1</v>
      </c>
      <c r="E2432" s="10">
        <v>38</v>
      </c>
    </row>
    <row r="2433" spans="1:5">
      <c r="A2433" t="s">
        <v>2171</v>
      </c>
      <c r="B2433" t="s">
        <v>2172</v>
      </c>
      <c r="C2433" s="10">
        <v>6</v>
      </c>
      <c r="D2433" s="10">
        <v>1</v>
      </c>
      <c r="E2433" s="10">
        <v>35</v>
      </c>
    </row>
    <row r="2434" spans="1:5">
      <c r="A2434" t="s">
        <v>9888</v>
      </c>
      <c r="B2434" t="s">
        <v>2172</v>
      </c>
      <c r="C2434" s="10">
        <v>6</v>
      </c>
      <c r="D2434" s="10">
        <v>1</v>
      </c>
      <c r="E2434" s="10">
        <v>35</v>
      </c>
    </row>
    <row r="2435" spans="1:5">
      <c r="A2435" t="s">
        <v>9889</v>
      </c>
      <c r="B2435" t="s">
        <v>8743</v>
      </c>
      <c r="C2435" s="10">
        <v>6</v>
      </c>
      <c r="D2435" s="10">
        <v>0.7</v>
      </c>
      <c r="E2435" s="10">
        <v>35</v>
      </c>
    </row>
    <row r="2436" spans="1:5">
      <c r="A2436" t="s">
        <v>9890</v>
      </c>
      <c r="B2436" t="s">
        <v>8744</v>
      </c>
      <c r="C2436" s="10">
        <v>6</v>
      </c>
      <c r="D2436" s="10">
        <v>1</v>
      </c>
      <c r="E2436" s="10">
        <v>33</v>
      </c>
    </row>
    <row r="2437" spans="1:5">
      <c r="A2437" t="s">
        <v>2173</v>
      </c>
      <c r="B2437" t="s">
        <v>2174</v>
      </c>
      <c r="C2437" s="10">
        <v>6</v>
      </c>
      <c r="D2437" s="10">
        <v>1</v>
      </c>
      <c r="E2437" s="10">
        <v>35</v>
      </c>
    </row>
    <row r="2438" spans="1:5">
      <c r="A2438" t="s">
        <v>832</v>
      </c>
      <c r="B2438" t="s">
        <v>833</v>
      </c>
      <c r="C2438" s="10">
        <v>6</v>
      </c>
      <c r="D2438" s="10">
        <v>0.7</v>
      </c>
      <c r="E2438" s="10">
        <v>40</v>
      </c>
    </row>
    <row r="2439" spans="1:5">
      <c r="A2439" t="s">
        <v>834</v>
      </c>
      <c r="B2439" t="s">
        <v>835</v>
      </c>
      <c r="C2439" s="10">
        <v>6</v>
      </c>
      <c r="D2439" s="10">
        <v>0.7</v>
      </c>
      <c r="E2439" s="10">
        <v>40</v>
      </c>
    </row>
    <row r="2440" spans="1:5">
      <c r="A2440" t="s">
        <v>5925</v>
      </c>
      <c r="B2440" t="s">
        <v>837</v>
      </c>
      <c r="C2440" s="10">
        <v>120</v>
      </c>
      <c r="D2440" s="10">
        <v>0.05</v>
      </c>
      <c r="E2440" s="10">
        <v>40</v>
      </c>
    </row>
    <row r="2441" spans="1:5">
      <c r="A2441" t="s">
        <v>5816</v>
      </c>
      <c r="B2441" t="s">
        <v>837</v>
      </c>
      <c r="C2441" s="10">
        <v>12</v>
      </c>
      <c r="D2441" s="10">
        <v>0.35</v>
      </c>
      <c r="E2441" s="10">
        <v>40</v>
      </c>
    </row>
    <row r="2442" spans="1:5">
      <c r="A2442" t="s">
        <v>836</v>
      </c>
      <c r="B2442" t="s">
        <v>837</v>
      </c>
      <c r="C2442" s="10">
        <v>6</v>
      </c>
      <c r="D2442" s="10">
        <v>0.7</v>
      </c>
      <c r="E2442" s="10">
        <v>40</v>
      </c>
    </row>
    <row r="2443" spans="1:5">
      <c r="A2443" t="s">
        <v>1472</v>
      </c>
      <c r="B2443" t="s">
        <v>837</v>
      </c>
      <c r="C2443" s="10">
        <v>6</v>
      </c>
      <c r="D2443" s="10">
        <v>1</v>
      </c>
      <c r="E2443" s="10">
        <v>40</v>
      </c>
    </row>
    <row r="2444" spans="1:5">
      <c r="A2444" t="s">
        <v>5926</v>
      </c>
      <c r="B2444" t="s">
        <v>5927</v>
      </c>
      <c r="C2444" s="10">
        <v>1</v>
      </c>
      <c r="D2444" s="10">
        <v>4.5</v>
      </c>
      <c r="E2444" s="10">
        <v>40</v>
      </c>
    </row>
    <row r="2445" spans="1:5">
      <c r="A2445" t="s">
        <v>6277</v>
      </c>
      <c r="B2445" t="s">
        <v>6278</v>
      </c>
      <c r="C2445" s="10">
        <v>3</v>
      </c>
      <c r="D2445" s="10">
        <v>0.7</v>
      </c>
      <c r="E2445" s="10">
        <v>46</v>
      </c>
    </row>
    <row r="2446" spans="1:5">
      <c r="A2446" t="s">
        <v>9891</v>
      </c>
      <c r="B2446" t="s">
        <v>8745</v>
      </c>
      <c r="C2446" s="10">
        <v>3</v>
      </c>
      <c r="D2446" s="10">
        <v>0.7</v>
      </c>
      <c r="E2446" s="10">
        <v>55.1</v>
      </c>
    </row>
    <row r="2447" spans="1:5">
      <c r="A2447" t="s">
        <v>9892</v>
      </c>
      <c r="B2447" t="s">
        <v>8746</v>
      </c>
      <c r="C2447" s="10">
        <v>6</v>
      </c>
      <c r="D2447" s="10">
        <v>0.7</v>
      </c>
      <c r="E2447" s="10">
        <v>40</v>
      </c>
    </row>
    <row r="2448" spans="1:5">
      <c r="A2448" t="s">
        <v>838</v>
      </c>
      <c r="B2448" t="s">
        <v>839</v>
      </c>
      <c r="C2448" s="10">
        <v>6</v>
      </c>
      <c r="D2448" s="10">
        <v>0.7</v>
      </c>
      <c r="E2448" s="10">
        <v>40</v>
      </c>
    </row>
    <row r="2449" spans="1:5">
      <c r="A2449" t="s">
        <v>1473</v>
      </c>
      <c r="B2449" t="s">
        <v>839</v>
      </c>
      <c r="C2449" s="10">
        <v>6</v>
      </c>
      <c r="D2449" s="10">
        <v>1</v>
      </c>
      <c r="E2449" s="10">
        <v>40</v>
      </c>
    </row>
    <row r="2450" spans="1:5">
      <c r="A2450" t="s">
        <v>9893</v>
      </c>
      <c r="B2450" t="s">
        <v>840</v>
      </c>
      <c r="C2450" s="10">
        <v>6</v>
      </c>
      <c r="D2450" s="10">
        <v>0.7</v>
      </c>
      <c r="E2450" s="10">
        <v>40</v>
      </c>
    </row>
    <row r="2451" spans="1:5">
      <c r="A2451" t="s">
        <v>1474</v>
      </c>
      <c r="B2451" t="s">
        <v>840</v>
      </c>
      <c r="C2451" s="10">
        <v>6</v>
      </c>
      <c r="D2451" s="10">
        <v>1</v>
      </c>
      <c r="E2451" s="10">
        <v>40</v>
      </c>
    </row>
    <row r="2452" spans="1:5">
      <c r="A2452" t="s">
        <v>841</v>
      </c>
      <c r="B2452" t="s">
        <v>842</v>
      </c>
      <c r="C2452" s="10">
        <v>6</v>
      </c>
      <c r="D2452" s="10">
        <v>0.7</v>
      </c>
      <c r="E2452" s="10">
        <v>40</v>
      </c>
    </row>
    <row r="2453" spans="1:5">
      <c r="A2453" t="s">
        <v>1475</v>
      </c>
      <c r="B2453" t="s">
        <v>842</v>
      </c>
      <c r="C2453" s="10">
        <v>6</v>
      </c>
      <c r="D2453" s="10">
        <v>1</v>
      </c>
      <c r="E2453" s="10">
        <v>40</v>
      </c>
    </row>
    <row r="2454" spans="1:5">
      <c r="A2454" t="s">
        <v>4064</v>
      </c>
      <c r="B2454" t="s">
        <v>4065</v>
      </c>
      <c r="C2454" s="10">
        <v>6</v>
      </c>
      <c r="D2454" s="10">
        <v>0.7</v>
      </c>
      <c r="E2454" s="10">
        <v>30</v>
      </c>
    </row>
    <row r="2455" spans="1:5">
      <c r="A2455" t="s">
        <v>9894</v>
      </c>
      <c r="B2455" t="s">
        <v>8747</v>
      </c>
      <c r="C2455" s="10">
        <v>6</v>
      </c>
      <c r="D2455" s="10">
        <v>0.7</v>
      </c>
      <c r="E2455" s="10">
        <v>40</v>
      </c>
    </row>
    <row r="2456" spans="1:5">
      <c r="A2456" t="s">
        <v>9895</v>
      </c>
      <c r="B2456" t="s">
        <v>8748</v>
      </c>
      <c r="C2456" s="10">
        <v>1</v>
      </c>
      <c r="D2456" s="10">
        <v>4.5</v>
      </c>
      <c r="E2456" s="10">
        <v>40</v>
      </c>
    </row>
    <row r="2457" spans="1:5">
      <c r="A2457" t="s">
        <v>9896</v>
      </c>
      <c r="B2457" t="s">
        <v>8748</v>
      </c>
      <c r="C2457" s="10">
        <v>1</v>
      </c>
      <c r="D2457" s="10">
        <v>4.5</v>
      </c>
      <c r="E2457" s="10">
        <v>40</v>
      </c>
    </row>
    <row r="2458" spans="1:5">
      <c r="A2458" t="s">
        <v>4066</v>
      </c>
      <c r="B2458" t="s">
        <v>4067</v>
      </c>
      <c r="C2458" s="10">
        <v>6</v>
      </c>
      <c r="D2458" s="10">
        <v>0.7</v>
      </c>
      <c r="E2458" s="10">
        <v>30</v>
      </c>
    </row>
    <row r="2459" spans="1:5">
      <c r="A2459" t="s">
        <v>843</v>
      </c>
      <c r="B2459" t="s">
        <v>844</v>
      </c>
      <c r="C2459" s="10">
        <v>6</v>
      </c>
      <c r="D2459" s="10">
        <v>0.7</v>
      </c>
      <c r="E2459" s="10">
        <v>40</v>
      </c>
    </row>
    <row r="2460" spans="1:5">
      <c r="A2460" t="s">
        <v>9897</v>
      </c>
      <c r="B2460" t="s">
        <v>8749</v>
      </c>
      <c r="C2460" s="10">
        <v>6</v>
      </c>
      <c r="D2460" s="10">
        <v>0.7</v>
      </c>
      <c r="E2460" s="10">
        <v>40</v>
      </c>
    </row>
    <row r="2461" spans="1:5">
      <c r="A2461" t="s">
        <v>845</v>
      </c>
      <c r="B2461" t="s">
        <v>846</v>
      </c>
      <c r="C2461" s="10">
        <v>6</v>
      </c>
      <c r="D2461" s="10">
        <v>0.7</v>
      </c>
      <c r="E2461" s="10">
        <v>40</v>
      </c>
    </row>
    <row r="2462" spans="1:5">
      <c r="A2462" t="s">
        <v>4068</v>
      </c>
      <c r="B2462" t="s">
        <v>4069</v>
      </c>
      <c r="C2462" s="10">
        <v>6</v>
      </c>
      <c r="D2462" s="10">
        <v>0.7</v>
      </c>
      <c r="E2462" s="10">
        <v>35</v>
      </c>
    </row>
    <row r="2463" spans="1:5">
      <c r="A2463" t="s">
        <v>4070</v>
      </c>
      <c r="B2463" t="s">
        <v>4071</v>
      </c>
      <c r="C2463" s="10">
        <v>6</v>
      </c>
      <c r="D2463" s="10">
        <v>0.7</v>
      </c>
      <c r="E2463" s="10">
        <v>35</v>
      </c>
    </row>
    <row r="2464" spans="1:5">
      <c r="A2464" t="s">
        <v>4072</v>
      </c>
      <c r="B2464" t="s">
        <v>4073</v>
      </c>
      <c r="C2464" s="10">
        <v>6</v>
      </c>
      <c r="D2464" s="10">
        <v>0.7</v>
      </c>
      <c r="E2464" s="10">
        <v>20</v>
      </c>
    </row>
    <row r="2465" spans="1:5">
      <c r="A2465" t="s">
        <v>4074</v>
      </c>
      <c r="B2465" t="s">
        <v>4075</v>
      </c>
      <c r="C2465" s="10">
        <v>6</v>
      </c>
      <c r="D2465" s="10">
        <v>0.7</v>
      </c>
      <c r="E2465" s="10">
        <v>20</v>
      </c>
    </row>
    <row r="2466" spans="1:5">
      <c r="A2466" t="s">
        <v>4076</v>
      </c>
      <c r="B2466" t="s">
        <v>4077</v>
      </c>
      <c r="C2466" s="10">
        <v>6</v>
      </c>
      <c r="D2466" s="10">
        <v>0.7</v>
      </c>
      <c r="E2466" s="10">
        <v>47</v>
      </c>
    </row>
    <row r="2467" spans="1:5">
      <c r="A2467" t="s">
        <v>5506</v>
      </c>
      <c r="B2467" t="s">
        <v>5507</v>
      </c>
      <c r="C2467" s="10">
        <v>6</v>
      </c>
      <c r="D2467" s="10">
        <v>0.7</v>
      </c>
      <c r="E2467" s="10">
        <v>43</v>
      </c>
    </row>
    <row r="2468" spans="1:5">
      <c r="A2468" t="s">
        <v>9898</v>
      </c>
      <c r="B2468" t="s">
        <v>8750</v>
      </c>
      <c r="C2468" s="10">
        <v>6</v>
      </c>
      <c r="D2468" s="10">
        <v>0.7</v>
      </c>
      <c r="E2468" s="10">
        <v>43</v>
      </c>
    </row>
    <row r="2469" spans="1:5">
      <c r="A2469" t="s">
        <v>3030</v>
      </c>
      <c r="B2469" t="s">
        <v>3031</v>
      </c>
      <c r="C2469" s="10">
        <v>6</v>
      </c>
      <c r="D2469" s="10">
        <v>0.75</v>
      </c>
      <c r="E2469" s="10">
        <v>12</v>
      </c>
    </row>
    <row r="2470" spans="1:5">
      <c r="A2470" t="s">
        <v>847</v>
      </c>
      <c r="B2470" t="s">
        <v>848</v>
      </c>
      <c r="C2470" s="10">
        <v>6</v>
      </c>
      <c r="D2470" s="10">
        <v>0.7</v>
      </c>
      <c r="E2470" s="10">
        <v>40</v>
      </c>
    </row>
    <row r="2471" spans="1:5">
      <c r="A2471" t="s">
        <v>849</v>
      </c>
      <c r="B2471" t="s">
        <v>850</v>
      </c>
      <c r="C2471" s="10">
        <v>6</v>
      </c>
      <c r="D2471" s="10">
        <v>0.7</v>
      </c>
      <c r="E2471" s="10">
        <v>40</v>
      </c>
    </row>
    <row r="2472" spans="1:5">
      <c r="A2472" t="s">
        <v>8299</v>
      </c>
      <c r="B2472" t="s">
        <v>850</v>
      </c>
      <c r="C2472" s="10">
        <v>6</v>
      </c>
      <c r="D2472" s="10">
        <v>0.7</v>
      </c>
      <c r="E2472" s="10">
        <v>40</v>
      </c>
    </row>
    <row r="2473" spans="1:5">
      <c r="A2473" t="s">
        <v>1476</v>
      </c>
      <c r="B2473" t="s">
        <v>850</v>
      </c>
      <c r="C2473" s="10">
        <v>6</v>
      </c>
      <c r="D2473" s="10">
        <v>1</v>
      </c>
      <c r="E2473" s="10">
        <v>40</v>
      </c>
    </row>
    <row r="2474" spans="1:5">
      <c r="A2474" t="s">
        <v>9899</v>
      </c>
      <c r="B2474" t="s">
        <v>8751</v>
      </c>
      <c r="C2474" s="10">
        <v>6</v>
      </c>
      <c r="D2474" s="10">
        <v>0.7</v>
      </c>
      <c r="E2474" s="10">
        <v>55.5</v>
      </c>
    </row>
    <row r="2475" spans="1:5">
      <c r="A2475" t="s">
        <v>4078</v>
      </c>
      <c r="B2475" t="s">
        <v>4079</v>
      </c>
      <c r="C2475" s="10">
        <v>6</v>
      </c>
      <c r="D2475" s="10">
        <v>0.7</v>
      </c>
      <c r="E2475" s="10">
        <v>32.5</v>
      </c>
    </row>
    <row r="2476" spans="1:5">
      <c r="A2476" t="s">
        <v>6863</v>
      </c>
      <c r="B2476" t="s">
        <v>4079</v>
      </c>
      <c r="C2476" s="10">
        <v>12</v>
      </c>
      <c r="D2476" s="10">
        <v>1</v>
      </c>
      <c r="E2476" s="10">
        <v>32.5</v>
      </c>
    </row>
    <row r="2477" spans="1:5">
      <c r="A2477" t="s">
        <v>5508</v>
      </c>
      <c r="B2477" t="s">
        <v>5509</v>
      </c>
      <c r="C2477" s="10">
        <v>6</v>
      </c>
      <c r="D2477" s="10">
        <v>0.7</v>
      </c>
      <c r="E2477" s="10">
        <v>43</v>
      </c>
    </row>
    <row r="2478" spans="1:5">
      <c r="A2478" t="s">
        <v>4080</v>
      </c>
      <c r="B2478" t="s">
        <v>4081</v>
      </c>
      <c r="C2478" s="10">
        <v>6</v>
      </c>
      <c r="D2478" s="10">
        <v>0.7</v>
      </c>
      <c r="E2478" s="10">
        <v>32.5</v>
      </c>
    </row>
    <row r="2479" spans="1:5">
      <c r="A2479" t="s">
        <v>4773</v>
      </c>
      <c r="B2479" t="s">
        <v>4774</v>
      </c>
      <c r="C2479" s="10">
        <v>6</v>
      </c>
      <c r="D2479" s="10">
        <v>0.7</v>
      </c>
      <c r="E2479" s="10">
        <v>45</v>
      </c>
    </row>
    <row r="2480" spans="1:5">
      <c r="A2480" t="s">
        <v>5510</v>
      </c>
      <c r="B2480" t="s">
        <v>5511</v>
      </c>
      <c r="C2480" s="10">
        <v>6</v>
      </c>
      <c r="D2480" s="10">
        <v>0.7</v>
      </c>
      <c r="E2480" s="10">
        <v>43</v>
      </c>
    </row>
    <row r="2481" spans="1:5">
      <c r="A2481" t="s">
        <v>4082</v>
      </c>
      <c r="B2481" t="s">
        <v>4083</v>
      </c>
      <c r="C2481" s="10">
        <v>6</v>
      </c>
      <c r="D2481" s="10">
        <v>0.7</v>
      </c>
      <c r="E2481" s="10">
        <v>32.5</v>
      </c>
    </row>
    <row r="2482" spans="1:5">
      <c r="A2482" t="s">
        <v>6864</v>
      </c>
      <c r="B2482" t="s">
        <v>4083</v>
      </c>
      <c r="C2482" s="10">
        <v>12</v>
      </c>
      <c r="D2482" s="10">
        <v>1</v>
      </c>
      <c r="E2482" s="10">
        <v>32.5</v>
      </c>
    </row>
    <row r="2483" spans="1:5">
      <c r="A2483" t="s">
        <v>4084</v>
      </c>
      <c r="B2483" t="s">
        <v>4085</v>
      </c>
      <c r="C2483" s="10">
        <v>6</v>
      </c>
      <c r="D2483" s="10">
        <v>0.7</v>
      </c>
      <c r="E2483" s="10">
        <v>32.5</v>
      </c>
    </row>
    <row r="2484" spans="1:5">
      <c r="A2484" t="s">
        <v>9900</v>
      </c>
      <c r="B2484" t="s">
        <v>8752</v>
      </c>
      <c r="C2484" s="10">
        <v>6</v>
      </c>
      <c r="D2484" s="10">
        <v>0.7</v>
      </c>
      <c r="E2484" s="10">
        <v>32.5</v>
      </c>
    </row>
    <row r="2485" spans="1:5">
      <c r="A2485" t="s">
        <v>851</v>
      </c>
      <c r="B2485" t="s">
        <v>852</v>
      </c>
      <c r="C2485" s="10">
        <v>6</v>
      </c>
      <c r="D2485" s="10">
        <v>0.7</v>
      </c>
      <c r="E2485" s="10">
        <v>40</v>
      </c>
    </row>
    <row r="2486" spans="1:5">
      <c r="A2486" t="s">
        <v>853</v>
      </c>
      <c r="B2486" t="s">
        <v>854</v>
      </c>
      <c r="C2486" s="10">
        <v>6</v>
      </c>
      <c r="D2486" s="10">
        <v>0.7</v>
      </c>
      <c r="E2486" s="10">
        <v>40</v>
      </c>
    </row>
    <row r="2487" spans="1:5">
      <c r="A2487" t="s">
        <v>5512</v>
      </c>
      <c r="B2487" t="s">
        <v>5513</v>
      </c>
      <c r="C2487" s="10">
        <v>6</v>
      </c>
      <c r="D2487" s="10">
        <v>0.7</v>
      </c>
      <c r="E2487" s="10">
        <v>43</v>
      </c>
    </row>
    <row r="2488" spans="1:5">
      <c r="A2488" t="s">
        <v>4086</v>
      </c>
      <c r="B2488" t="s">
        <v>4087</v>
      </c>
      <c r="C2488" s="10">
        <v>6</v>
      </c>
      <c r="D2488" s="10">
        <v>0.7</v>
      </c>
      <c r="E2488" s="10">
        <v>57</v>
      </c>
    </row>
    <row r="2489" spans="1:5">
      <c r="A2489" t="s">
        <v>8312</v>
      </c>
      <c r="B2489" t="s">
        <v>8753</v>
      </c>
      <c r="C2489" s="10">
        <v>6</v>
      </c>
      <c r="D2489" s="10">
        <v>0.7</v>
      </c>
      <c r="E2489" s="10">
        <v>43</v>
      </c>
    </row>
    <row r="2490" spans="1:5">
      <c r="A2490" t="s">
        <v>6281</v>
      </c>
      <c r="B2490" t="s">
        <v>8754</v>
      </c>
      <c r="C2490" s="10">
        <v>20</v>
      </c>
      <c r="D2490" s="10">
        <v>0.35</v>
      </c>
      <c r="E2490" s="10">
        <v>20.100000000000001</v>
      </c>
    </row>
    <row r="2491" spans="1:5">
      <c r="A2491" t="s">
        <v>6279</v>
      </c>
      <c r="B2491" t="s">
        <v>6280</v>
      </c>
      <c r="C2491" s="10">
        <v>20</v>
      </c>
      <c r="D2491" s="10">
        <v>0.35</v>
      </c>
      <c r="E2491" s="10">
        <v>16.5</v>
      </c>
    </row>
    <row r="2492" spans="1:5">
      <c r="A2492" t="s">
        <v>9901</v>
      </c>
      <c r="B2492" t="s">
        <v>8755</v>
      </c>
      <c r="C2492" s="10">
        <v>20</v>
      </c>
      <c r="D2492" s="10">
        <v>0.36</v>
      </c>
      <c r="E2492" s="10">
        <v>13</v>
      </c>
    </row>
    <row r="2493" spans="1:5">
      <c r="A2493" t="s">
        <v>6283</v>
      </c>
      <c r="B2493" t="s">
        <v>6282</v>
      </c>
      <c r="C2493" s="10">
        <v>20</v>
      </c>
      <c r="D2493" s="10">
        <v>0.36</v>
      </c>
      <c r="E2493" s="10">
        <v>13</v>
      </c>
    </row>
    <row r="2494" spans="1:5">
      <c r="A2494" t="s">
        <v>9902</v>
      </c>
      <c r="B2494" t="s">
        <v>6284</v>
      </c>
      <c r="C2494" s="10">
        <v>20</v>
      </c>
      <c r="D2494" s="10">
        <v>0.36</v>
      </c>
      <c r="E2494" s="10">
        <v>13</v>
      </c>
    </row>
    <row r="2495" spans="1:5">
      <c r="A2495" t="s">
        <v>6286</v>
      </c>
      <c r="B2495" t="s">
        <v>6285</v>
      </c>
      <c r="C2495" s="10">
        <v>20</v>
      </c>
      <c r="D2495" s="10">
        <v>0.36</v>
      </c>
      <c r="E2495" s="10">
        <v>13</v>
      </c>
    </row>
    <row r="2496" spans="1:5">
      <c r="A2496" t="s">
        <v>4088</v>
      </c>
      <c r="B2496" t="s">
        <v>4089</v>
      </c>
      <c r="C2496" s="10">
        <v>6</v>
      </c>
      <c r="D2496" s="10">
        <v>0.7</v>
      </c>
      <c r="E2496" s="10">
        <v>41.3</v>
      </c>
    </row>
    <row r="2497" spans="1:5">
      <c r="A2497" t="s">
        <v>2175</v>
      </c>
      <c r="B2497" t="s">
        <v>2176</v>
      </c>
      <c r="C2497" s="10">
        <v>6</v>
      </c>
      <c r="D2497" s="10">
        <v>1</v>
      </c>
      <c r="E2497" s="10">
        <v>43</v>
      </c>
    </row>
    <row r="2498" spans="1:5">
      <c r="A2498" t="s">
        <v>6287</v>
      </c>
      <c r="B2498" t="s">
        <v>6288</v>
      </c>
      <c r="C2498" s="10">
        <v>50</v>
      </c>
      <c r="D2498" s="10">
        <v>0.05</v>
      </c>
      <c r="E2498" s="10">
        <v>43</v>
      </c>
    </row>
    <row r="2499" spans="1:5">
      <c r="A2499" t="s">
        <v>9903</v>
      </c>
      <c r="B2499" t="s">
        <v>6289</v>
      </c>
      <c r="C2499" s="10">
        <v>4</v>
      </c>
      <c r="D2499" s="10">
        <v>0.7</v>
      </c>
      <c r="E2499" s="10">
        <v>43</v>
      </c>
    </row>
    <row r="2500" spans="1:5">
      <c r="A2500" t="s">
        <v>6290</v>
      </c>
      <c r="B2500" t="s">
        <v>6291</v>
      </c>
      <c r="C2500" s="10">
        <v>4</v>
      </c>
      <c r="D2500" s="10">
        <v>0.7</v>
      </c>
      <c r="E2500" s="10">
        <v>43</v>
      </c>
    </row>
    <row r="2501" spans="1:5">
      <c r="A2501" t="s">
        <v>6292</v>
      </c>
      <c r="B2501" t="s">
        <v>6293</v>
      </c>
      <c r="C2501" s="10">
        <v>4</v>
      </c>
      <c r="D2501" s="10">
        <v>0.5</v>
      </c>
      <c r="E2501" s="10">
        <v>43</v>
      </c>
    </row>
    <row r="2502" spans="1:5">
      <c r="A2502" t="s">
        <v>6294</v>
      </c>
      <c r="B2502" t="s">
        <v>6295</v>
      </c>
      <c r="C2502" s="10">
        <v>4</v>
      </c>
      <c r="D2502" s="10">
        <v>0.7</v>
      </c>
      <c r="E2502" s="10">
        <v>43</v>
      </c>
    </row>
    <row r="2503" spans="1:5">
      <c r="A2503" t="s">
        <v>9904</v>
      </c>
      <c r="B2503" t="s">
        <v>8756</v>
      </c>
      <c r="C2503" s="10">
        <v>6</v>
      </c>
      <c r="D2503" s="10">
        <v>0.7</v>
      </c>
      <c r="E2503" s="10">
        <v>40</v>
      </c>
    </row>
    <row r="2504" spans="1:5">
      <c r="A2504" t="s">
        <v>6296</v>
      </c>
      <c r="B2504" t="s">
        <v>6297</v>
      </c>
      <c r="C2504" s="10">
        <v>3</v>
      </c>
      <c r="D2504" s="10">
        <v>0.7</v>
      </c>
      <c r="E2504" s="10">
        <v>46</v>
      </c>
    </row>
    <row r="2505" spans="1:5">
      <c r="A2505" t="s">
        <v>855</v>
      </c>
      <c r="B2505" t="s">
        <v>8757</v>
      </c>
      <c r="C2505" s="10">
        <v>6</v>
      </c>
      <c r="D2505" s="10">
        <v>0.7</v>
      </c>
      <c r="E2505" s="10">
        <v>40</v>
      </c>
    </row>
    <row r="2506" spans="1:5">
      <c r="A2506" t="s">
        <v>5514</v>
      </c>
      <c r="B2506" t="s">
        <v>5515</v>
      </c>
      <c r="C2506" s="10">
        <v>6</v>
      </c>
      <c r="D2506" s="10">
        <v>0.7</v>
      </c>
      <c r="E2506" s="10">
        <v>43</v>
      </c>
    </row>
    <row r="2507" spans="1:5">
      <c r="A2507" t="s">
        <v>9905</v>
      </c>
      <c r="B2507" t="s">
        <v>8758</v>
      </c>
      <c r="C2507" s="10">
        <v>6</v>
      </c>
      <c r="D2507" s="10">
        <v>1</v>
      </c>
      <c r="E2507" s="10">
        <v>40</v>
      </c>
    </row>
    <row r="2508" spans="1:5">
      <c r="A2508" t="s">
        <v>856</v>
      </c>
      <c r="B2508" t="s">
        <v>857</v>
      </c>
      <c r="C2508" s="10">
        <v>6</v>
      </c>
      <c r="D2508" s="10">
        <v>0.7</v>
      </c>
      <c r="E2508" s="10">
        <v>40</v>
      </c>
    </row>
    <row r="2509" spans="1:5">
      <c r="A2509" t="s">
        <v>9906</v>
      </c>
      <c r="B2509" t="s">
        <v>8759</v>
      </c>
      <c r="C2509" s="10">
        <v>1</v>
      </c>
      <c r="D2509" s="10">
        <v>0.7</v>
      </c>
      <c r="E2509" s="10">
        <v>41.8</v>
      </c>
    </row>
    <row r="2510" spans="1:5">
      <c r="A2510" t="s">
        <v>5928</v>
      </c>
      <c r="B2510" t="s">
        <v>859</v>
      </c>
      <c r="C2510" s="10">
        <v>24</v>
      </c>
      <c r="D2510" s="10">
        <v>0.2</v>
      </c>
      <c r="E2510" s="10">
        <v>40</v>
      </c>
    </row>
    <row r="2511" spans="1:5">
      <c r="A2511" t="s">
        <v>5929</v>
      </c>
      <c r="B2511" t="s">
        <v>859</v>
      </c>
      <c r="C2511" s="10">
        <v>24</v>
      </c>
      <c r="D2511" s="10">
        <v>0.35</v>
      </c>
      <c r="E2511" s="10">
        <v>40</v>
      </c>
    </row>
    <row r="2512" spans="1:5">
      <c r="A2512" t="s">
        <v>858</v>
      </c>
      <c r="B2512" t="s">
        <v>859</v>
      </c>
      <c r="C2512" s="10">
        <v>6</v>
      </c>
      <c r="D2512" s="10">
        <v>0.7</v>
      </c>
      <c r="E2512" s="10">
        <v>40</v>
      </c>
    </row>
    <row r="2513" spans="1:5">
      <c r="A2513" t="s">
        <v>860</v>
      </c>
      <c r="B2513" t="s">
        <v>859</v>
      </c>
      <c r="C2513" s="10">
        <v>6</v>
      </c>
      <c r="D2513" s="10">
        <v>0.7</v>
      </c>
      <c r="E2513" s="10">
        <v>40</v>
      </c>
    </row>
    <row r="2514" spans="1:5">
      <c r="A2514" t="s">
        <v>1477</v>
      </c>
      <c r="B2514" t="s">
        <v>8760</v>
      </c>
      <c r="C2514" s="10">
        <v>6</v>
      </c>
      <c r="D2514" s="10">
        <v>1</v>
      </c>
      <c r="E2514" s="10">
        <v>40</v>
      </c>
    </row>
    <row r="2515" spans="1:5">
      <c r="A2515" t="s">
        <v>5723</v>
      </c>
      <c r="B2515" t="s">
        <v>859</v>
      </c>
      <c r="C2515" s="10">
        <v>12</v>
      </c>
      <c r="D2515" s="10">
        <v>1</v>
      </c>
      <c r="E2515" s="10">
        <v>40</v>
      </c>
    </row>
    <row r="2516" spans="1:5">
      <c r="A2516" t="s">
        <v>1578</v>
      </c>
      <c r="B2516" t="s">
        <v>859</v>
      </c>
      <c r="C2516" s="10">
        <v>6</v>
      </c>
      <c r="D2516" s="10">
        <v>1.5</v>
      </c>
      <c r="E2516" s="10">
        <v>40</v>
      </c>
    </row>
    <row r="2517" spans="1:5">
      <c r="A2517" t="s">
        <v>5930</v>
      </c>
      <c r="B2517" t="s">
        <v>859</v>
      </c>
      <c r="C2517" s="10">
        <v>4</v>
      </c>
      <c r="D2517" s="10">
        <v>3</v>
      </c>
      <c r="E2517" s="10">
        <v>40</v>
      </c>
    </row>
    <row r="2518" spans="1:5">
      <c r="A2518" t="s">
        <v>9907</v>
      </c>
      <c r="B2518" t="s">
        <v>8761</v>
      </c>
      <c r="C2518" s="10">
        <v>6</v>
      </c>
      <c r="D2518" s="10">
        <v>0.7</v>
      </c>
      <c r="E2518" s="10">
        <v>40</v>
      </c>
    </row>
    <row r="2519" spans="1:5">
      <c r="A2519" t="s">
        <v>9908</v>
      </c>
      <c r="B2519" t="s">
        <v>1478</v>
      </c>
      <c r="C2519" s="10">
        <v>6</v>
      </c>
      <c r="D2519" s="10">
        <v>1</v>
      </c>
      <c r="E2519" s="10">
        <v>40</v>
      </c>
    </row>
    <row r="2520" spans="1:5">
      <c r="A2520" t="s">
        <v>9909</v>
      </c>
      <c r="B2520" t="s">
        <v>8762</v>
      </c>
      <c r="C2520" s="10">
        <v>6</v>
      </c>
      <c r="D2520" s="10">
        <v>0.7</v>
      </c>
      <c r="E2520" s="10">
        <v>42</v>
      </c>
    </row>
    <row r="2521" spans="1:5">
      <c r="A2521" t="s">
        <v>9910</v>
      </c>
      <c r="B2521" t="s">
        <v>8763</v>
      </c>
      <c r="C2521" s="10">
        <v>6</v>
      </c>
      <c r="D2521" s="10">
        <v>0.7</v>
      </c>
      <c r="E2521" s="10">
        <v>42</v>
      </c>
    </row>
    <row r="2522" spans="1:5">
      <c r="A2522" t="s">
        <v>5931</v>
      </c>
      <c r="B2522" t="s">
        <v>5932</v>
      </c>
      <c r="C2522" s="10">
        <v>192</v>
      </c>
      <c r="D2522" s="10">
        <v>0.05</v>
      </c>
      <c r="E2522" s="10">
        <v>40</v>
      </c>
    </row>
    <row r="2523" spans="1:5">
      <c r="A2523" t="s">
        <v>861</v>
      </c>
      <c r="B2523" t="s">
        <v>8764</v>
      </c>
      <c r="C2523" s="10">
        <v>6</v>
      </c>
      <c r="D2523" s="10">
        <v>0.7</v>
      </c>
      <c r="E2523" s="10">
        <v>40</v>
      </c>
    </row>
    <row r="2524" spans="1:5">
      <c r="A2524" t="s">
        <v>9911</v>
      </c>
      <c r="B2524" t="s">
        <v>8765</v>
      </c>
      <c r="C2524" s="10">
        <v>12</v>
      </c>
      <c r="D2524" s="10">
        <v>1</v>
      </c>
      <c r="E2524" s="10">
        <v>40</v>
      </c>
    </row>
    <row r="2525" spans="1:5">
      <c r="A2525" t="s">
        <v>9912</v>
      </c>
      <c r="B2525" t="s">
        <v>8766</v>
      </c>
      <c r="C2525" s="10">
        <v>12</v>
      </c>
      <c r="D2525" s="10">
        <v>1</v>
      </c>
      <c r="E2525" s="10">
        <v>40</v>
      </c>
    </row>
    <row r="2526" spans="1:5">
      <c r="A2526" t="s">
        <v>6038</v>
      </c>
      <c r="B2526" t="s">
        <v>6039</v>
      </c>
      <c r="C2526" s="10">
        <v>4</v>
      </c>
      <c r="D2526" s="10">
        <v>0.7</v>
      </c>
      <c r="E2526" s="10">
        <v>40</v>
      </c>
    </row>
    <row r="2527" spans="1:5">
      <c r="A2527" t="s">
        <v>862</v>
      </c>
      <c r="B2527" t="s">
        <v>863</v>
      </c>
      <c r="C2527" s="10">
        <v>6</v>
      </c>
      <c r="D2527" s="10">
        <v>0.7</v>
      </c>
      <c r="E2527" s="10">
        <v>40</v>
      </c>
    </row>
    <row r="2528" spans="1:5">
      <c r="A2528" t="s">
        <v>1479</v>
      </c>
      <c r="B2528" t="s">
        <v>863</v>
      </c>
      <c r="C2528" s="10">
        <v>6</v>
      </c>
      <c r="D2528" s="10">
        <v>1</v>
      </c>
      <c r="E2528" s="10">
        <v>40</v>
      </c>
    </row>
    <row r="2529" spans="1:5">
      <c r="A2529" t="s">
        <v>9913</v>
      </c>
      <c r="B2529" t="s">
        <v>8767</v>
      </c>
      <c r="C2529" s="10">
        <v>3</v>
      </c>
      <c r="D2529" s="10">
        <v>0.7</v>
      </c>
      <c r="E2529" s="10">
        <v>40</v>
      </c>
    </row>
    <row r="2530" spans="1:5">
      <c r="A2530" t="s">
        <v>6040</v>
      </c>
      <c r="B2530" t="s">
        <v>6041</v>
      </c>
      <c r="C2530" s="10">
        <v>4</v>
      </c>
      <c r="D2530" s="10">
        <v>0.7</v>
      </c>
      <c r="E2530" s="10">
        <v>40</v>
      </c>
    </row>
    <row r="2531" spans="1:5">
      <c r="A2531" t="s">
        <v>6042</v>
      </c>
      <c r="B2531" t="s">
        <v>6043</v>
      </c>
      <c r="C2531" s="10">
        <v>4</v>
      </c>
      <c r="D2531" s="10">
        <v>0.7</v>
      </c>
      <c r="E2531" s="10">
        <v>40</v>
      </c>
    </row>
    <row r="2532" spans="1:5">
      <c r="A2532" t="s">
        <v>6044</v>
      </c>
      <c r="B2532" t="s">
        <v>6045</v>
      </c>
      <c r="C2532" s="10">
        <v>4</v>
      </c>
      <c r="D2532" s="10">
        <v>0.7</v>
      </c>
      <c r="E2532" s="10">
        <v>40</v>
      </c>
    </row>
    <row r="2533" spans="1:5">
      <c r="A2533" t="s">
        <v>6298</v>
      </c>
      <c r="B2533" t="s">
        <v>6299</v>
      </c>
      <c r="C2533" s="10">
        <v>3</v>
      </c>
      <c r="D2533" s="10">
        <v>0.7</v>
      </c>
      <c r="E2533" s="10">
        <v>43.8</v>
      </c>
    </row>
    <row r="2534" spans="1:5">
      <c r="A2534" t="s">
        <v>6300</v>
      </c>
      <c r="B2534" t="s">
        <v>6301</v>
      </c>
      <c r="C2534" s="10">
        <v>4</v>
      </c>
      <c r="D2534" s="10">
        <v>0.7</v>
      </c>
      <c r="E2534" s="10">
        <v>43</v>
      </c>
    </row>
    <row r="2535" spans="1:5">
      <c r="A2535" t="s">
        <v>864</v>
      </c>
      <c r="B2535" t="s">
        <v>865</v>
      </c>
      <c r="C2535" s="10">
        <v>6</v>
      </c>
      <c r="D2535" s="10">
        <v>0.7</v>
      </c>
      <c r="E2535" s="10">
        <v>40</v>
      </c>
    </row>
    <row r="2536" spans="1:5">
      <c r="A2536" t="s">
        <v>9914</v>
      </c>
      <c r="B2536" t="s">
        <v>8768</v>
      </c>
      <c r="C2536" s="10">
        <v>12</v>
      </c>
      <c r="D2536" s="10">
        <v>0.2</v>
      </c>
      <c r="E2536" s="10">
        <v>40</v>
      </c>
    </row>
    <row r="2537" spans="1:5">
      <c r="A2537" t="s">
        <v>9915</v>
      </c>
      <c r="B2537" t="s">
        <v>8769</v>
      </c>
      <c r="C2537" s="10">
        <v>6</v>
      </c>
      <c r="D2537" s="10">
        <v>0.7</v>
      </c>
      <c r="E2537" s="10">
        <v>40</v>
      </c>
    </row>
    <row r="2538" spans="1:5">
      <c r="A2538" t="s">
        <v>866</v>
      </c>
      <c r="B2538" t="s">
        <v>867</v>
      </c>
      <c r="C2538" s="10">
        <v>6</v>
      </c>
      <c r="D2538" s="10">
        <v>0.7</v>
      </c>
      <c r="E2538" s="10">
        <v>40</v>
      </c>
    </row>
    <row r="2539" spans="1:5">
      <c r="A2539" t="s">
        <v>1480</v>
      </c>
      <c r="B2539" t="s">
        <v>867</v>
      </c>
      <c r="C2539" s="10">
        <v>6</v>
      </c>
      <c r="D2539" s="10">
        <v>1</v>
      </c>
      <c r="E2539" s="10">
        <v>40</v>
      </c>
    </row>
    <row r="2540" spans="1:5">
      <c r="A2540" t="s">
        <v>9916</v>
      </c>
      <c r="B2540" t="s">
        <v>8770</v>
      </c>
      <c r="C2540" s="10">
        <v>12</v>
      </c>
      <c r="D2540" s="10">
        <v>1</v>
      </c>
      <c r="E2540" s="10">
        <v>40</v>
      </c>
    </row>
    <row r="2541" spans="1:5">
      <c r="A2541" t="s">
        <v>2177</v>
      </c>
      <c r="B2541" t="s">
        <v>2178</v>
      </c>
      <c r="C2541" s="10">
        <v>6</v>
      </c>
      <c r="D2541" s="10">
        <v>1</v>
      </c>
      <c r="E2541" s="10">
        <v>43</v>
      </c>
    </row>
    <row r="2542" spans="1:5">
      <c r="A2542" t="s">
        <v>6963</v>
      </c>
      <c r="B2542" t="s">
        <v>6964</v>
      </c>
      <c r="C2542" s="10">
        <v>4</v>
      </c>
      <c r="D2542" s="10">
        <v>0.7</v>
      </c>
      <c r="E2542" s="10">
        <v>43</v>
      </c>
    </row>
    <row r="2543" spans="1:5">
      <c r="A2543" t="s">
        <v>9917</v>
      </c>
      <c r="B2543" t="s">
        <v>8771</v>
      </c>
      <c r="C2543" s="10">
        <v>6</v>
      </c>
      <c r="D2543" s="10">
        <v>0.6</v>
      </c>
      <c r="E2543" s="10">
        <v>40</v>
      </c>
    </row>
    <row r="2544" spans="1:5">
      <c r="A2544" t="s">
        <v>5817</v>
      </c>
      <c r="B2544" t="s">
        <v>869</v>
      </c>
      <c r="C2544" s="10">
        <v>12</v>
      </c>
      <c r="D2544" s="10">
        <v>0.2</v>
      </c>
      <c r="E2544" s="10">
        <v>40</v>
      </c>
    </row>
    <row r="2545" spans="1:5">
      <c r="A2545" t="s">
        <v>5933</v>
      </c>
      <c r="B2545" t="s">
        <v>869</v>
      </c>
      <c r="C2545" s="10">
        <v>24</v>
      </c>
      <c r="D2545" s="10">
        <v>0.2</v>
      </c>
      <c r="E2545" s="10">
        <v>40</v>
      </c>
    </row>
    <row r="2546" spans="1:5">
      <c r="A2546" t="s">
        <v>5818</v>
      </c>
      <c r="B2546" t="s">
        <v>869</v>
      </c>
      <c r="C2546" s="10">
        <v>12</v>
      </c>
      <c r="D2546" s="10">
        <v>0.35</v>
      </c>
      <c r="E2546" s="10">
        <v>40</v>
      </c>
    </row>
    <row r="2547" spans="1:5">
      <c r="A2547" t="s">
        <v>868</v>
      </c>
      <c r="B2547" t="s">
        <v>869</v>
      </c>
      <c r="C2547" s="10">
        <v>6</v>
      </c>
      <c r="D2547" s="10">
        <v>0.7</v>
      </c>
      <c r="E2547" s="10">
        <v>40</v>
      </c>
    </row>
    <row r="2548" spans="1:5">
      <c r="A2548" t="s">
        <v>1481</v>
      </c>
      <c r="B2548" t="s">
        <v>869</v>
      </c>
      <c r="C2548" s="10">
        <v>6</v>
      </c>
      <c r="D2548" s="10">
        <v>1</v>
      </c>
      <c r="E2548" s="10">
        <v>40</v>
      </c>
    </row>
    <row r="2549" spans="1:5">
      <c r="A2549" t="s">
        <v>1579</v>
      </c>
      <c r="B2549" t="s">
        <v>869</v>
      </c>
      <c r="C2549" s="10">
        <v>6</v>
      </c>
      <c r="D2549" s="10">
        <v>1.5</v>
      </c>
      <c r="E2549" s="10">
        <v>40</v>
      </c>
    </row>
    <row r="2550" spans="1:5">
      <c r="A2550" t="s">
        <v>5934</v>
      </c>
      <c r="B2550" t="s">
        <v>869</v>
      </c>
      <c r="C2550" s="10">
        <v>4</v>
      </c>
      <c r="D2550" s="10">
        <v>3</v>
      </c>
      <c r="E2550" s="10">
        <v>40</v>
      </c>
    </row>
    <row r="2551" spans="1:5">
      <c r="A2551" t="s">
        <v>5935</v>
      </c>
      <c r="B2551" t="s">
        <v>5936</v>
      </c>
      <c r="C2551" s="10">
        <v>192</v>
      </c>
      <c r="D2551" s="10">
        <v>0.05</v>
      </c>
      <c r="E2551" s="10">
        <v>40</v>
      </c>
    </row>
    <row r="2552" spans="1:5">
      <c r="A2552" t="s">
        <v>870</v>
      </c>
      <c r="B2552" t="s">
        <v>871</v>
      </c>
      <c r="C2552" s="10">
        <v>6</v>
      </c>
      <c r="D2552" s="10">
        <v>0.7</v>
      </c>
      <c r="E2552" s="10">
        <v>40</v>
      </c>
    </row>
    <row r="2553" spans="1:5">
      <c r="A2553" t="s">
        <v>5055</v>
      </c>
      <c r="B2553" t="s">
        <v>2180</v>
      </c>
      <c r="C2553" s="10">
        <v>6</v>
      </c>
      <c r="D2553" s="10">
        <v>0.7</v>
      </c>
      <c r="E2553" s="10">
        <v>38</v>
      </c>
    </row>
    <row r="2554" spans="1:5">
      <c r="A2554" t="s">
        <v>2179</v>
      </c>
      <c r="B2554" t="s">
        <v>2180</v>
      </c>
      <c r="C2554" s="10">
        <v>6</v>
      </c>
      <c r="D2554" s="10">
        <v>1</v>
      </c>
      <c r="E2554" s="10">
        <v>38</v>
      </c>
    </row>
    <row r="2555" spans="1:5">
      <c r="A2555" t="s">
        <v>6865</v>
      </c>
      <c r="B2555" t="s">
        <v>2180</v>
      </c>
      <c r="C2555" s="10">
        <v>12</v>
      </c>
      <c r="D2555" s="10">
        <v>1</v>
      </c>
      <c r="E2555" s="10">
        <v>38</v>
      </c>
    </row>
    <row r="2556" spans="1:5">
      <c r="A2556" t="s">
        <v>6866</v>
      </c>
      <c r="B2556" t="s">
        <v>6867</v>
      </c>
      <c r="C2556" s="10">
        <v>12</v>
      </c>
      <c r="D2556" s="10">
        <v>1</v>
      </c>
      <c r="E2556" s="10">
        <v>38</v>
      </c>
    </row>
    <row r="2557" spans="1:5">
      <c r="A2557" t="s">
        <v>5056</v>
      </c>
      <c r="B2557" t="s">
        <v>2182</v>
      </c>
      <c r="C2557" s="10">
        <v>6</v>
      </c>
      <c r="D2557" s="10">
        <v>0.7</v>
      </c>
      <c r="E2557" s="10">
        <v>38</v>
      </c>
    </row>
    <row r="2558" spans="1:5">
      <c r="A2558" t="s">
        <v>6868</v>
      </c>
      <c r="B2558" t="s">
        <v>2182</v>
      </c>
      <c r="C2558" s="10">
        <v>12</v>
      </c>
      <c r="D2558" s="10">
        <v>1</v>
      </c>
      <c r="E2558" s="10">
        <v>38</v>
      </c>
    </row>
    <row r="2559" spans="1:5">
      <c r="A2559" t="s">
        <v>2181</v>
      </c>
      <c r="B2559" t="s">
        <v>2182</v>
      </c>
      <c r="C2559" s="10">
        <v>6</v>
      </c>
      <c r="D2559" s="10">
        <v>1</v>
      </c>
      <c r="E2559" s="10">
        <v>38</v>
      </c>
    </row>
    <row r="2560" spans="1:5">
      <c r="A2560" t="s">
        <v>5057</v>
      </c>
      <c r="B2560" t="s">
        <v>5058</v>
      </c>
      <c r="C2560" s="10">
        <v>6</v>
      </c>
      <c r="D2560" s="10">
        <v>0.7</v>
      </c>
      <c r="E2560" s="10">
        <v>38</v>
      </c>
    </row>
    <row r="2561" spans="1:5">
      <c r="A2561" t="s">
        <v>6302</v>
      </c>
      <c r="B2561" t="s">
        <v>6303</v>
      </c>
      <c r="C2561" s="10">
        <v>3</v>
      </c>
      <c r="D2561" s="10">
        <v>0.7</v>
      </c>
      <c r="E2561" s="10">
        <v>38</v>
      </c>
    </row>
    <row r="2562" spans="1:5">
      <c r="A2562" t="s">
        <v>5059</v>
      </c>
      <c r="B2562" t="s">
        <v>5060</v>
      </c>
      <c r="C2562" s="10">
        <v>6</v>
      </c>
      <c r="D2562" s="10">
        <v>0.7</v>
      </c>
      <c r="E2562" s="10">
        <v>38</v>
      </c>
    </row>
    <row r="2563" spans="1:5">
      <c r="A2563" t="s">
        <v>5819</v>
      </c>
      <c r="B2563" t="s">
        <v>873</v>
      </c>
      <c r="C2563" s="10">
        <v>12</v>
      </c>
      <c r="D2563" s="10">
        <v>0.2</v>
      </c>
      <c r="E2563" s="10">
        <v>40</v>
      </c>
    </row>
    <row r="2564" spans="1:5">
      <c r="A2564" t="s">
        <v>1580</v>
      </c>
      <c r="B2564" t="s">
        <v>873</v>
      </c>
      <c r="C2564" s="10">
        <v>6</v>
      </c>
      <c r="D2564" s="10">
        <v>0.35</v>
      </c>
      <c r="E2564" s="10">
        <v>40</v>
      </c>
    </row>
    <row r="2565" spans="1:5">
      <c r="A2565" t="s">
        <v>872</v>
      </c>
      <c r="B2565" t="s">
        <v>873</v>
      </c>
      <c r="C2565" s="10">
        <v>6</v>
      </c>
      <c r="D2565" s="10">
        <v>0.7</v>
      </c>
      <c r="E2565" s="10">
        <v>40</v>
      </c>
    </row>
    <row r="2566" spans="1:5">
      <c r="A2566" t="s">
        <v>1482</v>
      </c>
      <c r="B2566" t="s">
        <v>873</v>
      </c>
      <c r="C2566" s="10">
        <v>6</v>
      </c>
      <c r="D2566" s="10">
        <v>1</v>
      </c>
      <c r="E2566" s="10">
        <v>40</v>
      </c>
    </row>
    <row r="2567" spans="1:5">
      <c r="A2567" t="s">
        <v>874</v>
      </c>
      <c r="B2567" t="s">
        <v>875</v>
      </c>
      <c r="C2567" s="10">
        <v>6</v>
      </c>
      <c r="D2567" s="10">
        <v>0.7</v>
      </c>
      <c r="E2567" s="10">
        <v>40</v>
      </c>
    </row>
    <row r="2568" spans="1:5">
      <c r="A2568" t="s">
        <v>876</v>
      </c>
      <c r="B2568" t="s">
        <v>877</v>
      </c>
      <c r="C2568" s="10">
        <v>6</v>
      </c>
      <c r="D2568" s="10">
        <v>0.7</v>
      </c>
      <c r="E2568" s="10">
        <v>40</v>
      </c>
    </row>
    <row r="2569" spans="1:5">
      <c r="A2569" t="s">
        <v>5061</v>
      </c>
      <c r="B2569" t="s">
        <v>5062</v>
      </c>
      <c r="C2569" s="10">
        <v>6</v>
      </c>
      <c r="D2569" s="10">
        <v>0.7</v>
      </c>
      <c r="E2569" s="10">
        <v>38</v>
      </c>
    </row>
    <row r="2570" spans="1:5">
      <c r="A2570" t="s">
        <v>9918</v>
      </c>
      <c r="B2570" t="s">
        <v>8772</v>
      </c>
      <c r="C2570" s="10">
        <v>6</v>
      </c>
      <c r="D2570" s="10">
        <v>1</v>
      </c>
      <c r="E2570" s="10">
        <v>25</v>
      </c>
    </row>
    <row r="2571" spans="1:5">
      <c r="A2571" t="s">
        <v>4875</v>
      </c>
      <c r="B2571" t="s">
        <v>4876</v>
      </c>
      <c r="C2571" s="10">
        <v>6</v>
      </c>
      <c r="D2571" s="10">
        <v>0.7</v>
      </c>
      <c r="E2571" s="10">
        <v>37.5</v>
      </c>
    </row>
    <row r="2572" spans="1:5">
      <c r="A2572" t="s">
        <v>4877</v>
      </c>
      <c r="B2572" t="s">
        <v>4878</v>
      </c>
      <c r="C2572" s="10">
        <v>6</v>
      </c>
      <c r="D2572" s="10">
        <v>0.7</v>
      </c>
      <c r="E2572" s="10">
        <v>37.5</v>
      </c>
    </row>
    <row r="2573" spans="1:5">
      <c r="A2573" t="s">
        <v>4090</v>
      </c>
      <c r="B2573" t="s">
        <v>4091</v>
      </c>
      <c r="C2573" s="10">
        <v>6</v>
      </c>
      <c r="D2573" s="10">
        <v>0.7</v>
      </c>
      <c r="E2573" s="10">
        <v>42</v>
      </c>
    </row>
    <row r="2574" spans="1:5">
      <c r="A2574" t="s">
        <v>9919</v>
      </c>
      <c r="B2574" t="s">
        <v>878</v>
      </c>
      <c r="C2574" s="10">
        <v>6</v>
      </c>
      <c r="D2574" s="10">
        <v>0.7</v>
      </c>
      <c r="E2574" s="10">
        <v>40</v>
      </c>
    </row>
    <row r="2575" spans="1:5">
      <c r="A2575" t="s">
        <v>879</v>
      </c>
      <c r="B2575" t="s">
        <v>880</v>
      </c>
      <c r="C2575" s="10">
        <v>6</v>
      </c>
      <c r="D2575" s="10">
        <v>0.7</v>
      </c>
      <c r="E2575" s="10">
        <v>40</v>
      </c>
    </row>
    <row r="2576" spans="1:5">
      <c r="A2576" t="s">
        <v>881</v>
      </c>
      <c r="B2576" t="s">
        <v>882</v>
      </c>
      <c r="C2576" s="10">
        <v>6</v>
      </c>
      <c r="D2576" s="10">
        <v>0.7</v>
      </c>
      <c r="E2576" s="10">
        <v>40</v>
      </c>
    </row>
    <row r="2577" spans="1:5">
      <c r="A2577" t="s">
        <v>883</v>
      </c>
      <c r="B2577" t="s">
        <v>8773</v>
      </c>
      <c r="C2577" s="10">
        <v>6</v>
      </c>
      <c r="D2577" s="10">
        <v>0.7</v>
      </c>
      <c r="E2577" s="10">
        <v>40</v>
      </c>
    </row>
    <row r="2578" spans="1:5">
      <c r="A2578" t="s">
        <v>4092</v>
      </c>
      <c r="B2578" t="s">
        <v>4093</v>
      </c>
      <c r="C2578" s="10">
        <v>6</v>
      </c>
      <c r="D2578" s="10">
        <v>0.7</v>
      </c>
      <c r="E2578" s="10">
        <v>44</v>
      </c>
    </row>
    <row r="2579" spans="1:5">
      <c r="A2579" t="s">
        <v>4094</v>
      </c>
      <c r="B2579" t="s">
        <v>4095</v>
      </c>
      <c r="C2579" s="10">
        <v>6</v>
      </c>
      <c r="D2579" s="10">
        <v>0.7</v>
      </c>
      <c r="E2579" s="10">
        <v>46.7</v>
      </c>
    </row>
    <row r="2580" spans="1:5">
      <c r="A2580" t="s">
        <v>9920</v>
      </c>
      <c r="B2580" t="s">
        <v>8774</v>
      </c>
      <c r="C2580" s="10">
        <v>6</v>
      </c>
      <c r="D2580" s="10">
        <v>0.7</v>
      </c>
      <c r="E2580" s="10">
        <v>42</v>
      </c>
    </row>
    <row r="2581" spans="1:5">
      <c r="A2581" t="s">
        <v>884</v>
      </c>
      <c r="B2581" t="s">
        <v>885</v>
      </c>
      <c r="C2581" s="10">
        <v>6</v>
      </c>
      <c r="D2581" s="10">
        <v>0.7</v>
      </c>
      <c r="E2581" s="10">
        <v>40</v>
      </c>
    </row>
    <row r="2582" spans="1:5">
      <c r="A2582" t="s">
        <v>886</v>
      </c>
      <c r="B2582" t="s">
        <v>887</v>
      </c>
      <c r="C2582" s="10">
        <v>6</v>
      </c>
      <c r="D2582" s="10">
        <v>0.7</v>
      </c>
      <c r="E2582" s="10">
        <v>40</v>
      </c>
    </row>
    <row r="2583" spans="1:5">
      <c r="A2583" t="s">
        <v>888</v>
      </c>
      <c r="B2583" t="s">
        <v>889</v>
      </c>
      <c r="C2583" s="10">
        <v>6</v>
      </c>
      <c r="D2583" s="10">
        <v>0.7</v>
      </c>
      <c r="E2583" s="10">
        <v>40</v>
      </c>
    </row>
    <row r="2584" spans="1:5">
      <c r="A2584" t="s">
        <v>4096</v>
      </c>
      <c r="B2584" t="s">
        <v>4097</v>
      </c>
      <c r="C2584" s="10">
        <v>6</v>
      </c>
      <c r="D2584" s="10">
        <v>0.7</v>
      </c>
      <c r="E2584" s="10">
        <v>42</v>
      </c>
    </row>
    <row r="2585" spans="1:5">
      <c r="A2585" t="s">
        <v>2183</v>
      </c>
      <c r="B2585" t="s">
        <v>2184</v>
      </c>
      <c r="C2585" s="10">
        <v>6</v>
      </c>
      <c r="D2585" s="10">
        <v>1</v>
      </c>
      <c r="E2585" s="10">
        <v>43.6</v>
      </c>
    </row>
    <row r="2586" spans="1:5">
      <c r="A2586" t="s">
        <v>2185</v>
      </c>
      <c r="B2586" t="s">
        <v>2186</v>
      </c>
      <c r="C2586" s="10">
        <v>6</v>
      </c>
      <c r="D2586" s="10">
        <v>1</v>
      </c>
      <c r="E2586" s="10">
        <v>42.5</v>
      </c>
    </row>
    <row r="2587" spans="1:5">
      <c r="A2587" t="s">
        <v>890</v>
      </c>
      <c r="B2587" t="s">
        <v>891</v>
      </c>
      <c r="C2587" s="10">
        <v>6</v>
      </c>
      <c r="D2587" s="10">
        <v>0.7</v>
      </c>
      <c r="E2587" s="10">
        <v>40</v>
      </c>
    </row>
    <row r="2588" spans="1:5">
      <c r="A2588" t="s">
        <v>5937</v>
      </c>
      <c r="B2588" t="s">
        <v>893</v>
      </c>
      <c r="C2588" s="10">
        <v>48</v>
      </c>
      <c r="D2588" s="10">
        <v>0.2</v>
      </c>
      <c r="E2588" s="10">
        <v>40</v>
      </c>
    </row>
    <row r="2589" spans="1:5">
      <c r="A2589" t="s">
        <v>5820</v>
      </c>
      <c r="B2589" t="s">
        <v>893</v>
      </c>
      <c r="C2589" s="10">
        <v>12</v>
      </c>
      <c r="D2589" s="10">
        <v>0.35</v>
      </c>
      <c r="E2589" s="10">
        <v>40</v>
      </c>
    </row>
    <row r="2590" spans="1:5">
      <c r="A2590" t="s">
        <v>5938</v>
      </c>
      <c r="B2590" t="s">
        <v>893</v>
      </c>
      <c r="C2590" s="10">
        <v>24</v>
      </c>
      <c r="D2590" s="10">
        <v>0.35</v>
      </c>
      <c r="E2590" s="10">
        <v>40</v>
      </c>
    </row>
    <row r="2591" spans="1:5">
      <c r="A2591" t="s">
        <v>892</v>
      </c>
      <c r="B2591" t="s">
        <v>893</v>
      </c>
      <c r="C2591" s="10">
        <v>6</v>
      </c>
      <c r="D2591" s="10">
        <v>0.7</v>
      </c>
      <c r="E2591" s="10">
        <v>40</v>
      </c>
    </row>
    <row r="2592" spans="1:5">
      <c r="A2592" t="s">
        <v>9921</v>
      </c>
      <c r="B2592" t="s">
        <v>893</v>
      </c>
      <c r="C2592" s="10">
        <v>12</v>
      </c>
      <c r="D2592" s="10">
        <v>1</v>
      </c>
      <c r="E2592" s="10">
        <v>40</v>
      </c>
    </row>
    <row r="2593" spans="1:5">
      <c r="A2593" t="s">
        <v>1483</v>
      </c>
      <c r="B2593" t="s">
        <v>893</v>
      </c>
      <c r="C2593" s="10">
        <v>6</v>
      </c>
      <c r="D2593" s="10">
        <v>1</v>
      </c>
      <c r="E2593" s="10">
        <v>40</v>
      </c>
    </row>
    <row r="2594" spans="1:5">
      <c r="A2594" t="s">
        <v>4879</v>
      </c>
      <c r="B2594" t="s">
        <v>4880</v>
      </c>
      <c r="C2594" s="10">
        <v>6</v>
      </c>
      <c r="D2594" s="10">
        <v>0.7</v>
      </c>
      <c r="E2594" s="10">
        <v>37.5</v>
      </c>
    </row>
    <row r="2595" spans="1:5">
      <c r="A2595" t="s">
        <v>5939</v>
      </c>
      <c r="B2595" t="s">
        <v>5940</v>
      </c>
      <c r="C2595" s="10">
        <v>120</v>
      </c>
      <c r="D2595" s="10">
        <v>0.05</v>
      </c>
      <c r="E2595" s="10">
        <v>40</v>
      </c>
    </row>
    <row r="2596" spans="1:5">
      <c r="A2596" t="s">
        <v>6704</v>
      </c>
      <c r="B2596" t="s">
        <v>4099</v>
      </c>
      <c r="C2596" s="10">
        <v>12</v>
      </c>
      <c r="D2596" s="10">
        <v>0.35</v>
      </c>
      <c r="E2596" s="10">
        <v>30</v>
      </c>
    </row>
    <row r="2597" spans="1:5">
      <c r="A2597" t="s">
        <v>4098</v>
      </c>
      <c r="B2597" t="s">
        <v>4099</v>
      </c>
      <c r="C2597" s="10">
        <v>6</v>
      </c>
      <c r="D2597" s="10">
        <v>0.7</v>
      </c>
      <c r="E2597" s="10">
        <v>30</v>
      </c>
    </row>
    <row r="2598" spans="1:5">
      <c r="A2598" t="s">
        <v>9922</v>
      </c>
      <c r="B2598" t="s">
        <v>8775</v>
      </c>
      <c r="C2598" s="10">
        <v>6</v>
      </c>
      <c r="D2598" s="10">
        <v>0.7</v>
      </c>
      <c r="E2598" s="10">
        <v>40</v>
      </c>
    </row>
    <row r="2599" spans="1:5">
      <c r="A2599" t="s">
        <v>894</v>
      </c>
      <c r="B2599" t="s">
        <v>895</v>
      </c>
      <c r="C2599" s="10">
        <v>6</v>
      </c>
      <c r="D2599" s="10">
        <v>0.7</v>
      </c>
      <c r="E2599" s="10">
        <v>40</v>
      </c>
    </row>
    <row r="2600" spans="1:5">
      <c r="A2600" t="s">
        <v>896</v>
      </c>
      <c r="B2600" t="s">
        <v>897</v>
      </c>
      <c r="C2600" s="10">
        <v>6</v>
      </c>
      <c r="D2600" s="10">
        <v>0.7</v>
      </c>
      <c r="E2600" s="10">
        <v>40</v>
      </c>
    </row>
    <row r="2601" spans="1:5">
      <c r="A2601" t="s">
        <v>4100</v>
      </c>
      <c r="B2601" t="s">
        <v>2188</v>
      </c>
      <c r="C2601" s="10">
        <v>6</v>
      </c>
      <c r="D2601" s="10">
        <v>0.7</v>
      </c>
      <c r="E2601" s="10">
        <v>16</v>
      </c>
    </row>
    <row r="2602" spans="1:5">
      <c r="A2602" t="s">
        <v>9923</v>
      </c>
      <c r="B2602" t="s">
        <v>2188</v>
      </c>
      <c r="C2602" s="10">
        <v>12</v>
      </c>
      <c r="D2602" s="10">
        <v>1</v>
      </c>
      <c r="E2602" s="10">
        <v>16</v>
      </c>
    </row>
    <row r="2603" spans="1:5">
      <c r="A2603" t="s">
        <v>2187</v>
      </c>
      <c r="B2603" t="s">
        <v>2188</v>
      </c>
      <c r="C2603" s="10">
        <v>6</v>
      </c>
      <c r="D2603" s="10">
        <v>1</v>
      </c>
      <c r="E2603" s="10">
        <v>16</v>
      </c>
    </row>
    <row r="2604" spans="1:5">
      <c r="A2604" t="s">
        <v>9924</v>
      </c>
      <c r="B2604" t="s">
        <v>8776</v>
      </c>
      <c r="C2604" s="10">
        <v>6</v>
      </c>
      <c r="D2604" s="10">
        <v>0.7</v>
      </c>
      <c r="E2604" s="10">
        <v>53</v>
      </c>
    </row>
    <row r="2605" spans="1:5">
      <c r="A2605" t="s">
        <v>6705</v>
      </c>
      <c r="B2605" t="s">
        <v>6706</v>
      </c>
      <c r="C2605" s="10">
        <v>12</v>
      </c>
      <c r="D2605" s="10">
        <v>0.7</v>
      </c>
      <c r="E2605" s="10">
        <v>46</v>
      </c>
    </row>
    <row r="2606" spans="1:5">
      <c r="A2606" t="s">
        <v>6916</v>
      </c>
      <c r="B2606" t="s">
        <v>6917</v>
      </c>
      <c r="C2606" s="10">
        <v>6</v>
      </c>
      <c r="D2606" s="10">
        <v>0.5</v>
      </c>
      <c r="E2606" s="10">
        <v>48</v>
      </c>
    </row>
    <row r="2607" spans="1:5">
      <c r="A2607" t="s">
        <v>1830</v>
      </c>
      <c r="B2607" t="s">
        <v>1831</v>
      </c>
      <c r="C2607" s="10">
        <v>6</v>
      </c>
      <c r="D2607" s="10">
        <v>0.5</v>
      </c>
      <c r="E2607" s="10">
        <v>48</v>
      </c>
    </row>
    <row r="2608" spans="1:5">
      <c r="A2608" t="s">
        <v>1832</v>
      </c>
      <c r="B2608" t="s">
        <v>1833</v>
      </c>
      <c r="C2608" s="10">
        <v>6</v>
      </c>
      <c r="D2608" s="10">
        <v>0.5</v>
      </c>
      <c r="E2608" s="10">
        <v>48</v>
      </c>
    </row>
    <row r="2609" spans="1:5">
      <c r="A2609" t="s">
        <v>5063</v>
      </c>
      <c r="B2609" t="s">
        <v>5064</v>
      </c>
      <c r="C2609" s="10">
        <v>6</v>
      </c>
      <c r="D2609" s="10">
        <v>0.7</v>
      </c>
      <c r="E2609" s="10">
        <v>38</v>
      </c>
    </row>
    <row r="2610" spans="1:5">
      <c r="A2610" t="s">
        <v>6304</v>
      </c>
      <c r="B2610" t="s">
        <v>5064</v>
      </c>
      <c r="C2610" s="10">
        <v>9</v>
      </c>
      <c r="D2610" s="10">
        <v>1</v>
      </c>
      <c r="E2610" s="10">
        <v>38</v>
      </c>
    </row>
    <row r="2611" spans="1:5">
      <c r="A2611" t="s">
        <v>1581</v>
      </c>
      <c r="B2611" t="s">
        <v>1582</v>
      </c>
      <c r="C2611" s="10">
        <v>6</v>
      </c>
      <c r="D2611" s="10">
        <v>0.5</v>
      </c>
      <c r="E2611" s="10">
        <v>40</v>
      </c>
    </row>
    <row r="2612" spans="1:5">
      <c r="A2612" t="s">
        <v>898</v>
      </c>
      <c r="B2612" t="s">
        <v>899</v>
      </c>
      <c r="C2612" s="10">
        <v>6</v>
      </c>
      <c r="D2612" s="10">
        <v>0.7</v>
      </c>
      <c r="E2612" s="10">
        <v>40</v>
      </c>
    </row>
    <row r="2613" spans="1:5">
      <c r="A2613" t="s">
        <v>9925</v>
      </c>
      <c r="B2613" t="s">
        <v>8777</v>
      </c>
      <c r="C2613" s="10">
        <v>6</v>
      </c>
      <c r="D2613" s="10">
        <v>0.5</v>
      </c>
      <c r="E2613" s="10">
        <v>40</v>
      </c>
    </row>
    <row r="2614" spans="1:5">
      <c r="A2614" t="s">
        <v>9926</v>
      </c>
      <c r="B2614" t="s">
        <v>8777</v>
      </c>
      <c r="C2614" s="10">
        <v>6</v>
      </c>
      <c r="D2614" s="10">
        <v>0.7</v>
      </c>
      <c r="E2614" s="10">
        <v>40</v>
      </c>
    </row>
    <row r="2615" spans="1:5">
      <c r="A2615" t="s">
        <v>9927</v>
      </c>
      <c r="B2615" t="s">
        <v>8778</v>
      </c>
      <c r="C2615" s="10">
        <v>6</v>
      </c>
      <c r="D2615" s="10">
        <v>0.5</v>
      </c>
      <c r="E2615" s="10">
        <v>40</v>
      </c>
    </row>
    <row r="2616" spans="1:5">
      <c r="A2616" t="s">
        <v>9928</v>
      </c>
      <c r="B2616" t="s">
        <v>8778</v>
      </c>
      <c r="C2616" s="10">
        <v>6</v>
      </c>
      <c r="D2616" s="10">
        <v>0.7</v>
      </c>
      <c r="E2616" s="10">
        <v>40</v>
      </c>
    </row>
    <row r="2617" spans="1:5">
      <c r="A2617" t="s">
        <v>9929</v>
      </c>
      <c r="B2617" t="s">
        <v>8779</v>
      </c>
      <c r="C2617" s="10">
        <v>6</v>
      </c>
      <c r="D2617" s="10">
        <v>0.7</v>
      </c>
      <c r="E2617" s="10">
        <v>46</v>
      </c>
    </row>
    <row r="2618" spans="1:5">
      <c r="A2618" t="s">
        <v>9930</v>
      </c>
      <c r="B2618" t="s">
        <v>8780</v>
      </c>
      <c r="C2618" s="10">
        <v>6</v>
      </c>
      <c r="D2618" s="10">
        <v>0.7</v>
      </c>
      <c r="E2618" s="10">
        <v>46</v>
      </c>
    </row>
    <row r="2619" spans="1:5">
      <c r="A2619" t="s">
        <v>4101</v>
      </c>
      <c r="B2619" t="s">
        <v>4102</v>
      </c>
      <c r="C2619" s="10">
        <v>6</v>
      </c>
      <c r="D2619" s="10">
        <v>0.7</v>
      </c>
      <c r="E2619" s="10">
        <v>54</v>
      </c>
    </row>
    <row r="2620" spans="1:5">
      <c r="A2620" t="s">
        <v>5230</v>
      </c>
      <c r="B2620" t="s">
        <v>5231</v>
      </c>
      <c r="C2620" s="10">
        <v>6</v>
      </c>
      <c r="D2620" s="10">
        <v>0.7</v>
      </c>
      <c r="E2620" s="10">
        <v>46</v>
      </c>
    </row>
    <row r="2621" spans="1:5">
      <c r="A2621" t="s">
        <v>9931</v>
      </c>
      <c r="B2621" t="s">
        <v>8781</v>
      </c>
      <c r="C2621" s="10">
        <v>6</v>
      </c>
      <c r="D2621" s="10">
        <v>0.7</v>
      </c>
      <c r="E2621" s="10">
        <v>54.8</v>
      </c>
    </row>
    <row r="2622" spans="1:5">
      <c r="A2622" t="s">
        <v>9932</v>
      </c>
      <c r="B2622" t="s">
        <v>8782</v>
      </c>
      <c r="C2622" s="10">
        <v>6</v>
      </c>
      <c r="D2622" s="10">
        <v>0.7</v>
      </c>
      <c r="E2622" s="10">
        <v>58.6</v>
      </c>
    </row>
    <row r="2623" spans="1:5">
      <c r="A2623" t="s">
        <v>4103</v>
      </c>
      <c r="B2623" t="s">
        <v>4104</v>
      </c>
      <c r="C2623" s="10">
        <v>6</v>
      </c>
      <c r="D2623" s="10">
        <v>0.7</v>
      </c>
      <c r="E2623" s="10">
        <v>57.1</v>
      </c>
    </row>
    <row r="2624" spans="1:5">
      <c r="A2624" t="s">
        <v>900</v>
      </c>
      <c r="B2624" t="s">
        <v>901</v>
      </c>
      <c r="C2624" s="10">
        <v>6</v>
      </c>
      <c r="D2624" s="10">
        <v>0.7</v>
      </c>
      <c r="E2624" s="10">
        <v>40</v>
      </c>
    </row>
    <row r="2625" spans="1:5">
      <c r="A2625" t="s">
        <v>2189</v>
      </c>
      <c r="B2625" t="s">
        <v>2190</v>
      </c>
      <c r="C2625" s="10">
        <v>6</v>
      </c>
      <c r="D2625" s="10">
        <v>1</v>
      </c>
      <c r="E2625" s="10">
        <v>30</v>
      </c>
    </row>
    <row r="2626" spans="1:5">
      <c r="A2626" t="s">
        <v>6305</v>
      </c>
      <c r="B2626" t="s">
        <v>1835</v>
      </c>
      <c r="C2626" s="10">
        <v>72</v>
      </c>
      <c r="D2626" s="10">
        <v>0.05</v>
      </c>
      <c r="E2626" s="10">
        <v>35</v>
      </c>
    </row>
    <row r="2627" spans="1:5">
      <c r="A2627" t="s">
        <v>1834</v>
      </c>
      <c r="B2627" t="s">
        <v>1835</v>
      </c>
      <c r="C2627" s="10">
        <v>6</v>
      </c>
      <c r="D2627" s="10">
        <v>0.5</v>
      </c>
      <c r="E2627" s="10">
        <v>35</v>
      </c>
    </row>
    <row r="2628" spans="1:5">
      <c r="A2628" t="s">
        <v>2191</v>
      </c>
      <c r="B2628" t="s">
        <v>1835</v>
      </c>
      <c r="C2628" s="10">
        <v>6</v>
      </c>
      <c r="D2628" s="10">
        <v>1</v>
      </c>
      <c r="E2628" s="10">
        <v>35</v>
      </c>
    </row>
    <row r="2629" spans="1:5">
      <c r="A2629" t="s">
        <v>6306</v>
      </c>
      <c r="B2629" t="s">
        <v>4106</v>
      </c>
      <c r="C2629" s="10">
        <v>72</v>
      </c>
      <c r="D2629" s="10">
        <v>0.05</v>
      </c>
      <c r="E2629" s="10">
        <v>38.4</v>
      </c>
    </row>
    <row r="2630" spans="1:5">
      <c r="A2630" t="s">
        <v>4105</v>
      </c>
      <c r="B2630" t="s">
        <v>4106</v>
      </c>
      <c r="C2630" s="10">
        <v>6</v>
      </c>
      <c r="D2630" s="10">
        <v>0.7</v>
      </c>
      <c r="E2630" s="10">
        <v>38.4</v>
      </c>
    </row>
    <row r="2631" spans="1:5">
      <c r="A2631" t="s">
        <v>902</v>
      </c>
      <c r="B2631" t="s">
        <v>903</v>
      </c>
      <c r="C2631" s="10">
        <v>6</v>
      </c>
      <c r="D2631" s="10">
        <v>0.7</v>
      </c>
      <c r="E2631" s="10">
        <v>40</v>
      </c>
    </row>
    <row r="2632" spans="1:5">
      <c r="A2632" t="s">
        <v>5724</v>
      </c>
      <c r="B2632" t="s">
        <v>903</v>
      </c>
      <c r="C2632" s="10">
        <v>12</v>
      </c>
      <c r="D2632" s="10">
        <v>1</v>
      </c>
      <c r="E2632" s="10">
        <v>40</v>
      </c>
    </row>
    <row r="2633" spans="1:5">
      <c r="A2633" t="s">
        <v>904</v>
      </c>
      <c r="B2633" t="s">
        <v>905</v>
      </c>
      <c r="C2633" s="10">
        <v>6</v>
      </c>
      <c r="D2633" s="10">
        <v>0.7</v>
      </c>
      <c r="E2633" s="10">
        <v>40</v>
      </c>
    </row>
    <row r="2634" spans="1:5">
      <c r="A2634" t="s">
        <v>4107</v>
      </c>
      <c r="B2634" t="s">
        <v>4108</v>
      </c>
      <c r="C2634" s="10">
        <v>6</v>
      </c>
      <c r="D2634" s="10">
        <v>0.7</v>
      </c>
      <c r="E2634" s="10">
        <v>45.1</v>
      </c>
    </row>
    <row r="2635" spans="1:5">
      <c r="A2635" t="s">
        <v>4109</v>
      </c>
      <c r="B2635" t="s">
        <v>4110</v>
      </c>
      <c r="C2635" s="10">
        <v>6</v>
      </c>
      <c r="D2635" s="10">
        <v>0.7</v>
      </c>
      <c r="E2635" s="10">
        <v>45.7</v>
      </c>
    </row>
    <row r="2636" spans="1:5">
      <c r="A2636" t="s">
        <v>9933</v>
      </c>
      <c r="B2636" t="s">
        <v>8783</v>
      </c>
      <c r="C2636" s="10">
        <v>8</v>
      </c>
      <c r="D2636" s="10">
        <v>0.6</v>
      </c>
      <c r="E2636" s="10">
        <v>48.43</v>
      </c>
    </row>
    <row r="2637" spans="1:5">
      <c r="A2637" t="s">
        <v>4111</v>
      </c>
      <c r="B2637" t="s">
        <v>4112</v>
      </c>
      <c r="C2637" s="10">
        <v>6</v>
      </c>
      <c r="D2637" s="10">
        <v>0.7</v>
      </c>
      <c r="E2637" s="10">
        <v>54.5</v>
      </c>
    </row>
    <row r="2638" spans="1:5">
      <c r="A2638" t="s">
        <v>906</v>
      </c>
      <c r="B2638" t="s">
        <v>907</v>
      </c>
      <c r="C2638" s="10">
        <v>6</v>
      </c>
      <c r="D2638" s="10">
        <v>0.7</v>
      </c>
      <c r="E2638" s="10">
        <v>40</v>
      </c>
    </row>
    <row r="2639" spans="1:5">
      <c r="A2639" t="s">
        <v>9934</v>
      </c>
      <c r="B2639" t="s">
        <v>8784</v>
      </c>
      <c r="C2639" s="10">
        <v>6</v>
      </c>
      <c r="D2639" s="10">
        <v>0.7</v>
      </c>
      <c r="E2639" s="10">
        <v>46</v>
      </c>
    </row>
    <row r="2640" spans="1:5">
      <c r="A2640" t="s">
        <v>9935</v>
      </c>
      <c r="B2640" t="s">
        <v>8785</v>
      </c>
      <c r="C2640" s="10">
        <v>4</v>
      </c>
      <c r="D2640" s="10">
        <v>0.7</v>
      </c>
      <c r="E2640" s="10">
        <v>46</v>
      </c>
    </row>
    <row r="2641" spans="1:5">
      <c r="A2641" t="s">
        <v>5232</v>
      </c>
      <c r="B2641" t="s">
        <v>5233</v>
      </c>
      <c r="C2641" s="10">
        <v>6</v>
      </c>
      <c r="D2641" s="10">
        <v>0.7</v>
      </c>
      <c r="E2641" s="10">
        <v>46</v>
      </c>
    </row>
    <row r="2642" spans="1:5">
      <c r="A2642" t="s">
        <v>5234</v>
      </c>
      <c r="B2642" t="s">
        <v>5235</v>
      </c>
      <c r="C2642" s="10">
        <v>6</v>
      </c>
      <c r="D2642" s="10">
        <v>0.7</v>
      </c>
      <c r="E2642" s="10">
        <v>46</v>
      </c>
    </row>
    <row r="2643" spans="1:5">
      <c r="A2643" t="s">
        <v>9936</v>
      </c>
      <c r="B2643" t="s">
        <v>8786</v>
      </c>
      <c r="C2643" s="10">
        <v>6</v>
      </c>
      <c r="D2643" s="10">
        <v>0.7</v>
      </c>
      <c r="E2643" s="10">
        <v>46</v>
      </c>
    </row>
    <row r="2644" spans="1:5">
      <c r="A2644" t="s">
        <v>9937</v>
      </c>
      <c r="B2644" t="s">
        <v>8787</v>
      </c>
      <c r="C2644" s="10">
        <v>6</v>
      </c>
      <c r="D2644" s="10">
        <v>0.7</v>
      </c>
      <c r="E2644" s="10">
        <v>59.1</v>
      </c>
    </row>
    <row r="2645" spans="1:5">
      <c r="A2645" t="s">
        <v>9938</v>
      </c>
      <c r="B2645" t="s">
        <v>8788</v>
      </c>
      <c r="C2645" s="10">
        <v>6</v>
      </c>
      <c r="D2645" s="10">
        <v>0.7</v>
      </c>
      <c r="E2645" s="10">
        <v>58.4</v>
      </c>
    </row>
    <row r="2646" spans="1:5">
      <c r="A2646" t="s">
        <v>908</v>
      </c>
      <c r="B2646" t="s">
        <v>909</v>
      </c>
      <c r="C2646" s="10">
        <v>6</v>
      </c>
      <c r="D2646" s="10">
        <v>0.7</v>
      </c>
      <c r="E2646" s="10">
        <v>40</v>
      </c>
    </row>
    <row r="2647" spans="1:5">
      <c r="A2647" t="s">
        <v>4113</v>
      </c>
      <c r="B2647" t="s">
        <v>4114</v>
      </c>
      <c r="C2647" s="10">
        <v>6</v>
      </c>
      <c r="D2647" s="10">
        <v>0.7</v>
      </c>
      <c r="E2647" s="10">
        <v>42</v>
      </c>
    </row>
    <row r="2648" spans="1:5">
      <c r="A2648" t="s">
        <v>4881</v>
      </c>
      <c r="B2648" t="s">
        <v>4882</v>
      </c>
      <c r="C2648" s="10">
        <v>6</v>
      </c>
      <c r="D2648" s="10">
        <v>0.7</v>
      </c>
      <c r="E2648" s="10">
        <v>37.5</v>
      </c>
    </row>
    <row r="2649" spans="1:5">
      <c r="A2649" t="s">
        <v>1836</v>
      </c>
      <c r="B2649" t="s">
        <v>1837</v>
      </c>
      <c r="C2649" s="10">
        <v>6</v>
      </c>
      <c r="D2649" s="10">
        <v>0.5</v>
      </c>
      <c r="E2649" s="10">
        <v>29.9</v>
      </c>
    </row>
    <row r="2650" spans="1:5">
      <c r="A2650" t="s">
        <v>9939</v>
      </c>
      <c r="B2650" t="s">
        <v>8789</v>
      </c>
      <c r="C2650" s="10">
        <v>6</v>
      </c>
      <c r="D2650" s="10">
        <v>0.7</v>
      </c>
      <c r="E2650" s="10">
        <v>46</v>
      </c>
    </row>
    <row r="2651" spans="1:5">
      <c r="A2651" t="s">
        <v>9940</v>
      </c>
      <c r="B2651" t="s">
        <v>8790</v>
      </c>
      <c r="C2651" s="10">
        <v>6</v>
      </c>
      <c r="D2651" s="10">
        <v>0.7</v>
      </c>
      <c r="E2651" s="10">
        <v>40</v>
      </c>
    </row>
    <row r="2652" spans="1:5">
      <c r="A2652" t="s">
        <v>5516</v>
      </c>
      <c r="B2652" t="s">
        <v>8791</v>
      </c>
      <c r="C2652" s="10">
        <v>6</v>
      </c>
      <c r="D2652" s="10">
        <v>0.7</v>
      </c>
      <c r="E2652" s="10">
        <v>43</v>
      </c>
    </row>
    <row r="2653" spans="1:5">
      <c r="A2653" t="s">
        <v>5517</v>
      </c>
      <c r="B2653" t="s">
        <v>5518</v>
      </c>
      <c r="C2653" s="10">
        <v>6</v>
      </c>
      <c r="D2653" s="10">
        <v>0.7</v>
      </c>
      <c r="E2653" s="10">
        <v>43</v>
      </c>
    </row>
    <row r="2654" spans="1:5">
      <c r="A2654" t="s">
        <v>9941</v>
      </c>
      <c r="B2654" t="s">
        <v>5518</v>
      </c>
      <c r="C2654" s="10">
        <v>6</v>
      </c>
      <c r="D2654" s="10">
        <v>0.7</v>
      </c>
      <c r="E2654" s="10">
        <v>43</v>
      </c>
    </row>
    <row r="2655" spans="1:5">
      <c r="A2655" t="s">
        <v>4115</v>
      </c>
      <c r="B2655" t="s">
        <v>4116</v>
      </c>
      <c r="C2655" s="10">
        <v>6</v>
      </c>
      <c r="D2655" s="10">
        <v>0.7</v>
      </c>
      <c r="E2655" s="10">
        <v>56</v>
      </c>
    </row>
    <row r="2656" spans="1:5">
      <c r="A2656" t="s">
        <v>9942</v>
      </c>
      <c r="B2656" t="s">
        <v>8792</v>
      </c>
      <c r="C2656" s="10">
        <v>6</v>
      </c>
      <c r="D2656" s="10">
        <v>0.7</v>
      </c>
      <c r="E2656" s="10">
        <v>56</v>
      </c>
    </row>
    <row r="2657" spans="1:5">
      <c r="A2657" t="s">
        <v>9943</v>
      </c>
      <c r="B2657" t="s">
        <v>8793</v>
      </c>
      <c r="C2657" s="10">
        <v>6</v>
      </c>
      <c r="D2657" s="10">
        <v>0.7</v>
      </c>
      <c r="E2657" s="10">
        <v>43</v>
      </c>
    </row>
    <row r="2658" spans="1:5">
      <c r="A2658" t="s">
        <v>9944</v>
      </c>
      <c r="B2658" t="s">
        <v>8794</v>
      </c>
      <c r="C2658" s="10">
        <v>6</v>
      </c>
      <c r="D2658" s="10">
        <v>0.7</v>
      </c>
      <c r="E2658" s="10">
        <v>43</v>
      </c>
    </row>
    <row r="2659" spans="1:5">
      <c r="A2659" t="s">
        <v>4117</v>
      </c>
      <c r="B2659" t="s">
        <v>2193</v>
      </c>
      <c r="C2659" s="10">
        <v>6</v>
      </c>
      <c r="D2659" s="10">
        <v>0.7</v>
      </c>
      <c r="E2659" s="10">
        <v>14.8</v>
      </c>
    </row>
    <row r="2660" spans="1:5">
      <c r="A2660" t="s">
        <v>2192</v>
      </c>
      <c r="B2660" t="s">
        <v>2193</v>
      </c>
      <c r="C2660" s="10">
        <v>6</v>
      </c>
      <c r="D2660" s="10">
        <v>1</v>
      </c>
      <c r="E2660" s="10">
        <v>14.8</v>
      </c>
    </row>
    <row r="2661" spans="1:5">
      <c r="A2661" t="s">
        <v>5821</v>
      </c>
      <c r="B2661" t="s">
        <v>5822</v>
      </c>
      <c r="C2661" s="10">
        <v>12</v>
      </c>
      <c r="D2661" s="10">
        <v>0.5</v>
      </c>
      <c r="E2661" s="10">
        <v>40</v>
      </c>
    </row>
    <row r="2662" spans="1:5">
      <c r="A2662" t="s">
        <v>1583</v>
      </c>
      <c r="B2662" t="s">
        <v>1584</v>
      </c>
      <c r="C2662" s="10">
        <v>6</v>
      </c>
      <c r="D2662" s="10">
        <v>0.5</v>
      </c>
      <c r="E2662" s="10">
        <v>40</v>
      </c>
    </row>
    <row r="2663" spans="1:5">
      <c r="A2663" t="s">
        <v>9945</v>
      </c>
      <c r="B2663" t="s">
        <v>8795</v>
      </c>
      <c r="C2663" s="10">
        <v>6</v>
      </c>
      <c r="D2663" s="10">
        <v>0.7</v>
      </c>
      <c r="E2663" s="10">
        <v>45</v>
      </c>
    </row>
    <row r="2664" spans="1:5">
      <c r="A2664" t="s">
        <v>6307</v>
      </c>
      <c r="B2664" t="s">
        <v>6308</v>
      </c>
      <c r="C2664" s="10">
        <v>240</v>
      </c>
      <c r="D2664" s="10">
        <v>0.02</v>
      </c>
      <c r="E2664" s="10">
        <v>20</v>
      </c>
    </row>
    <row r="2665" spans="1:5">
      <c r="A2665" t="s">
        <v>6309</v>
      </c>
      <c r="B2665" t="s">
        <v>6308</v>
      </c>
      <c r="C2665" s="10">
        <v>30</v>
      </c>
      <c r="D2665" s="10">
        <v>0.02</v>
      </c>
      <c r="E2665" s="10">
        <v>20</v>
      </c>
    </row>
    <row r="2666" spans="1:5">
      <c r="A2666" t="s">
        <v>9946</v>
      </c>
      <c r="B2666" t="s">
        <v>6308</v>
      </c>
      <c r="C2666" s="10">
        <v>12</v>
      </c>
      <c r="D2666" s="10">
        <v>0.1</v>
      </c>
      <c r="E2666" s="10">
        <v>20</v>
      </c>
    </row>
    <row r="2667" spans="1:5">
      <c r="A2667" t="s">
        <v>1838</v>
      </c>
      <c r="B2667" t="s">
        <v>1839</v>
      </c>
      <c r="C2667" s="10">
        <v>6</v>
      </c>
      <c r="D2667" s="10">
        <v>0.5</v>
      </c>
      <c r="E2667" s="10">
        <v>15</v>
      </c>
    </row>
    <row r="2668" spans="1:5">
      <c r="A2668" t="s">
        <v>1840</v>
      </c>
      <c r="B2668" t="s">
        <v>1841</v>
      </c>
      <c r="C2668" s="10">
        <v>6</v>
      </c>
      <c r="D2668" s="10">
        <v>0.5</v>
      </c>
      <c r="E2668" s="10">
        <v>20</v>
      </c>
    </row>
    <row r="2669" spans="1:5">
      <c r="A2669" t="s">
        <v>9947</v>
      </c>
      <c r="B2669" t="s">
        <v>8796</v>
      </c>
      <c r="C2669" s="10">
        <v>6</v>
      </c>
      <c r="D2669" s="10">
        <v>0.7</v>
      </c>
      <c r="E2669" s="10">
        <v>50</v>
      </c>
    </row>
    <row r="2670" spans="1:5">
      <c r="A2670" t="s">
        <v>4118</v>
      </c>
      <c r="B2670" t="s">
        <v>4119</v>
      </c>
      <c r="C2670" s="10">
        <v>6</v>
      </c>
      <c r="D2670" s="10">
        <v>0.7</v>
      </c>
      <c r="E2670" s="10">
        <v>50</v>
      </c>
    </row>
    <row r="2671" spans="1:5">
      <c r="A2671" t="s">
        <v>5519</v>
      </c>
      <c r="B2671" t="s">
        <v>5520</v>
      </c>
      <c r="C2671" s="10">
        <v>6</v>
      </c>
      <c r="D2671" s="10">
        <v>0.7</v>
      </c>
      <c r="E2671" s="10">
        <v>43</v>
      </c>
    </row>
    <row r="2672" spans="1:5">
      <c r="A2672" t="s">
        <v>5521</v>
      </c>
      <c r="B2672" t="s">
        <v>5522</v>
      </c>
      <c r="C2672" s="10">
        <v>6</v>
      </c>
      <c r="D2672" s="10">
        <v>0.7</v>
      </c>
      <c r="E2672" s="10">
        <v>43</v>
      </c>
    </row>
    <row r="2673" spans="1:5">
      <c r="A2673" t="s">
        <v>5523</v>
      </c>
      <c r="B2673" t="s">
        <v>5524</v>
      </c>
      <c r="C2673" s="10">
        <v>6</v>
      </c>
      <c r="D2673" s="10">
        <v>0.7</v>
      </c>
      <c r="E2673" s="10">
        <v>43</v>
      </c>
    </row>
    <row r="2674" spans="1:5">
      <c r="A2674" t="s">
        <v>5525</v>
      </c>
      <c r="B2674" t="s">
        <v>5526</v>
      </c>
      <c r="C2674" s="10">
        <v>6</v>
      </c>
      <c r="D2674" s="10">
        <v>0.7</v>
      </c>
      <c r="E2674" s="10">
        <v>43</v>
      </c>
    </row>
    <row r="2675" spans="1:5">
      <c r="A2675" t="s">
        <v>9948</v>
      </c>
      <c r="B2675" t="s">
        <v>1842</v>
      </c>
      <c r="C2675" s="10">
        <v>6</v>
      </c>
      <c r="D2675" s="10">
        <v>0.5</v>
      </c>
      <c r="E2675" s="10">
        <v>42</v>
      </c>
    </row>
    <row r="2676" spans="1:5">
      <c r="A2676" t="s">
        <v>1843</v>
      </c>
      <c r="B2676" t="s">
        <v>1844</v>
      </c>
      <c r="C2676" s="10">
        <v>6</v>
      </c>
      <c r="D2676" s="10">
        <v>0.5</v>
      </c>
      <c r="E2676" s="10">
        <v>42</v>
      </c>
    </row>
    <row r="2677" spans="1:5">
      <c r="A2677" t="s">
        <v>9949</v>
      </c>
      <c r="B2677" t="s">
        <v>8797</v>
      </c>
      <c r="C2677" s="10">
        <v>6</v>
      </c>
      <c r="D2677" s="10">
        <v>1</v>
      </c>
      <c r="E2677" s="10">
        <v>42</v>
      </c>
    </row>
    <row r="2678" spans="1:5">
      <c r="A2678" t="s">
        <v>4120</v>
      </c>
      <c r="B2678" t="s">
        <v>4121</v>
      </c>
      <c r="C2678" s="10">
        <v>6</v>
      </c>
      <c r="D2678" s="10">
        <v>0.7</v>
      </c>
      <c r="E2678" s="10">
        <v>14.7</v>
      </c>
    </row>
    <row r="2679" spans="1:5">
      <c r="A2679" t="s">
        <v>4122</v>
      </c>
      <c r="B2679" t="s">
        <v>4123</v>
      </c>
      <c r="C2679" s="10">
        <v>6</v>
      </c>
      <c r="D2679" s="10">
        <v>0.7</v>
      </c>
      <c r="E2679" s="10">
        <v>14.5</v>
      </c>
    </row>
    <row r="2680" spans="1:5">
      <c r="A2680" t="s">
        <v>9950</v>
      </c>
      <c r="B2680" t="s">
        <v>8798</v>
      </c>
      <c r="C2680" s="10">
        <v>6</v>
      </c>
      <c r="D2680" s="10">
        <v>0.7</v>
      </c>
      <c r="E2680" s="10">
        <v>42</v>
      </c>
    </row>
    <row r="2681" spans="1:5">
      <c r="A2681" t="s">
        <v>1845</v>
      </c>
      <c r="B2681" t="s">
        <v>1846</v>
      </c>
      <c r="C2681" s="10">
        <v>6</v>
      </c>
      <c r="D2681" s="10">
        <v>0.5</v>
      </c>
      <c r="E2681" s="10">
        <v>20</v>
      </c>
    </row>
    <row r="2682" spans="1:5">
      <c r="A2682" t="s">
        <v>910</v>
      </c>
      <c r="B2682" t="s">
        <v>911</v>
      </c>
      <c r="C2682" s="10">
        <v>6</v>
      </c>
      <c r="D2682" s="10">
        <v>0.7</v>
      </c>
      <c r="E2682" s="10">
        <v>40</v>
      </c>
    </row>
    <row r="2683" spans="1:5">
      <c r="A2683" t="s">
        <v>2616</v>
      </c>
      <c r="B2683" t="s">
        <v>2617</v>
      </c>
      <c r="C2683" s="10">
        <v>6</v>
      </c>
      <c r="D2683" s="10">
        <v>0.75</v>
      </c>
      <c r="E2683" s="10">
        <v>19.5</v>
      </c>
    </row>
    <row r="2684" spans="1:5">
      <c r="A2684" t="s">
        <v>2618</v>
      </c>
      <c r="B2684" t="s">
        <v>2619</v>
      </c>
      <c r="C2684" s="10">
        <v>6</v>
      </c>
      <c r="D2684" s="10">
        <v>0.75</v>
      </c>
      <c r="E2684" s="10">
        <v>19.5</v>
      </c>
    </row>
    <row r="2685" spans="1:5">
      <c r="A2685" t="s">
        <v>2620</v>
      </c>
      <c r="B2685" t="s">
        <v>2621</v>
      </c>
      <c r="C2685" s="10">
        <v>6</v>
      </c>
      <c r="D2685" s="10">
        <v>0.75</v>
      </c>
      <c r="E2685" s="10">
        <v>19.5</v>
      </c>
    </row>
    <row r="2686" spans="1:5">
      <c r="A2686" t="s">
        <v>6310</v>
      </c>
      <c r="B2686" t="s">
        <v>2195</v>
      </c>
      <c r="C2686" s="10">
        <v>15</v>
      </c>
      <c r="D2686" s="10">
        <v>0.5</v>
      </c>
      <c r="E2686" s="10">
        <v>25</v>
      </c>
    </row>
    <row r="2687" spans="1:5">
      <c r="A2687" t="s">
        <v>2194</v>
      </c>
      <c r="B2687" t="s">
        <v>2195</v>
      </c>
      <c r="C2687" s="10">
        <v>6</v>
      </c>
      <c r="D2687" s="10">
        <v>1</v>
      </c>
      <c r="E2687" s="10">
        <v>25</v>
      </c>
    </row>
    <row r="2688" spans="1:5">
      <c r="A2688" t="s">
        <v>1847</v>
      </c>
      <c r="B2688" t="s">
        <v>1848</v>
      </c>
      <c r="C2688" s="10">
        <v>6</v>
      </c>
      <c r="D2688" s="10">
        <v>0.5</v>
      </c>
      <c r="E2688" s="10">
        <v>47</v>
      </c>
    </row>
    <row r="2689" spans="1:5">
      <c r="A2689" t="s">
        <v>1849</v>
      </c>
      <c r="B2689" t="s">
        <v>1850</v>
      </c>
      <c r="C2689" s="10">
        <v>6</v>
      </c>
      <c r="D2689" s="10">
        <v>0.5</v>
      </c>
      <c r="E2689" s="10">
        <v>47</v>
      </c>
    </row>
    <row r="2690" spans="1:5">
      <c r="A2690" t="s">
        <v>1851</v>
      </c>
      <c r="B2690" t="s">
        <v>1852</v>
      </c>
      <c r="C2690" s="10">
        <v>6</v>
      </c>
      <c r="D2690" s="10">
        <v>0.5</v>
      </c>
      <c r="E2690" s="10">
        <v>30</v>
      </c>
    </row>
    <row r="2691" spans="1:5">
      <c r="A2691" t="s">
        <v>1853</v>
      </c>
      <c r="B2691" t="s">
        <v>1854</v>
      </c>
      <c r="C2691" s="10">
        <v>6</v>
      </c>
      <c r="D2691" s="10">
        <v>0.5</v>
      </c>
      <c r="E2691" s="10">
        <v>47</v>
      </c>
    </row>
    <row r="2692" spans="1:5">
      <c r="A2692" t="s">
        <v>1855</v>
      </c>
      <c r="B2692" t="s">
        <v>1856</v>
      </c>
      <c r="C2692" s="10">
        <v>6</v>
      </c>
      <c r="D2692" s="10">
        <v>0.5</v>
      </c>
      <c r="E2692" s="10">
        <v>47</v>
      </c>
    </row>
    <row r="2693" spans="1:5">
      <c r="A2693" t="s">
        <v>1585</v>
      </c>
      <c r="B2693" t="s">
        <v>1586</v>
      </c>
      <c r="C2693" s="10">
        <v>6</v>
      </c>
      <c r="D2693" s="10">
        <v>0.5</v>
      </c>
      <c r="E2693" s="10">
        <v>40</v>
      </c>
    </row>
    <row r="2694" spans="1:5">
      <c r="A2694" t="s">
        <v>1587</v>
      </c>
      <c r="B2694" t="s">
        <v>1588</v>
      </c>
      <c r="C2694" s="10">
        <v>6</v>
      </c>
      <c r="D2694" s="10">
        <v>0.5</v>
      </c>
      <c r="E2694" s="10">
        <v>40</v>
      </c>
    </row>
    <row r="2695" spans="1:5">
      <c r="A2695" t="s">
        <v>4124</v>
      </c>
      <c r="B2695" t="s">
        <v>4125</v>
      </c>
      <c r="C2695" s="10">
        <v>6</v>
      </c>
      <c r="D2695" s="10">
        <v>0.7</v>
      </c>
      <c r="E2695" s="10">
        <v>47</v>
      </c>
    </row>
    <row r="2696" spans="1:5">
      <c r="A2696" t="s">
        <v>1484</v>
      </c>
      <c r="B2696" t="s">
        <v>1485</v>
      </c>
      <c r="C2696" s="10">
        <v>6</v>
      </c>
      <c r="D2696" s="10">
        <v>1</v>
      </c>
      <c r="E2696" s="10">
        <v>40</v>
      </c>
    </row>
    <row r="2697" spans="1:5">
      <c r="A2697" t="s">
        <v>4126</v>
      </c>
      <c r="B2697" t="s">
        <v>4127</v>
      </c>
      <c r="C2697" s="10">
        <v>6</v>
      </c>
      <c r="D2697" s="10">
        <v>0.7</v>
      </c>
      <c r="E2697" s="10">
        <v>47</v>
      </c>
    </row>
    <row r="2698" spans="1:5">
      <c r="A2698" t="s">
        <v>9951</v>
      </c>
      <c r="B2698" t="s">
        <v>8799</v>
      </c>
      <c r="C2698" s="10">
        <v>6</v>
      </c>
      <c r="D2698" s="10">
        <v>0.7</v>
      </c>
      <c r="E2698" s="10">
        <v>40</v>
      </c>
    </row>
    <row r="2699" spans="1:5">
      <c r="A2699" t="s">
        <v>912</v>
      </c>
      <c r="B2699" t="s">
        <v>913</v>
      </c>
      <c r="C2699" s="10">
        <v>6</v>
      </c>
      <c r="D2699" s="10">
        <v>0.7</v>
      </c>
      <c r="E2699" s="10">
        <v>40</v>
      </c>
    </row>
    <row r="2700" spans="1:5">
      <c r="A2700" t="s">
        <v>1486</v>
      </c>
      <c r="B2700" t="s">
        <v>913</v>
      </c>
      <c r="C2700" s="10">
        <v>6</v>
      </c>
      <c r="D2700" s="10">
        <v>1</v>
      </c>
      <c r="E2700" s="10">
        <v>40</v>
      </c>
    </row>
    <row r="2701" spans="1:5">
      <c r="A2701" t="s">
        <v>6311</v>
      </c>
      <c r="B2701" t="s">
        <v>6312</v>
      </c>
      <c r="C2701" s="10">
        <v>60</v>
      </c>
      <c r="D2701" s="10">
        <v>0.05</v>
      </c>
      <c r="E2701" s="10">
        <v>47</v>
      </c>
    </row>
    <row r="2702" spans="1:5">
      <c r="A2702" t="s">
        <v>9952</v>
      </c>
      <c r="B2702" t="s">
        <v>8800</v>
      </c>
      <c r="C2702" s="10">
        <v>6</v>
      </c>
      <c r="D2702" s="10">
        <v>0.7</v>
      </c>
      <c r="E2702" s="10">
        <v>40</v>
      </c>
    </row>
    <row r="2703" spans="1:5">
      <c r="A2703" t="s">
        <v>914</v>
      </c>
      <c r="B2703" t="s">
        <v>915</v>
      </c>
      <c r="C2703" s="10">
        <v>6</v>
      </c>
      <c r="D2703" s="10">
        <v>0.7</v>
      </c>
      <c r="E2703" s="10">
        <v>40</v>
      </c>
    </row>
    <row r="2704" spans="1:5">
      <c r="A2704" t="s">
        <v>4128</v>
      </c>
      <c r="B2704" t="s">
        <v>4129</v>
      </c>
      <c r="C2704" s="10">
        <v>6</v>
      </c>
      <c r="D2704" s="10">
        <v>0.7</v>
      </c>
      <c r="E2704" s="10">
        <v>14.9</v>
      </c>
    </row>
    <row r="2705" spans="1:5">
      <c r="A2705" t="s">
        <v>9953</v>
      </c>
      <c r="B2705" t="s">
        <v>8801</v>
      </c>
      <c r="C2705" s="10">
        <v>6</v>
      </c>
      <c r="D2705" s="10">
        <v>0.75</v>
      </c>
      <c r="E2705" s="10">
        <v>12.5</v>
      </c>
    </row>
    <row r="2706" spans="1:5">
      <c r="A2706" t="s">
        <v>9954</v>
      </c>
      <c r="B2706" t="s">
        <v>8802</v>
      </c>
      <c r="C2706" s="10">
        <v>6</v>
      </c>
      <c r="D2706" s="10">
        <v>0.75</v>
      </c>
      <c r="E2706" s="10">
        <v>12.5</v>
      </c>
    </row>
    <row r="2707" spans="1:5">
      <c r="A2707" t="s">
        <v>9955</v>
      </c>
      <c r="B2707" t="s">
        <v>8803</v>
      </c>
      <c r="C2707" s="10">
        <v>6</v>
      </c>
      <c r="D2707" s="10">
        <v>0.75</v>
      </c>
      <c r="E2707" s="10">
        <v>12.5</v>
      </c>
    </row>
    <row r="2708" spans="1:5">
      <c r="A2708" t="s">
        <v>9956</v>
      </c>
      <c r="B2708" t="s">
        <v>8804</v>
      </c>
      <c r="C2708" s="10">
        <v>6</v>
      </c>
      <c r="D2708" s="10">
        <v>0.75</v>
      </c>
      <c r="E2708" s="10">
        <v>12.5</v>
      </c>
    </row>
    <row r="2709" spans="1:5">
      <c r="A2709" t="s">
        <v>9957</v>
      </c>
      <c r="B2709" t="s">
        <v>8804</v>
      </c>
      <c r="C2709" s="10">
        <v>6</v>
      </c>
      <c r="D2709" s="10">
        <v>0.75</v>
      </c>
      <c r="E2709" s="10">
        <v>12.5</v>
      </c>
    </row>
    <row r="2710" spans="1:5">
      <c r="A2710" t="s">
        <v>9958</v>
      </c>
      <c r="B2710" t="s">
        <v>8805</v>
      </c>
      <c r="C2710" s="10">
        <v>6</v>
      </c>
      <c r="D2710" s="10">
        <v>375</v>
      </c>
      <c r="E2710" s="10">
        <v>12.5</v>
      </c>
    </row>
    <row r="2711" spans="1:5">
      <c r="A2711" t="s">
        <v>6707</v>
      </c>
      <c r="B2711" t="s">
        <v>6708</v>
      </c>
      <c r="C2711" s="10">
        <v>12</v>
      </c>
      <c r="D2711" s="10">
        <v>0.5</v>
      </c>
      <c r="E2711" s="10">
        <v>38</v>
      </c>
    </row>
    <row r="2712" spans="1:5">
      <c r="A2712" t="s">
        <v>5823</v>
      </c>
      <c r="B2712" t="s">
        <v>5824</v>
      </c>
      <c r="C2712" s="10">
        <v>12</v>
      </c>
      <c r="D2712" s="10">
        <v>0.7</v>
      </c>
      <c r="E2712" s="10">
        <v>40</v>
      </c>
    </row>
    <row r="2713" spans="1:5">
      <c r="A2713" t="s">
        <v>2196</v>
      </c>
      <c r="B2713" t="s">
        <v>2197</v>
      </c>
      <c r="C2713" s="10">
        <v>6</v>
      </c>
      <c r="D2713" s="10">
        <v>1</v>
      </c>
      <c r="E2713" s="10">
        <v>25</v>
      </c>
    </row>
    <row r="2714" spans="1:5">
      <c r="A2714" t="s">
        <v>1857</v>
      </c>
      <c r="B2714" t="s">
        <v>1858</v>
      </c>
      <c r="C2714" s="10">
        <v>6</v>
      </c>
      <c r="D2714" s="10">
        <v>0.5</v>
      </c>
      <c r="E2714" s="10">
        <v>35</v>
      </c>
    </row>
    <row r="2715" spans="1:5">
      <c r="A2715" t="s">
        <v>5527</v>
      </c>
      <c r="B2715" t="s">
        <v>5528</v>
      </c>
      <c r="C2715" s="10">
        <v>6</v>
      </c>
      <c r="D2715" s="10">
        <v>0.7</v>
      </c>
      <c r="E2715" s="10">
        <v>43</v>
      </c>
    </row>
    <row r="2716" spans="1:5">
      <c r="A2716" t="s">
        <v>9959</v>
      </c>
      <c r="B2716" t="s">
        <v>8806</v>
      </c>
      <c r="C2716" s="10">
        <v>6</v>
      </c>
      <c r="D2716" s="10">
        <v>0.7</v>
      </c>
      <c r="E2716" s="10">
        <v>43</v>
      </c>
    </row>
    <row r="2717" spans="1:5">
      <c r="A2717" t="s">
        <v>9960</v>
      </c>
      <c r="B2717" t="s">
        <v>8807</v>
      </c>
      <c r="C2717" s="10">
        <v>12</v>
      </c>
      <c r="D2717" s="10">
        <v>0.7</v>
      </c>
      <c r="E2717" s="10">
        <v>40</v>
      </c>
    </row>
    <row r="2718" spans="1:5">
      <c r="A2718" t="s">
        <v>4130</v>
      </c>
      <c r="B2718" t="s">
        <v>4131</v>
      </c>
      <c r="C2718" s="10">
        <v>6</v>
      </c>
      <c r="D2718" s="10">
        <v>0.7</v>
      </c>
      <c r="E2718" s="10">
        <v>18</v>
      </c>
    </row>
    <row r="2719" spans="1:5">
      <c r="A2719" t="s">
        <v>4132</v>
      </c>
      <c r="B2719" t="s">
        <v>4133</v>
      </c>
      <c r="C2719" s="10">
        <v>6</v>
      </c>
      <c r="D2719" s="10">
        <v>0.7</v>
      </c>
      <c r="E2719" s="10">
        <v>20</v>
      </c>
    </row>
    <row r="2720" spans="1:5">
      <c r="A2720" t="s">
        <v>9961</v>
      </c>
      <c r="B2720" t="s">
        <v>8808</v>
      </c>
      <c r="C2720" s="10">
        <v>6</v>
      </c>
      <c r="D2720" s="10">
        <v>0.5</v>
      </c>
      <c r="E2720" s="10">
        <v>42.6</v>
      </c>
    </row>
    <row r="2721" spans="1:5">
      <c r="A2721" t="s">
        <v>4134</v>
      </c>
      <c r="B2721" t="s">
        <v>4135</v>
      </c>
      <c r="C2721" s="10">
        <v>6</v>
      </c>
      <c r="D2721" s="10">
        <v>0.7</v>
      </c>
      <c r="E2721" s="10">
        <v>20</v>
      </c>
    </row>
    <row r="2722" spans="1:5">
      <c r="A2722" t="s">
        <v>4136</v>
      </c>
      <c r="B2722" t="s">
        <v>4137</v>
      </c>
      <c r="C2722" s="10">
        <v>6</v>
      </c>
      <c r="D2722" s="10">
        <v>0.7</v>
      </c>
      <c r="E2722" s="10">
        <v>70</v>
      </c>
    </row>
    <row r="2723" spans="1:5">
      <c r="A2723" t="s">
        <v>4138</v>
      </c>
      <c r="B2723" t="s">
        <v>4139</v>
      </c>
      <c r="C2723" s="10">
        <v>6</v>
      </c>
      <c r="D2723" s="10">
        <v>0.7</v>
      </c>
      <c r="E2723" s="10">
        <v>68</v>
      </c>
    </row>
    <row r="2724" spans="1:5">
      <c r="A2724" t="s">
        <v>916</v>
      </c>
      <c r="B2724" t="s">
        <v>917</v>
      </c>
      <c r="C2724" s="10">
        <v>6</v>
      </c>
      <c r="D2724" s="10">
        <v>0.7</v>
      </c>
      <c r="E2724" s="10">
        <v>40</v>
      </c>
    </row>
    <row r="2725" spans="1:5">
      <c r="A2725" t="s">
        <v>9962</v>
      </c>
      <c r="B2725" t="s">
        <v>8809</v>
      </c>
      <c r="C2725" s="10">
        <v>3</v>
      </c>
      <c r="D2725" s="10">
        <v>0.7</v>
      </c>
      <c r="E2725" s="10">
        <v>46</v>
      </c>
    </row>
    <row r="2726" spans="1:5">
      <c r="A2726" t="s">
        <v>6313</v>
      </c>
      <c r="B2726" t="s">
        <v>6314</v>
      </c>
      <c r="C2726" s="10">
        <v>3</v>
      </c>
      <c r="D2726" s="10">
        <v>0.7</v>
      </c>
      <c r="E2726" s="10">
        <v>48</v>
      </c>
    </row>
    <row r="2727" spans="1:5">
      <c r="A2727" t="s">
        <v>6315</v>
      </c>
      <c r="B2727" t="s">
        <v>6316</v>
      </c>
      <c r="C2727" s="10">
        <v>3</v>
      </c>
      <c r="D2727" s="10">
        <v>0.7</v>
      </c>
      <c r="E2727" s="10">
        <v>55</v>
      </c>
    </row>
    <row r="2728" spans="1:5">
      <c r="A2728" t="s">
        <v>6317</v>
      </c>
      <c r="B2728" t="s">
        <v>6318</v>
      </c>
      <c r="C2728" s="10">
        <v>3</v>
      </c>
      <c r="D2728" s="10">
        <v>0.7</v>
      </c>
      <c r="E2728" s="10">
        <v>55</v>
      </c>
    </row>
    <row r="2729" spans="1:5">
      <c r="A2729" t="s">
        <v>9963</v>
      </c>
      <c r="B2729" t="s">
        <v>8810</v>
      </c>
      <c r="C2729" s="10">
        <v>3</v>
      </c>
      <c r="D2729" s="10">
        <v>0.7</v>
      </c>
      <c r="E2729" s="10">
        <v>42</v>
      </c>
    </row>
    <row r="2730" spans="1:5">
      <c r="A2730" t="s">
        <v>9964</v>
      </c>
      <c r="B2730" t="s">
        <v>8811</v>
      </c>
      <c r="C2730" s="10">
        <v>3</v>
      </c>
      <c r="D2730" s="10">
        <v>0.7</v>
      </c>
      <c r="E2730" s="10">
        <v>48</v>
      </c>
    </row>
    <row r="2731" spans="1:5">
      <c r="A2731" t="s">
        <v>6319</v>
      </c>
      <c r="B2731" t="s">
        <v>6320</v>
      </c>
      <c r="C2731" s="10">
        <v>3</v>
      </c>
      <c r="D2731" s="10">
        <v>0.7</v>
      </c>
      <c r="E2731" s="10">
        <v>43</v>
      </c>
    </row>
    <row r="2732" spans="1:5">
      <c r="A2732" t="s">
        <v>9965</v>
      </c>
      <c r="B2732" t="s">
        <v>8812</v>
      </c>
      <c r="C2732" s="10">
        <v>3</v>
      </c>
      <c r="D2732" s="10">
        <v>0.7</v>
      </c>
      <c r="E2732" s="10">
        <v>53</v>
      </c>
    </row>
    <row r="2733" spans="1:5">
      <c r="A2733" t="s">
        <v>2918</v>
      </c>
      <c r="B2733" t="s">
        <v>2919</v>
      </c>
      <c r="C2733" s="10">
        <v>6</v>
      </c>
      <c r="D2733" s="10">
        <v>0.75</v>
      </c>
      <c r="E2733" s="10">
        <v>13</v>
      </c>
    </row>
    <row r="2734" spans="1:5">
      <c r="A2734" t="s">
        <v>9966</v>
      </c>
      <c r="B2734" t="s">
        <v>8813</v>
      </c>
      <c r="C2734" s="10">
        <v>6</v>
      </c>
      <c r="D2734" s="10">
        <v>0.5</v>
      </c>
      <c r="E2734" s="10">
        <v>40</v>
      </c>
    </row>
    <row r="2735" spans="1:5">
      <c r="A2735" t="s">
        <v>5941</v>
      </c>
      <c r="B2735" t="s">
        <v>919</v>
      </c>
      <c r="C2735" s="10">
        <v>36</v>
      </c>
      <c r="D2735" s="10">
        <v>0.2</v>
      </c>
      <c r="E2735" s="10">
        <v>40</v>
      </c>
    </row>
    <row r="2736" spans="1:5">
      <c r="A2736" t="s">
        <v>5825</v>
      </c>
      <c r="B2736" t="s">
        <v>919</v>
      </c>
      <c r="C2736" s="10">
        <v>12</v>
      </c>
      <c r="D2736" s="10">
        <v>0.35</v>
      </c>
      <c r="E2736" s="10">
        <v>40</v>
      </c>
    </row>
    <row r="2737" spans="1:5">
      <c r="A2737" t="s">
        <v>918</v>
      </c>
      <c r="B2737" t="s">
        <v>919</v>
      </c>
      <c r="C2737" s="10">
        <v>6</v>
      </c>
      <c r="D2737" s="10">
        <v>0.7</v>
      </c>
      <c r="E2737" s="10">
        <v>40</v>
      </c>
    </row>
    <row r="2738" spans="1:5">
      <c r="A2738" t="s">
        <v>1487</v>
      </c>
      <c r="B2738" t="s">
        <v>919</v>
      </c>
      <c r="C2738" s="10">
        <v>6</v>
      </c>
      <c r="D2738" s="10">
        <v>1</v>
      </c>
      <c r="E2738" s="10">
        <v>40</v>
      </c>
    </row>
    <row r="2739" spans="1:5">
      <c r="A2739" t="s">
        <v>9967</v>
      </c>
      <c r="B2739" t="s">
        <v>919</v>
      </c>
      <c r="C2739" s="10">
        <v>6</v>
      </c>
      <c r="D2739" s="10">
        <v>1.5</v>
      </c>
      <c r="E2739" s="10">
        <v>40</v>
      </c>
    </row>
    <row r="2740" spans="1:5">
      <c r="A2740" t="s">
        <v>5529</v>
      </c>
      <c r="B2740" t="s">
        <v>5530</v>
      </c>
      <c r="C2740" s="10">
        <v>6</v>
      </c>
      <c r="D2740" s="10">
        <v>0.7</v>
      </c>
      <c r="E2740" s="10">
        <v>43</v>
      </c>
    </row>
    <row r="2741" spans="1:5">
      <c r="A2741" t="s">
        <v>9968</v>
      </c>
      <c r="B2741" t="s">
        <v>8814</v>
      </c>
      <c r="C2741" s="10">
        <v>6</v>
      </c>
      <c r="D2741" s="10">
        <v>0.7</v>
      </c>
      <c r="E2741" s="10">
        <v>46</v>
      </c>
    </row>
    <row r="2742" spans="1:5">
      <c r="A2742" t="s">
        <v>4140</v>
      </c>
      <c r="B2742" t="s">
        <v>4141</v>
      </c>
      <c r="C2742" s="10">
        <v>6</v>
      </c>
      <c r="D2742" s="10">
        <v>0.7</v>
      </c>
      <c r="E2742" s="10">
        <v>57.3</v>
      </c>
    </row>
    <row r="2743" spans="1:5">
      <c r="A2743" t="s">
        <v>9969</v>
      </c>
      <c r="B2743" t="s">
        <v>8815</v>
      </c>
      <c r="C2743" s="10">
        <v>6</v>
      </c>
      <c r="D2743" s="10">
        <v>0.7</v>
      </c>
      <c r="E2743" s="10">
        <v>56.5</v>
      </c>
    </row>
    <row r="2744" spans="1:5">
      <c r="A2744" t="s">
        <v>9970</v>
      </c>
      <c r="B2744" t="s">
        <v>8815</v>
      </c>
      <c r="C2744" s="10">
        <v>6</v>
      </c>
      <c r="D2744" s="10">
        <v>0.7</v>
      </c>
      <c r="E2744" s="10">
        <v>56.5</v>
      </c>
    </row>
    <row r="2745" spans="1:5">
      <c r="A2745" t="s">
        <v>5531</v>
      </c>
      <c r="B2745" t="s">
        <v>5532</v>
      </c>
      <c r="C2745" s="10">
        <v>6</v>
      </c>
      <c r="D2745" s="10">
        <v>0.7</v>
      </c>
      <c r="E2745" s="10">
        <v>43</v>
      </c>
    </row>
    <row r="2746" spans="1:5">
      <c r="A2746" t="s">
        <v>9971</v>
      </c>
      <c r="B2746" t="s">
        <v>8816</v>
      </c>
      <c r="C2746" s="10">
        <v>6</v>
      </c>
      <c r="D2746" s="10">
        <v>0.7</v>
      </c>
      <c r="E2746" s="10">
        <v>44.2</v>
      </c>
    </row>
    <row r="2747" spans="1:5">
      <c r="A2747" t="s">
        <v>4142</v>
      </c>
      <c r="B2747" t="s">
        <v>4143</v>
      </c>
      <c r="C2747" s="10">
        <v>6</v>
      </c>
      <c r="D2747" s="10">
        <v>0.7</v>
      </c>
      <c r="E2747" s="10">
        <v>48</v>
      </c>
    </row>
    <row r="2748" spans="1:5">
      <c r="A2748" t="s">
        <v>9972</v>
      </c>
      <c r="B2748" t="s">
        <v>8817</v>
      </c>
      <c r="C2748" s="10">
        <v>6</v>
      </c>
      <c r="D2748" s="10">
        <v>0.7</v>
      </c>
      <c r="E2748" s="10">
        <v>46</v>
      </c>
    </row>
    <row r="2749" spans="1:5">
      <c r="A2749" t="s">
        <v>5533</v>
      </c>
      <c r="B2749" t="s">
        <v>5534</v>
      </c>
      <c r="C2749" s="10">
        <v>6</v>
      </c>
      <c r="D2749" s="10">
        <v>0.7</v>
      </c>
      <c r="E2749" s="10">
        <v>43</v>
      </c>
    </row>
    <row r="2750" spans="1:5">
      <c r="A2750" t="s">
        <v>5065</v>
      </c>
      <c r="B2750" t="s">
        <v>5066</v>
      </c>
      <c r="C2750" s="10">
        <v>6</v>
      </c>
      <c r="D2750" s="10">
        <v>0.7</v>
      </c>
      <c r="E2750" s="10">
        <v>38</v>
      </c>
    </row>
    <row r="2751" spans="1:5">
      <c r="A2751" t="s">
        <v>920</v>
      </c>
      <c r="B2751" t="s">
        <v>921</v>
      </c>
      <c r="C2751" s="10">
        <v>6</v>
      </c>
      <c r="D2751" s="10">
        <v>0.7</v>
      </c>
      <c r="E2751" s="10">
        <v>40</v>
      </c>
    </row>
    <row r="2752" spans="1:5">
      <c r="A2752" t="s">
        <v>6321</v>
      </c>
      <c r="B2752" t="s">
        <v>6322</v>
      </c>
      <c r="C2752" s="10">
        <v>1</v>
      </c>
      <c r="D2752" s="10">
        <v>0.75</v>
      </c>
      <c r="E2752" s="10">
        <v>12</v>
      </c>
    </row>
    <row r="2753" spans="1:5">
      <c r="A2753" t="s">
        <v>9973</v>
      </c>
      <c r="B2753" t="s">
        <v>8818</v>
      </c>
      <c r="C2753" s="10">
        <v>6</v>
      </c>
      <c r="D2753" s="10">
        <v>0.75</v>
      </c>
      <c r="E2753" s="10">
        <v>12</v>
      </c>
    </row>
    <row r="2754" spans="1:5">
      <c r="A2754" t="s">
        <v>3032</v>
      </c>
      <c r="B2754" t="s">
        <v>3033</v>
      </c>
      <c r="C2754" s="10">
        <v>6</v>
      </c>
      <c r="D2754" s="10">
        <v>0.75</v>
      </c>
      <c r="E2754" s="10">
        <v>12</v>
      </c>
    </row>
    <row r="2755" spans="1:5">
      <c r="A2755" t="s">
        <v>3034</v>
      </c>
      <c r="B2755" t="s">
        <v>3035</v>
      </c>
      <c r="C2755" s="10">
        <v>6</v>
      </c>
      <c r="D2755" s="10">
        <v>0.75</v>
      </c>
      <c r="E2755" s="10">
        <v>12</v>
      </c>
    </row>
    <row r="2756" spans="1:5">
      <c r="A2756" t="s">
        <v>3036</v>
      </c>
      <c r="B2756" t="s">
        <v>3037</v>
      </c>
      <c r="C2756" s="10">
        <v>6</v>
      </c>
      <c r="D2756" s="10">
        <v>0.75</v>
      </c>
      <c r="E2756" s="10">
        <v>12</v>
      </c>
    </row>
    <row r="2757" spans="1:5">
      <c r="A2757" t="s">
        <v>9974</v>
      </c>
      <c r="B2757" t="s">
        <v>8819</v>
      </c>
      <c r="C2757" s="10">
        <v>6</v>
      </c>
      <c r="D2757" s="10">
        <v>0.75</v>
      </c>
      <c r="E2757" s="10">
        <v>11</v>
      </c>
    </row>
    <row r="2758" spans="1:5">
      <c r="A2758" t="s">
        <v>2622</v>
      </c>
      <c r="B2758" t="s">
        <v>2623</v>
      </c>
      <c r="C2758" s="10">
        <v>6</v>
      </c>
      <c r="D2758" s="10">
        <v>0.75</v>
      </c>
      <c r="E2758" s="10">
        <v>11</v>
      </c>
    </row>
    <row r="2759" spans="1:5">
      <c r="A2759" t="s">
        <v>2624</v>
      </c>
      <c r="B2759" t="s">
        <v>2625</v>
      </c>
      <c r="C2759" s="10">
        <v>6</v>
      </c>
      <c r="D2759" s="10">
        <v>0.75</v>
      </c>
      <c r="E2759" s="10">
        <v>11</v>
      </c>
    </row>
    <row r="2760" spans="1:5">
      <c r="A2760" t="s">
        <v>2626</v>
      </c>
      <c r="B2760" t="s">
        <v>2627</v>
      </c>
      <c r="C2760" s="10">
        <v>6</v>
      </c>
      <c r="D2760" s="10">
        <v>0.75</v>
      </c>
      <c r="E2760" s="10">
        <v>14</v>
      </c>
    </row>
    <row r="2761" spans="1:5">
      <c r="A2761" t="s">
        <v>3150</v>
      </c>
      <c r="B2761" t="s">
        <v>3151</v>
      </c>
      <c r="C2761" s="10">
        <v>6</v>
      </c>
      <c r="D2761" s="10">
        <v>0.75</v>
      </c>
      <c r="E2761" s="10">
        <v>12.5</v>
      </c>
    </row>
    <row r="2762" spans="1:5">
      <c r="A2762" t="s">
        <v>2628</v>
      </c>
      <c r="B2762" t="s">
        <v>2629</v>
      </c>
      <c r="C2762" s="10">
        <v>6</v>
      </c>
      <c r="D2762" s="10">
        <v>0.75</v>
      </c>
      <c r="E2762" s="10">
        <v>13.5</v>
      </c>
    </row>
    <row r="2763" spans="1:5">
      <c r="A2763" t="s">
        <v>9975</v>
      </c>
      <c r="B2763" t="s">
        <v>8820</v>
      </c>
      <c r="C2763" s="10">
        <v>6</v>
      </c>
      <c r="D2763" s="10">
        <v>0.75</v>
      </c>
      <c r="E2763" s="10">
        <v>13</v>
      </c>
    </row>
    <row r="2764" spans="1:5">
      <c r="A2764" t="s">
        <v>2630</v>
      </c>
      <c r="B2764" t="s">
        <v>2631</v>
      </c>
      <c r="C2764" s="10">
        <v>6</v>
      </c>
      <c r="D2764" s="10">
        <v>0.75</v>
      </c>
      <c r="E2764" s="10">
        <v>14</v>
      </c>
    </row>
    <row r="2765" spans="1:5">
      <c r="A2765" t="s">
        <v>9976</v>
      </c>
      <c r="B2765" t="s">
        <v>8821</v>
      </c>
      <c r="C2765" s="10">
        <v>6</v>
      </c>
      <c r="D2765" s="10">
        <v>0.75</v>
      </c>
      <c r="E2765" s="10">
        <v>12.5</v>
      </c>
    </row>
    <row r="2766" spans="1:5">
      <c r="A2766" t="s">
        <v>3152</v>
      </c>
      <c r="B2766" t="s">
        <v>3153</v>
      </c>
      <c r="C2766" s="10">
        <v>6</v>
      </c>
      <c r="D2766" s="10">
        <v>0.75</v>
      </c>
      <c r="E2766" s="10">
        <v>12.5</v>
      </c>
    </row>
    <row r="2767" spans="1:5">
      <c r="A2767" t="s">
        <v>922</v>
      </c>
      <c r="B2767" t="s">
        <v>923</v>
      </c>
      <c r="C2767" s="10">
        <v>6</v>
      </c>
      <c r="D2767" s="10">
        <v>0.7</v>
      </c>
      <c r="E2767" s="10">
        <v>40</v>
      </c>
    </row>
    <row r="2768" spans="1:5">
      <c r="A2768" t="s">
        <v>9977</v>
      </c>
      <c r="B2768" t="s">
        <v>8822</v>
      </c>
      <c r="C2768" s="10">
        <v>6</v>
      </c>
      <c r="D2768" s="10">
        <v>0.7</v>
      </c>
      <c r="E2768" s="10">
        <v>57.9</v>
      </c>
    </row>
    <row r="2769" spans="1:5">
      <c r="A2769" t="s">
        <v>9978</v>
      </c>
      <c r="B2769" t="s">
        <v>8823</v>
      </c>
      <c r="C2769" s="10">
        <v>6</v>
      </c>
      <c r="D2769" s="10">
        <v>0.7</v>
      </c>
      <c r="E2769" s="10">
        <v>58.6</v>
      </c>
    </row>
    <row r="2770" spans="1:5">
      <c r="A2770" t="s">
        <v>9979</v>
      </c>
      <c r="B2770" t="s">
        <v>8824</v>
      </c>
      <c r="C2770" s="10">
        <v>6</v>
      </c>
      <c r="D2770" s="10">
        <v>0.7</v>
      </c>
      <c r="E2770" s="10">
        <v>56.5</v>
      </c>
    </row>
    <row r="2771" spans="1:5">
      <c r="A2771" t="s">
        <v>4144</v>
      </c>
      <c r="B2771" t="s">
        <v>4145</v>
      </c>
      <c r="C2771" s="10">
        <v>6</v>
      </c>
      <c r="D2771" s="10">
        <v>0.7</v>
      </c>
      <c r="E2771" s="10">
        <v>48</v>
      </c>
    </row>
    <row r="2772" spans="1:5">
      <c r="A2772" t="s">
        <v>5725</v>
      </c>
      <c r="B2772" t="s">
        <v>5726</v>
      </c>
      <c r="C2772" s="10">
        <v>12</v>
      </c>
      <c r="D2772" s="10">
        <v>1</v>
      </c>
      <c r="E2772" s="10">
        <v>40</v>
      </c>
    </row>
    <row r="2773" spans="1:5">
      <c r="A2773" t="s">
        <v>4146</v>
      </c>
      <c r="B2773" t="s">
        <v>4147</v>
      </c>
      <c r="C2773" s="10">
        <v>6</v>
      </c>
      <c r="D2773" s="10">
        <v>0.7</v>
      </c>
      <c r="E2773" s="10">
        <v>48</v>
      </c>
    </row>
    <row r="2774" spans="1:5">
      <c r="A2774" t="s">
        <v>2198</v>
      </c>
      <c r="B2774" t="s">
        <v>2199</v>
      </c>
      <c r="C2774" s="10">
        <v>6</v>
      </c>
      <c r="D2774" s="10">
        <v>1</v>
      </c>
      <c r="E2774" s="10">
        <v>48</v>
      </c>
    </row>
    <row r="2775" spans="1:5">
      <c r="A2775" t="s">
        <v>4148</v>
      </c>
      <c r="B2775" t="s">
        <v>4149</v>
      </c>
      <c r="C2775" s="10">
        <v>6</v>
      </c>
      <c r="D2775" s="10">
        <v>0.7</v>
      </c>
      <c r="E2775" s="10">
        <v>48</v>
      </c>
    </row>
    <row r="2776" spans="1:5">
      <c r="A2776" t="s">
        <v>924</v>
      </c>
      <c r="B2776" t="s">
        <v>925</v>
      </c>
      <c r="C2776" s="10">
        <v>6</v>
      </c>
      <c r="D2776" s="10">
        <v>0.7</v>
      </c>
      <c r="E2776" s="10">
        <v>40</v>
      </c>
    </row>
    <row r="2777" spans="1:5">
      <c r="A2777" t="s">
        <v>4150</v>
      </c>
      <c r="B2777" t="s">
        <v>4151</v>
      </c>
      <c r="C2777" s="10">
        <v>6</v>
      </c>
      <c r="D2777" s="10">
        <v>0.7</v>
      </c>
      <c r="E2777" s="10">
        <v>48</v>
      </c>
    </row>
    <row r="2778" spans="1:5">
      <c r="A2778" t="s">
        <v>6709</v>
      </c>
      <c r="B2778" t="s">
        <v>2201</v>
      </c>
      <c r="C2778" s="10">
        <v>12</v>
      </c>
      <c r="D2778" s="10">
        <v>0.5</v>
      </c>
      <c r="E2778" s="10">
        <v>25</v>
      </c>
    </row>
    <row r="2779" spans="1:5">
      <c r="A2779" t="s">
        <v>2200</v>
      </c>
      <c r="B2779" t="s">
        <v>2201</v>
      </c>
      <c r="C2779" s="10">
        <v>6</v>
      </c>
      <c r="D2779" s="10">
        <v>1</v>
      </c>
      <c r="E2779" s="10">
        <v>25</v>
      </c>
    </row>
    <row r="2780" spans="1:5">
      <c r="A2780" t="s">
        <v>4152</v>
      </c>
      <c r="B2780" t="s">
        <v>4153</v>
      </c>
      <c r="C2780" s="10">
        <v>6</v>
      </c>
      <c r="D2780" s="10">
        <v>0.7</v>
      </c>
      <c r="E2780" s="10">
        <v>41</v>
      </c>
    </row>
    <row r="2781" spans="1:5">
      <c r="A2781" t="s">
        <v>5236</v>
      </c>
      <c r="B2781" t="s">
        <v>5237</v>
      </c>
      <c r="C2781" s="10">
        <v>6</v>
      </c>
      <c r="D2781" s="10">
        <v>0.7</v>
      </c>
      <c r="E2781" s="10">
        <v>46</v>
      </c>
    </row>
    <row r="2782" spans="1:5">
      <c r="A2782" t="s">
        <v>9980</v>
      </c>
      <c r="B2782" t="s">
        <v>8825</v>
      </c>
      <c r="C2782" s="10">
        <v>6</v>
      </c>
      <c r="D2782" s="10">
        <v>1</v>
      </c>
      <c r="E2782" s="10">
        <v>37.5</v>
      </c>
    </row>
    <row r="2783" spans="1:5">
      <c r="A2783" t="s">
        <v>9981</v>
      </c>
      <c r="B2783" t="s">
        <v>8826</v>
      </c>
      <c r="C2783" s="10">
        <v>6</v>
      </c>
      <c r="D2783" s="10">
        <v>1</v>
      </c>
      <c r="E2783" s="10">
        <v>37.5</v>
      </c>
    </row>
    <row r="2784" spans="1:5">
      <c r="A2784" t="s">
        <v>9982</v>
      </c>
      <c r="B2784" t="s">
        <v>8827</v>
      </c>
      <c r="C2784" s="10">
        <v>12</v>
      </c>
      <c r="D2784" s="10">
        <v>1</v>
      </c>
      <c r="E2784" s="10">
        <v>40</v>
      </c>
    </row>
    <row r="2785" spans="1:5">
      <c r="A2785" t="s">
        <v>3038</v>
      </c>
      <c r="B2785" t="s">
        <v>3039</v>
      </c>
      <c r="C2785" s="10">
        <v>6</v>
      </c>
      <c r="D2785" s="10">
        <v>0.75</v>
      </c>
      <c r="E2785" s="10">
        <v>12</v>
      </c>
    </row>
    <row r="2786" spans="1:5">
      <c r="A2786" t="s">
        <v>3040</v>
      </c>
      <c r="B2786" t="s">
        <v>3041</v>
      </c>
      <c r="C2786" s="10">
        <v>6</v>
      </c>
      <c r="D2786" s="10">
        <v>0.75</v>
      </c>
      <c r="E2786" s="10">
        <v>12</v>
      </c>
    </row>
    <row r="2787" spans="1:5">
      <c r="A2787" t="s">
        <v>3042</v>
      </c>
      <c r="B2787" t="s">
        <v>3043</v>
      </c>
      <c r="C2787" s="10">
        <v>6</v>
      </c>
      <c r="D2787" s="10">
        <v>0.75</v>
      </c>
      <c r="E2787" s="10">
        <v>12</v>
      </c>
    </row>
    <row r="2788" spans="1:5">
      <c r="A2788" t="s">
        <v>3044</v>
      </c>
      <c r="B2788" t="s">
        <v>3045</v>
      </c>
      <c r="C2788" s="10">
        <v>6</v>
      </c>
      <c r="D2788" s="10">
        <v>0.75</v>
      </c>
      <c r="E2788" s="10">
        <v>12</v>
      </c>
    </row>
    <row r="2789" spans="1:5">
      <c r="A2789" t="s">
        <v>3046</v>
      </c>
      <c r="B2789" t="s">
        <v>3045</v>
      </c>
      <c r="C2789" s="10">
        <v>6</v>
      </c>
      <c r="D2789" s="10">
        <v>0.75</v>
      </c>
      <c r="E2789" s="10">
        <v>12</v>
      </c>
    </row>
    <row r="2790" spans="1:5">
      <c r="A2790" t="s">
        <v>9983</v>
      </c>
      <c r="B2790" t="s">
        <v>8828</v>
      </c>
      <c r="C2790" s="10">
        <v>6</v>
      </c>
      <c r="D2790" s="10">
        <v>0.7</v>
      </c>
      <c r="E2790" s="10">
        <v>40</v>
      </c>
    </row>
    <row r="2791" spans="1:5">
      <c r="A2791" t="s">
        <v>926</v>
      </c>
      <c r="B2791" t="s">
        <v>927</v>
      </c>
      <c r="C2791" s="10">
        <v>6</v>
      </c>
      <c r="D2791" s="10">
        <v>0.7</v>
      </c>
      <c r="E2791" s="10">
        <v>40</v>
      </c>
    </row>
    <row r="2792" spans="1:5">
      <c r="A2792" t="s">
        <v>2632</v>
      </c>
      <c r="B2792" t="s">
        <v>2633</v>
      </c>
      <c r="C2792" s="10">
        <v>6</v>
      </c>
      <c r="D2792" s="10">
        <v>0.75</v>
      </c>
      <c r="E2792" s="10">
        <v>13.5</v>
      </c>
    </row>
    <row r="2793" spans="1:5">
      <c r="A2793" t="s">
        <v>2920</v>
      </c>
      <c r="B2793" t="s">
        <v>2921</v>
      </c>
      <c r="C2793" s="10">
        <v>6</v>
      </c>
      <c r="D2793" s="10">
        <v>0.75</v>
      </c>
      <c r="E2793" s="10">
        <v>13</v>
      </c>
    </row>
    <row r="2794" spans="1:5">
      <c r="A2794" t="s">
        <v>9984</v>
      </c>
      <c r="B2794" t="s">
        <v>8829</v>
      </c>
      <c r="C2794" s="10">
        <v>6</v>
      </c>
      <c r="D2794" s="10">
        <v>0.75</v>
      </c>
      <c r="E2794" s="10">
        <v>13</v>
      </c>
    </row>
    <row r="2795" spans="1:5">
      <c r="A2795" t="s">
        <v>2922</v>
      </c>
      <c r="B2795" t="s">
        <v>2923</v>
      </c>
      <c r="C2795" s="10">
        <v>6</v>
      </c>
      <c r="D2795" s="10">
        <v>0.75</v>
      </c>
      <c r="E2795" s="10">
        <v>13</v>
      </c>
    </row>
    <row r="2796" spans="1:5">
      <c r="A2796" t="s">
        <v>2924</v>
      </c>
      <c r="B2796" t="s">
        <v>8830</v>
      </c>
      <c r="C2796" s="10">
        <v>6</v>
      </c>
      <c r="D2796" s="10">
        <v>0.75</v>
      </c>
      <c r="E2796" s="10">
        <v>13</v>
      </c>
    </row>
    <row r="2797" spans="1:5">
      <c r="A2797" t="s">
        <v>2925</v>
      </c>
      <c r="B2797" t="s">
        <v>2926</v>
      </c>
      <c r="C2797" s="10">
        <v>6</v>
      </c>
      <c r="D2797" s="10">
        <v>0.75</v>
      </c>
      <c r="E2797" s="10">
        <v>13</v>
      </c>
    </row>
    <row r="2798" spans="1:5">
      <c r="A2798" t="s">
        <v>2634</v>
      </c>
      <c r="B2798" t="s">
        <v>2635</v>
      </c>
      <c r="C2798" s="10">
        <v>6</v>
      </c>
      <c r="D2798" s="10">
        <v>0.75</v>
      </c>
      <c r="E2798" s="10">
        <v>14</v>
      </c>
    </row>
    <row r="2799" spans="1:5">
      <c r="A2799" t="s">
        <v>2927</v>
      </c>
      <c r="B2799" t="s">
        <v>2928</v>
      </c>
      <c r="C2799" s="10">
        <v>6</v>
      </c>
      <c r="D2799" s="10">
        <v>0.75</v>
      </c>
      <c r="E2799" s="10">
        <v>13</v>
      </c>
    </row>
    <row r="2800" spans="1:5">
      <c r="A2800" t="s">
        <v>2929</v>
      </c>
      <c r="B2800" t="s">
        <v>2930</v>
      </c>
      <c r="C2800" s="10">
        <v>6</v>
      </c>
      <c r="D2800" s="10">
        <v>0.75</v>
      </c>
      <c r="E2800" s="10">
        <v>13</v>
      </c>
    </row>
    <row r="2801" spans="1:5">
      <c r="A2801" t="s">
        <v>2636</v>
      </c>
      <c r="B2801" t="s">
        <v>2637</v>
      </c>
      <c r="C2801" s="10">
        <v>6</v>
      </c>
      <c r="D2801" s="10">
        <v>0.75</v>
      </c>
      <c r="E2801" s="10">
        <v>13.5</v>
      </c>
    </row>
    <row r="2802" spans="1:5">
      <c r="A2802" t="s">
        <v>2931</v>
      </c>
      <c r="B2802" t="s">
        <v>2932</v>
      </c>
      <c r="C2802" s="10">
        <v>6</v>
      </c>
      <c r="D2802" s="10">
        <v>0.75</v>
      </c>
      <c r="E2802" s="10">
        <v>13</v>
      </c>
    </row>
    <row r="2803" spans="1:5">
      <c r="A2803" t="s">
        <v>2638</v>
      </c>
      <c r="B2803" t="s">
        <v>2639</v>
      </c>
      <c r="C2803" s="10">
        <v>6</v>
      </c>
      <c r="D2803" s="10">
        <v>0.75</v>
      </c>
      <c r="E2803" s="10">
        <v>14</v>
      </c>
    </row>
    <row r="2804" spans="1:5">
      <c r="A2804" t="s">
        <v>3154</v>
      </c>
      <c r="B2804" t="s">
        <v>3155</v>
      </c>
      <c r="C2804" s="10">
        <v>6</v>
      </c>
      <c r="D2804" s="10">
        <v>0.75</v>
      </c>
      <c r="E2804" s="10">
        <v>12.5</v>
      </c>
    </row>
    <row r="2805" spans="1:5">
      <c r="A2805" t="s">
        <v>9985</v>
      </c>
      <c r="B2805" t="s">
        <v>8831</v>
      </c>
      <c r="C2805" s="10">
        <v>6</v>
      </c>
      <c r="D2805" s="10">
        <v>0.75</v>
      </c>
      <c r="E2805" s="10">
        <v>13</v>
      </c>
    </row>
    <row r="2806" spans="1:5">
      <c r="A2806" t="s">
        <v>2933</v>
      </c>
      <c r="B2806" t="s">
        <v>2934</v>
      </c>
      <c r="C2806" s="10">
        <v>6</v>
      </c>
      <c r="D2806" s="10">
        <v>0.75</v>
      </c>
      <c r="E2806" s="10">
        <v>13</v>
      </c>
    </row>
    <row r="2807" spans="1:5">
      <c r="A2807" t="s">
        <v>3156</v>
      </c>
      <c r="B2807" t="s">
        <v>3157</v>
      </c>
      <c r="C2807" s="10">
        <v>6</v>
      </c>
      <c r="D2807" s="10">
        <v>0.75</v>
      </c>
      <c r="E2807" s="10">
        <v>12.5</v>
      </c>
    </row>
    <row r="2808" spans="1:5">
      <c r="A2808" t="s">
        <v>6323</v>
      </c>
      <c r="B2808" t="s">
        <v>6324</v>
      </c>
      <c r="C2808" s="10">
        <v>3</v>
      </c>
      <c r="D2808" s="10">
        <v>0.7</v>
      </c>
      <c r="E2808" s="10">
        <v>43</v>
      </c>
    </row>
    <row r="2809" spans="1:5">
      <c r="A2809" t="s">
        <v>6869</v>
      </c>
      <c r="B2809" t="s">
        <v>6870</v>
      </c>
      <c r="C2809" s="10">
        <v>12</v>
      </c>
      <c r="D2809" s="10">
        <v>1</v>
      </c>
      <c r="E2809" s="10">
        <v>0</v>
      </c>
    </row>
    <row r="2810" spans="1:5">
      <c r="A2810" t="s">
        <v>928</v>
      </c>
      <c r="B2810" t="s">
        <v>929</v>
      </c>
      <c r="C2810" s="10">
        <v>6</v>
      </c>
      <c r="D2810" s="10">
        <v>0.7</v>
      </c>
      <c r="E2810" s="10">
        <v>40</v>
      </c>
    </row>
    <row r="2811" spans="1:5">
      <c r="A2811" t="s">
        <v>4154</v>
      </c>
      <c r="B2811" t="s">
        <v>4155</v>
      </c>
      <c r="C2811" s="10">
        <v>6</v>
      </c>
      <c r="D2811" s="10">
        <v>0.7</v>
      </c>
      <c r="E2811" s="10">
        <v>46.3</v>
      </c>
    </row>
    <row r="2812" spans="1:5">
      <c r="A2812" t="s">
        <v>9986</v>
      </c>
      <c r="B2812" t="s">
        <v>8832</v>
      </c>
      <c r="C2812" s="10">
        <v>6</v>
      </c>
      <c r="D2812" s="10">
        <v>0.7</v>
      </c>
      <c r="E2812" s="10">
        <v>46.3</v>
      </c>
    </row>
    <row r="2813" spans="1:5">
      <c r="A2813" t="s">
        <v>4156</v>
      </c>
      <c r="B2813" t="s">
        <v>4157</v>
      </c>
      <c r="C2813" s="10">
        <v>6</v>
      </c>
      <c r="D2813" s="10">
        <v>0.7</v>
      </c>
      <c r="E2813" s="10">
        <v>46.3</v>
      </c>
    </row>
    <row r="2814" spans="1:5">
      <c r="A2814" t="s">
        <v>9987</v>
      </c>
      <c r="B2814" t="s">
        <v>8833</v>
      </c>
      <c r="C2814" s="10">
        <v>6</v>
      </c>
      <c r="D2814" s="10">
        <v>0.7</v>
      </c>
      <c r="E2814" s="10">
        <v>40</v>
      </c>
    </row>
    <row r="2815" spans="1:5">
      <c r="A2815" t="s">
        <v>9988</v>
      </c>
      <c r="B2815" t="s">
        <v>8834</v>
      </c>
      <c r="C2815" s="10">
        <v>6</v>
      </c>
      <c r="D2815" s="10">
        <v>0.7</v>
      </c>
      <c r="E2815" s="10">
        <v>40</v>
      </c>
    </row>
    <row r="2816" spans="1:5">
      <c r="A2816" t="s">
        <v>9989</v>
      </c>
      <c r="B2816" t="s">
        <v>8835</v>
      </c>
      <c r="C2816" s="10">
        <v>6</v>
      </c>
      <c r="D2816" s="10">
        <v>0.7</v>
      </c>
      <c r="E2816" s="10">
        <v>40</v>
      </c>
    </row>
    <row r="2817" spans="1:5">
      <c r="A2817" t="s">
        <v>9990</v>
      </c>
      <c r="B2817" t="s">
        <v>8836</v>
      </c>
      <c r="C2817" s="10">
        <v>6</v>
      </c>
      <c r="D2817" s="10">
        <v>0.7</v>
      </c>
      <c r="E2817" s="10">
        <v>40</v>
      </c>
    </row>
    <row r="2818" spans="1:5">
      <c r="A2818" t="s">
        <v>9991</v>
      </c>
      <c r="B2818" t="s">
        <v>8837</v>
      </c>
      <c r="C2818" s="10">
        <v>6</v>
      </c>
      <c r="D2818" s="10">
        <v>0.7</v>
      </c>
      <c r="E2818" s="10">
        <v>40</v>
      </c>
    </row>
    <row r="2819" spans="1:5">
      <c r="A2819" t="s">
        <v>9992</v>
      </c>
      <c r="B2819" t="s">
        <v>8838</v>
      </c>
      <c r="C2819" s="10">
        <v>6</v>
      </c>
      <c r="D2819" s="10">
        <v>0.7</v>
      </c>
      <c r="E2819" s="10">
        <v>40</v>
      </c>
    </row>
    <row r="2820" spans="1:5">
      <c r="A2820" t="s">
        <v>9993</v>
      </c>
      <c r="B2820" t="s">
        <v>8839</v>
      </c>
      <c r="C2820" s="10">
        <v>6</v>
      </c>
      <c r="D2820" s="10">
        <v>0.7</v>
      </c>
      <c r="E2820" s="10">
        <v>40</v>
      </c>
    </row>
    <row r="2821" spans="1:5">
      <c r="A2821" t="s">
        <v>9994</v>
      </c>
      <c r="B2821" t="s">
        <v>8840</v>
      </c>
      <c r="C2821" s="10">
        <v>6</v>
      </c>
      <c r="D2821" s="10">
        <v>0.7</v>
      </c>
      <c r="E2821" s="10">
        <v>40</v>
      </c>
    </row>
    <row r="2822" spans="1:5">
      <c r="A2822" t="s">
        <v>930</v>
      </c>
      <c r="B2822" t="s">
        <v>931</v>
      </c>
      <c r="C2822" s="10">
        <v>6</v>
      </c>
      <c r="D2822" s="10">
        <v>0.7</v>
      </c>
      <c r="E2822" s="10">
        <v>40</v>
      </c>
    </row>
    <row r="2823" spans="1:5">
      <c r="A2823" t="s">
        <v>9995</v>
      </c>
      <c r="B2823" t="s">
        <v>8841</v>
      </c>
      <c r="C2823" s="10">
        <v>6</v>
      </c>
      <c r="D2823" s="10">
        <v>0.7</v>
      </c>
      <c r="E2823" s="10">
        <v>40</v>
      </c>
    </row>
    <row r="2824" spans="1:5">
      <c r="A2824" t="s">
        <v>9996</v>
      </c>
      <c r="B2824" t="s">
        <v>8842</v>
      </c>
      <c r="C2824" s="10">
        <v>6</v>
      </c>
      <c r="D2824" s="10">
        <v>0.7</v>
      </c>
      <c r="E2824" s="10">
        <v>38</v>
      </c>
    </row>
    <row r="2825" spans="1:5">
      <c r="A2825" t="s">
        <v>4158</v>
      </c>
      <c r="B2825" t="s">
        <v>4159</v>
      </c>
      <c r="C2825" s="10">
        <v>6</v>
      </c>
      <c r="D2825" s="10">
        <v>0.7</v>
      </c>
      <c r="E2825" s="10">
        <v>34</v>
      </c>
    </row>
    <row r="2826" spans="1:5">
      <c r="A2826" t="s">
        <v>9997</v>
      </c>
      <c r="B2826" t="s">
        <v>8843</v>
      </c>
      <c r="C2826" s="10">
        <v>6</v>
      </c>
      <c r="D2826" s="10">
        <v>0.7</v>
      </c>
      <c r="E2826" s="10">
        <v>47</v>
      </c>
    </row>
    <row r="2827" spans="1:5">
      <c r="A2827" t="s">
        <v>2202</v>
      </c>
      <c r="B2827" t="s">
        <v>2203</v>
      </c>
      <c r="C2827" s="10">
        <v>6</v>
      </c>
      <c r="D2827" s="10">
        <v>1</v>
      </c>
      <c r="E2827" s="10">
        <v>30</v>
      </c>
    </row>
    <row r="2828" spans="1:5">
      <c r="A2828" t="s">
        <v>2204</v>
      </c>
      <c r="B2828" t="s">
        <v>2205</v>
      </c>
      <c r="C2828" s="10">
        <v>6</v>
      </c>
      <c r="D2828" s="10">
        <v>1</v>
      </c>
      <c r="E2828" s="10">
        <v>30</v>
      </c>
    </row>
    <row r="2829" spans="1:5">
      <c r="A2829" t="s">
        <v>6325</v>
      </c>
      <c r="B2829" t="s">
        <v>6326</v>
      </c>
      <c r="C2829" s="10">
        <v>3</v>
      </c>
      <c r="D2829" s="10">
        <v>0.7</v>
      </c>
      <c r="E2829" s="10">
        <v>36</v>
      </c>
    </row>
    <row r="2830" spans="1:5">
      <c r="A2830" t="s">
        <v>6327</v>
      </c>
      <c r="B2830" t="s">
        <v>6328</v>
      </c>
      <c r="C2830" s="10">
        <v>3</v>
      </c>
      <c r="D2830" s="10">
        <v>0.7</v>
      </c>
      <c r="E2830" s="10">
        <v>36</v>
      </c>
    </row>
    <row r="2831" spans="1:5">
      <c r="A2831" t="s">
        <v>4160</v>
      </c>
      <c r="B2831" t="s">
        <v>4161</v>
      </c>
      <c r="C2831" s="10">
        <v>6</v>
      </c>
      <c r="D2831" s="10">
        <v>0.7</v>
      </c>
      <c r="E2831" s="10">
        <v>36</v>
      </c>
    </row>
    <row r="2832" spans="1:5">
      <c r="A2832" t="s">
        <v>2935</v>
      </c>
      <c r="B2832" t="s">
        <v>2936</v>
      </c>
      <c r="C2832" s="10">
        <v>6</v>
      </c>
      <c r="D2832" s="10">
        <v>0.75</v>
      </c>
      <c r="E2832" s="10">
        <v>13</v>
      </c>
    </row>
    <row r="2833" spans="1:5">
      <c r="A2833" t="s">
        <v>2937</v>
      </c>
      <c r="B2833" t="s">
        <v>2938</v>
      </c>
      <c r="C2833" s="10">
        <v>6</v>
      </c>
      <c r="D2833" s="10">
        <v>0.75</v>
      </c>
      <c r="E2833" s="10">
        <v>13</v>
      </c>
    </row>
    <row r="2834" spans="1:5">
      <c r="A2834" t="s">
        <v>2939</v>
      </c>
      <c r="B2834" t="s">
        <v>2940</v>
      </c>
      <c r="C2834" s="10">
        <v>6</v>
      </c>
      <c r="D2834" s="10">
        <v>0.75</v>
      </c>
      <c r="E2834" s="10">
        <v>13</v>
      </c>
    </row>
    <row r="2835" spans="1:5">
      <c r="A2835" t="s">
        <v>9998</v>
      </c>
      <c r="B2835" t="s">
        <v>8844</v>
      </c>
      <c r="C2835" s="10">
        <v>6</v>
      </c>
      <c r="D2835" s="10">
        <v>0.7</v>
      </c>
      <c r="E2835" s="10">
        <v>44</v>
      </c>
    </row>
    <row r="2836" spans="1:5">
      <c r="A2836" t="s">
        <v>6329</v>
      </c>
      <c r="B2836" t="s">
        <v>2207</v>
      </c>
      <c r="C2836" s="10">
        <v>60</v>
      </c>
      <c r="D2836" s="10">
        <v>0.05</v>
      </c>
      <c r="E2836" s="10">
        <v>31</v>
      </c>
    </row>
    <row r="2837" spans="1:5">
      <c r="A2837" t="s">
        <v>6710</v>
      </c>
      <c r="B2837" t="s">
        <v>2207</v>
      </c>
      <c r="C2837" s="10">
        <v>12</v>
      </c>
      <c r="D2837" s="10">
        <v>0.35</v>
      </c>
      <c r="E2837" s="10">
        <v>31</v>
      </c>
    </row>
    <row r="2838" spans="1:5">
      <c r="A2838" t="s">
        <v>4162</v>
      </c>
      <c r="B2838" t="s">
        <v>2207</v>
      </c>
      <c r="C2838" s="10">
        <v>6</v>
      </c>
      <c r="D2838" s="10">
        <v>0.7</v>
      </c>
      <c r="E2838" s="10">
        <v>31</v>
      </c>
    </row>
    <row r="2839" spans="1:5">
      <c r="A2839" t="s">
        <v>2206</v>
      </c>
      <c r="B2839" t="s">
        <v>2207</v>
      </c>
      <c r="C2839" s="10">
        <v>6</v>
      </c>
      <c r="D2839" s="10">
        <v>1</v>
      </c>
      <c r="E2839" s="10">
        <v>31</v>
      </c>
    </row>
    <row r="2840" spans="1:5">
      <c r="A2840" t="s">
        <v>6871</v>
      </c>
      <c r="B2840" t="s">
        <v>2207</v>
      </c>
      <c r="C2840" s="10">
        <v>12</v>
      </c>
      <c r="D2840" s="10">
        <v>1</v>
      </c>
      <c r="E2840" s="10">
        <v>31</v>
      </c>
    </row>
    <row r="2841" spans="1:5">
      <c r="A2841" t="s">
        <v>4163</v>
      </c>
      <c r="B2841" t="s">
        <v>4164</v>
      </c>
      <c r="C2841" s="10">
        <v>6</v>
      </c>
      <c r="D2841" s="10">
        <v>0.7</v>
      </c>
      <c r="E2841" s="10">
        <v>16</v>
      </c>
    </row>
    <row r="2842" spans="1:5">
      <c r="A2842" t="s">
        <v>4165</v>
      </c>
      <c r="B2842" t="s">
        <v>4166</v>
      </c>
      <c r="C2842" s="10">
        <v>6</v>
      </c>
      <c r="D2842" s="10">
        <v>0.7</v>
      </c>
      <c r="E2842" s="10">
        <v>16</v>
      </c>
    </row>
    <row r="2843" spans="1:5">
      <c r="A2843" t="s">
        <v>6711</v>
      </c>
      <c r="B2843" t="s">
        <v>2209</v>
      </c>
      <c r="C2843" s="10">
        <v>12</v>
      </c>
      <c r="D2843" s="10">
        <v>0.35</v>
      </c>
      <c r="E2843" s="10">
        <v>16</v>
      </c>
    </row>
    <row r="2844" spans="1:5">
      <c r="A2844" t="s">
        <v>4167</v>
      </c>
      <c r="B2844" t="s">
        <v>2209</v>
      </c>
      <c r="C2844" s="10">
        <v>6</v>
      </c>
      <c r="D2844" s="10">
        <v>0.7</v>
      </c>
      <c r="E2844" s="10">
        <v>16</v>
      </c>
    </row>
    <row r="2845" spans="1:5">
      <c r="A2845" t="s">
        <v>2208</v>
      </c>
      <c r="B2845" t="s">
        <v>2209</v>
      </c>
      <c r="C2845" s="10">
        <v>6</v>
      </c>
      <c r="D2845" s="10">
        <v>1</v>
      </c>
      <c r="E2845" s="10">
        <v>16</v>
      </c>
    </row>
    <row r="2846" spans="1:5">
      <c r="A2846" t="s">
        <v>9999</v>
      </c>
      <c r="B2846" t="s">
        <v>8845</v>
      </c>
      <c r="C2846" s="10">
        <v>6</v>
      </c>
      <c r="D2846" s="10">
        <v>1</v>
      </c>
      <c r="E2846" s="10">
        <v>16</v>
      </c>
    </row>
    <row r="2847" spans="1:5">
      <c r="A2847" t="s">
        <v>6872</v>
      </c>
      <c r="B2847" t="s">
        <v>6873</v>
      </c>
      <c r="C2847" s="10">
        <v>12</v>
      </c>
      <c r="D2847" s="10">
        <v>1</v>
      </c>
      <c r="E2847" s="10">
        <v>31</v>
      </c>
    </row>
    <row r="2848" spans="1:5">
      <c r="A2848" t="s">
        <v>4168</v>
      </c>
      <c r="B2848" t="s">
        <v>4169</v>
      </c>
      <c r="C2848" s="10">
        <v>6</v>
      </c>
      <c r="D2848" s="10">
        <v>0.7</v>
      </c>
      <c r="E2848" s="10">
        <v>30</v>
      </c>
    </row>
    <row r="2849" spans="1:5">
      <c r="A2849" t="s">
        <v>4170</v>
      </c>
      <c r="B2849" t="s">
        <v>4171</v>
      </c>
      <c r="C2849" s="10">
        <v>6</v>
      </c>
      <c r="D2849" s="10">
        <v>0.7</v>
      </c>
      <c r="E2849" s="10">
        <v>22</v>
      </c>
    </row>
    <row r="2850" spans="1:5">
      <c r="A2850" t="s">
        <v>4172</v>
      </c>
      <c r="B2850" t="s">
        <v>4173</v>
      </c>
      <c r="C2850" s="10">
        <v>6</v>
      </c>
      <c r="D2850" s="10">
        <v>0.7</v>
      </c>
      <c r="E2850" s="10">
        <v>31</v>
      </c>
    </row>
    <row r="2851" spans="1:5">
      <c r="A2851" t="s">
        <v>2640</v>
      </c>
      <c r="B2851" t="s">
        <v>2641</v>
      </c>
      <c r="C2851" s="10">
        <v>6</v>
      </c>
      <c r="D2851" s="10">
        <v>0.75</v>
      </c>
      <c r="E2851" s="10">
        <v>17</v>
      </c>
    </row>
    <row r="2852" spans="1:5">
      <c r="A2852" t="s">
        <v>2642</v>
      </c>
      <c r="B2852" t="s">
        <v>2643</v>
      </c>
      <c r="C2852" s="10">
        <v>6</v>
      </c>
      <c r="D2852" s="10">
        <v>0.75</v>
      </c>
      <c r="E2852" s="10">
        <v>17</v>
      </c>
    </row>
    <row r="2853" spans="1:5">
      <c r="A2853" t="s">
        <v>2644</v>
      </c>
      <c r="B2853" t="s">
        <v>2645</v>
      </c>
      <c r="C2853" s="10">
        <v>6</v>
      </c>
      <c r="D2853" s="10">
        <v>0.75</v>
      </c>
      <c r="E2853" s="10">
        <v>17</v>
      </c>
    </row>
    <row r="2854" spans="1:5">
      <c r="A2854" t="s">
        <v>4174</v>
      </c>
      <c r="B2854" t="s">
        <v>4175</v>
      </c>
      <c r="C2854" s="10">
        <v>6</v>
      </c>
      <c r="D2854" s="10">
        <v>0.7</v>
      </c>
      <c r="E2854" s="10">
        <v>30</v>
      </c>
    </row>
    <row r="2855" spans="1:5">
      <c r="A2855" t="s">
        <v>2646</v>
      </c>
      <c r="B2855" t="s">
        <v>2647</v>
      </c>
      <c r="C2855" s="10">
        <v>6</v>
      </c>
      <c r="D2855" s="10">
        <v>0.75</v>
      </c>
      <c r="E2855" s="10">
        <v>14.5</v>
      </c>
    </row>
    <row r="2856" spans="1:5">
      <c r="A2856" t="s">
        <v>4176</v>
      </c>
      <c r="B2856" t="s">
        <v>4177</v>
      </c>
      <c r="C2856" s="10">
        <v>6</v>
      </c>
      <c r="D2856" s="10">
        <v>0.7</v>
      </c>
      <c r="E2856" s="10">
        <v>44</v>
      </c>
    </row>
    <row r="2857" spans="1:5">
      <c r="A2857" t="s">
        <v>4178</v>
      </c>
      <c r="B2857" t="s">
        <v>4179</v>
      </c>
      <c r="C2857" s="10">
        <v>6</v>
      </c>
      <c r="D2857" s="10">
        <v>0.7</v>
      </c>
      <c r="E2857" s="10">
        <v>41.5</v>
      </c>
    </row>
    <row r="2858" spans="1:5">
      <c r="A2858" t="s">
        <v>6874</v>
      </c>
      <c r="B2858" t="s">
        <v>4179</v>
      </c>
      <c r="C2858" s="10">
        <v>12</v>
      </c>
      <c r="D2858" s="10">
        <v>1</v>
      </c>
      <c r="E2858" s="10">
        <v>41.5</v>
      </c>
    </row>
    <row r="2859" spans="1:5">
      <c r="A2859" t="s">
        <v>10000</v>
      </c>
      <c r="B2859" t="s">
        <v>8846</v>
      </c>
      <c r="C2859" s="10">
        <v>6</v>
      </c>
      <c r="D2859" s="10">
        <v>0.7</v>
      </c>
      <c r="E2859" s="10">
        <v>43</v>
      </c>
    </row>
    <row r="2860" spans="1:5">
      <c r="A2860" t="s">
        <v>5238</v>
      </c>
      <c r="B2860" t="s">
        <v>5239</v>
      </c>
      <c r="C2860" s="10">
        <v>6</v>
      </c>
      <c r="D2860" s="10">
        <v>0.7</v>
      </c>
      <c r="E2860" s="10">
        <v>46</v>
      </c>
    </row>
    <row r="2861" spans="1:5">
      <c r="A2861" t="s">
        <v>10001</v>
      </c>
      <c r="B2861" t="s">
        <v>8847</v>
      </c>
      <c r="C2861" s="10">
        <v>6</v>
      </c>
      <c r="D2861" s="10">
        <v>0.7</v>
      </c>
      <c r="E2861" s="10">
        <v>46</v>
      </c>
    </row>
    <row r="2862" spans="1:5">
      <c r="A2862" t="s">
        <v>10002</v>
      </c>
      <c r="B2862" t="s">
        <v>8848</v>
      </c>
      <c r="C2862" s="10">
        <v>6</v>
      </c>
      <c r="D2862" s="10">
        <v>0.7</v>
      </c>
      <c r="E2862" s="10">
        <v>46</v>
      </c>
    </row>
    <row r="2863" spans="1:5">
      <c r="A2863" t="s">
        <v>932</v>
      </c>
      <c r="B2863" t="s">
        <v>933</v>
      </c>
      <c r="C2863" s="10">
        <v>6</v>
      </c>
      <c r="D2863" s="10">
        <v>0.7</v>
      </c>
      <c r="E2863" s="10">
        <v>40</v>
      </c>
    </row>
    <row r="2864" spans="1:5">
      <c r="A2864" t="s">
        <v>2648</v>
      </c>
      <c r="B2864" t="s">
        <v>2649</v>
      </c>
      <c r="C2864" s="10">
        <v>6</v>
      </c>
      <c r="D2864" s="10">
        <v>0.75</v>
      </c>
      <c r="E2864" s="10">
        <v>7</v>
      </c>
    </row>
    <row r="2865" spans="1:5">
      <c r="A2865" t="s">
        <v>2650</v>
      </c>
      <c r="B2865" t="s">
        <v>2651</v>
      </c>
      <c r="C2865" s="10">
        <v>6</v>
      </c>
      <c r="D2865" s="10">
        <v>0.75</v>
      </c>
      <c r="E2865" s="10">
        <v>7</v>
      </c>
    </row>
    <row r="2866" spans="1:5">
      <c r="A2866" t="s">
        <v>2652</v>
      </c>
      <c r="B2866" t="s">
        <v>2653</v>
      </c>
      <c r="C2866" s="10">
        <v>6</v>
      </c>
      <c r="D2866" s="10">
        <v>0.75</v>
      </c>
      <c r="E2866" s="10">
        <v>8</v>
      </c>
    </row>
    <row r="2867" spans="1:5">
      <c r="A2867" t="s">
        <v>6330</v>
      </c>
      <c r="B2867" t="s">
        <v>6331</v>
      </c>
      <c r="C2867" s="10">
        <v>24</v>
      </c>
      <c r="D2867" s="10">
        <v>0.2</v>
      </c>
      <c r="E2867" s="10">
        <v>0</v>
      </c>
    </row>
    <row r="2868" spans="1:5">
      <c r="A2868" t="s">
        <v>6332</v>
      </c>
      <c r="B2868" t="s">
        <v>6333</v>
      </c>
      <c r="C2868" s="10">
        <v>24</v>
      </c>
      <c r="D2868" s="10">
        <v>0.2</v>
      </c>
      <c r="E2868" s="10">
        <v>0</v>
      </c>
    </row>
    <row r="2869" spans="1:5">
      <c r="A2869" t="s">
        <v>6334</v>
      </c>
      <c r="B2869" t="s">
        <v>6335</v>
      </c>
      <c r="C2869" s="10">
        <v>24</v>
      </c>
      <c r="D2869" s="10">
        <v>0.2</v>
      </c>
      <c r="E2869" s="10">
        <v>0</v>
      </c>
    </row>
    <row r="2870" spans="1:5">
      <c r="A2870" t="s">
        <v>10003</v>
      </c>
      <c r="B2870" t="s">
        <v>8849</v>
      </c>
      <c r="C2870" s="10">
        <v>8</v>
      </c>
      <c r="D2870" s="10">
        <v>0.5</v>
      </c>
      <c r="E2870" s="10">
        <v>0</v>
      </c>
    </row>
    <row r="2871" spans="1:5">
      <c r="A2871" t="s">
        <v>6336</v>
      </c>
      <c r="B2871" t="s">
        <v>6337</v>
      </c>
      <c r="C2871" s="10">
        <v>24</v>
      </c>
      <c r="D2871" s="10">
        <v>0.2</v>
      </c>
      <c r="E2871" s="10">
        <v>0</v>
      </c>
    </row>
    <row r="2872" spans="1:5">
      <c r="A2872" t="s">
        <v>10004</v>
      </c>
      <c r="B2872" t="s">
        <v>8850</v>
      </c>
      <c r="C2872" s="10">
        <v>3</v>
      </c>
      <c r="D2872" s="10">
        <v>0.7</v>
      </c>
      <c r="E2872" s="10">
        <v>48</v>
      </c>
    </row>
    <row r="2873" spans="1:5">
      <c r="A2873" t="s">
        <v>10005</v>
      </c>
      <c r="B2873" t="s">
        <v>8851</v>
      </c>
      <c r="C2873" s="10">
        <v>6</v>
      </c>
      <c r="D2873" s="10">
        <v>0.7</v>
      </c>
      <c r="E2873" s="10">
        <v>48</v>
      </c>
    </row>
    <row r="2874" spans="1:5">
      <c r="A2874" t="s">
        <v>4180</v>
      </c>
      <c r="B2874" t="s">
        <v>4181</v>
      </c>
      <c r="C2874" s="10">
        <v>6</v>
      </c>
      <c r="D2874" s="10">
        <v>0.7</v>
      </c>
      <c r="E2874" s="10">
        <v>48</v>
      </c>
    </row>
    <row r="2875" spans="1:5">
      <c r="A2875" t="s">
        <v>10006</v>
      </c>
      <c r="B2875" t="s">
        <v>8852</v>
      </c>
      <c r="C2875" s="10">
        <v>6</v>
      </c>
      <c r="D2875" s="10">
        <v>0.7</v>
      </c>
      <c r="E2875" s="10">
        <v>52.8</v>
      </c>
    </row>
    <row r="2876" spans="1:5">
      <c r="A2876" t="s">
        <v>10007</v>
      </c>
      <c r="B2876" t="s">
        <v>8853</v>
      </c>
      <c r="C2876" s="10">
        <v>6</v>
      </c>
      <c r="D2876" s="10">
        <v>0.7</v>
      </c>
      <c r="E2876" s="10">
        <v>40</v>
      </c>
    </row>
    <row r="2877" spans="1:5">
      <c r="A2877" t="s">
        <v>10008</v>
      </c>
      <c r="B2877" t="s">
        <v>8854</v>
      </c>
      <c r="C2877" s="10">
        <v>6</v>
      </c>
      <c r="D2877" s="10">
        <v>0.7</v>
      </c>
      <c r="E2877" s="10">
        <v>46</v>
      </c>
    </row>
    <row r="2878" spans="1:5">
      <c r="A2878" t="s">
        <v>10009</v>
      </c>
      <c r="B2878" t="s">
        <v>8855</v>
      </c>
      <c r="C2878" s="10">
        <v>6</v>
      </c>
      <c r="D2878" s="10">
        <v>0.7</v>
      </c>
      <c r="E2878" s="10">
        <v>46</v>
      </c>
    </row>
    <row r="2879" spans="1:5">
      <c r="A2879" t="s">
        <v>4182</v>
      </c>
      <c r="B2879" t="s">
        <v>4183</v>
      </c>
      <c r="C2879" s="10">
        <v>6</v>
      </c>
      <c r="D2879" s="10">
        <v>0.7</v>
      </c>
      <c r="E2879" s="10">
        <v>45.1</v>
      </c>
    </row>
    <row r="2880" spans="1:5">
      <c r="A2880" t="s">
        <v>6338</v>
      </c>
      <c r="B2880" t="s">
        <v>6339</v>
      </c>
      <c r="C2880" s="10">
        <v>24</v>
      </c>
      <c r="D2880" s="10">
        <v>0.2</v>
      </c>
      <c r="E2880" s="10">
        <v>0</v>
      </c>
    </row>
    <row r="2881" spans="1:5">
      <c r="A2881" t="s">
        <v>6340</v>
      </c>
      <c r="B2881" t="s">
        <v>6341</v>
      </c>
      <c r="C2881" s="10">
        <v>24</v>
      </c>
      <c r="D2881" s="10">
        <v>0.2</v>
      </c>
      <c r="E2881" s="10">
        <v>0</v>
      </c>
    </row>
    <row r="2882" spans="1:5">
      <c r="A2882" t="s">
        <v>4184</v>
      </c>
      <c r="B2882" t="s">
        <v>4185</v>
      </c>
      <c r="C2882" s="10">
        <v>6</v>
      </c>
      <c r="D2882" s="10">
        <v>0.7</v>
      </c>
      <c r="E2882" s="10">
        <v>0</v>
      </c>
    </row>
    <row r="2883" spans="1:5">
      <c r="A2883" t="s">
        <v>10010</v>
      </c>
      <c r="B2883" t="s">
        <v>8856</v>
      </c>
      <c r="C2883" s="10">
        <v>6</v>
      </c>
      <c r="D2883" s="10">
        <v>0.7</v>
      </c>
      <c r="E2883" s="10">
        <v>43</v>
      </c>
    </row>
    <row r="2884" spans="1:5">
      <c r="A2884" t="s">
        <v>10011</v>
      </c>
      <c r="B2884" t="s">
        <v>8857</v>
      </c>
      <c r="C2884" s="10">
        <v>6</v>
      </c>
      <c r="D2884" s="10">
        <v>0.7</v>
      </c>
      <c r="E2884" s="10">
        <v>46</v>
      </c>
    </row>
    <row r="2885" spans="1:5">
      <c r="A2885" t="s">
        <v>10012</v>
      </c>
      <c r="B2885" t="s">
        <v>8858</v>
      </c>
      <c r="C2885" s="10">
        <v>6</v>
      </c>
      <c r="D2885" s="10">
        <v>0.7</v>
      </c>
      <c r="E2885" s="10">
        <v>43</v>
      </c>
    </row>
    <row r="2886" spans="1:5">
      <c r="A2886" t="s">
        <v>10013</v>
      </c>
      <c r="B2886" t="s">
        <v>8859</v>
      </c>
      <c r="C2886" s="10">
        <v>6</v>
      </c>
      <c r="D2886" s="10">
        <v>0.7</v>
      </c>
      <c r="E2886" s="10">
        <v>43</v>
      </c>
    </row>
    <row r="2887" spans="1:5">
      <c r="A2887" t="s">
        <v>10014</v>
      </c>
      <c r="B2887" t="s">
        <v>8860</v>
      </c>
      <c r="C2887" s="10">
        <v>6</v>
      </c>
      <c r="D2887" s="10">
        <v>0.7</v>
      </c>
      <c r="E2887" s="10">
        <v>43</v>
      </c>
    </row>
    <row r="2888" spans="1:5">
      <c r="A2888" t="s">
        <v>10015</v>
      </c>
      <c r="B2888" t="s">
        <v>8861</v>
      </c>
      <c r="C2888" s="10">
        <v>6</v>
      </c>
      <c r="D2888" s="10">
        <v>0.7</v>
      </c>
      <c r="E2888" s="10">
        <v>46</v>
      </c>
    </row>
    <row r="2889" spans="1:5">
      <c r="A2889" t="s">
        <v>10016</v>
      </c>
      <c r="B2889" t="s">
        <v>8862</v>
      </c>
      <c r="C2889" s="10">
        <v>6</v>
      </c>
      <c r="D2889" s="10">
        <v>0.7</v>
      </c>
      <c r="E2889" s="10">
        <v>43</v>
      </c>
    </row>
    <row r="2890" spans="1:5">
      <c r="A2890" t="s">
        <v>10017</v>
      </c>
      <c r="B2890" t="s">
        <v>8863</v>
      </c>
      <c r="C2890" s="10">
        <v>6</v>
      </c>
      <c r="D2890" s="10">
        <v>0.7</v>
      </c>
      <c r="E2890" s="10">
        <v>46</v>
      </c>
    </row>
    <row r="2891" spans="1:5">
      <c r="A2891" t="s">
        <v>5535</v>
      </c>
      <c r="B2891" t="s">
        <v>5536</v>
      </c>
      <c r="C2891" s="10">
        <v>6</v>
      </c>
      <c r="D2891" s="10">
        <v>0.7</v>
      </c>
      <c r="E2891" s="10">
        <v>43</v>
      </c>
    </row>
    <row r="2892" spans="1:5">
      <c r="A2892" t="s">
        <v>10018</v>
      </c>
      <c r="B2892" t="s">
        <v>8864</v>
      </c>
      <c r="C2892" s="10">
        <v>6</v>
      </c>
      <c r="D2892" s="10">
        <v>0.7</v>
      </c>
      <c r="E2892" s="10">
        <v>46</v>
      </c>
    </row>
    <row r="2893" spans="1:5">
      <c r="A2893" t="s">
        <v>10019</v>
      </c>
      <c r="B2893" t="s">
        <v>8865</v>
      </c>
      <c r="C2893" s="10">
        <v>6</v>
      </c>
      <c r="D2893" s="10">
        <v>0.7</v>
      </c>
      <c r="E2893" s="10">
        <v>43</v>
      </c>
    </row>
    <row r="2894" spans="1:5">
      <c r="A2894" t="s">
        <v>5942</v>
      </c>
      <c r="B2894" t="s">
        <v>5943</v>
      </c>
      <c r="C2894" s="10">
        <v>4</v>
      </c>
      <c r="D2894" s="10">
        <v>1</v>
      </c>
      <c r="E2894" s="10">
        <v>40</v>
      </c>
    </row>
    <row r="2895" spans="1:5">
      <c r="A2895" t="s">
        <v>5944</v>
      </c>
      <c r="B2895" t="s">
        <v>5945</v>
      </c>
      <c r="C2895" s="10">
        <v>4</v>
      </c>
      <c r="D2895" s="10">
        <v>1</v>
      </c>
      <c r="E2895" s="10">
        <v>40</v>
      </c>
    </row>
    <row r="2896" spans="1:5">
      <c r="A2896" t="s">
        <v>3158</v>
      </c>
      <c r="B2896" t="s">
        <v>3159</v>
      </c>
      <c r="C2896" s="10">
        <v>6</v>
      </c>
      <c r="D2896" s="10">
        <v>0.75</v>
      </c>
      <c r="E2896" s="10">
        <v>12.5</v>
      </c>
    </row>
    <row r="2897" spans="1:5">
      <c r="A2897" t="s">
        <v>10020</v>
      </c>
      <c r="B2897" t="s">
        <v>8866</v>
      </c>
      <c r="C2897" s="10">
        <v>6</v>
      </c>
      <c r="D2897" s="10">
        <v>0.75</v>
      </c>
      <c r="E2897" s="10">
        <v>12</v>
      </c>
    </row>
    <row r="2898" spans="1:5">
      <c r="A2898" t="s">
        <v>10021</v>
      </c>
      <c r="B2898" t="s">
        <v>8867</v>
      </c>
      <c r="C2898" s="10">
        <v>6</v>
      </c>
      <c r="D2898" s="10">
        <v>0.75</v>
      </c>
      <c r="E2898" s="10">
        <v>12</v>
      </c>
    </row>
    <row r="2899" spans="1:5">
      <c r="A2899" t="s">
        <v>10022</v>
      </c>
      <c r="B2899" t="s">
        <v>8868</v>
      </c>
      <c r="C2899" s="10">
        <v>6</v>
      </c>
      <c r="D2899" s="10">
        <v>0.75</v>
      </c>
      <c r="E2899" s="10">
        <v>12</v>
      </c>
    </row>
    <row r="2900" spans="1:5">
      <c r="A2900" t="s">
        <v>3047</v>
      </c>
      <c r="B2900" t="s">
        <v>3048</v>
      </c>
      <c r="C2900" s="10">
        <v>6</v>
      </c>
      <c r="D2900" s="10">
        <v>0.75</v>
      </c>
      <c r="E2900" s="10">
        <v>12</v>
      </c>
    </row>
    <row r="2901" spans="1:5">
      <c r="A2901" t="s">
        <v>6342</v>
      </c>
      <c r="B2901" t="s">
        <v>6343</v>
      </c>
      <c r="C2901" s="10">
        <v>3</v>
      </c>
      <c r="D2901" s="10">
        <v>0.75</v>
      </c>
      <c r="E2901" s="10">
        <v>12</v>
      </c>
    </row>
    <row r="2902" spans="1:5">
      <c r="A2902" t="s">
        <v>6344</v>
      </c>
      <c r="B2902" t="s">
        <v>8869</v>
      </c>
      <c r="C2902" s="10">
        <v>3</v>
      </c>
      <c r="D2902" s="10">
        <v>0.75</v>
      </c>
      <c r="E2902" s="10">
        <v>12</v>
      </c>
    </row>
    <row r="2903" spans="1:5">
      <c r="A2903" t="s">
        <v>6345</v>
      </c>
      <c r="B2903" t="s">
        <v>6346</v>
      </c>
      <c r="C2903" s="10">
        <v>3</v>
      </c>
      <c r="D2903" s="10">
        <v>1.5</v>
      </c>
      <c r="E2903" s="10">
        <v>12.5</v>
      </c>
    </row>
    <row r="2904" spans="1:5">
      <c r="A2904" t="s">
        <v>10023</v>
      </c>
      <c r="B2904" t="s">
        <v>8870</v>
      </c>
      <c r="C2904" s="10">
        <v>6</v>
      </c>
      <c r="D2904" s="10">
        <v>0.75</v>
      </c>
      <c r="E2904" s="10">
        <v>12.5</v>
      </c>
    </row>
    <row r="2905" spans="1:5">
      <c r="A2905" t="s">
        <v>3160</v>
      </c>
      <c r="B2905" t="s">
        <v>3161</v>
      </c>
      <c r="C2905" s="10">
        <v>6</v>
      </c>
      <c r="D2905" s="10">
        <v>0.75</v>
      </c>
      <c r="E2905" s="10">
        <v>12.5</v>
      </c>
    </row>
    <row r="2906" spans="1:5">
      <c r="A2906" t="s">
        <v>3162</v>
      </c>
      <c r="B2906" t="s">
        <v>3163</v>
      </c>
      <c r="C2906" s="10">
        <v>6</v>
      </c>
      <c r="D2906" s="10">
        <v>0.75</v>
      </c>
      <c r="E2906" s="10">
        <v>12.5</v>
      </c>
    </row>
    <row r="2907" spans="1:5">
      <c r="A2907" t="s">
        <v>10024</v>
      </c>
      <c r="B2907" t="s">
        <v>8871</v>
      </c>
      <c r="C2907" s="10">
        <v>6</v>
      </c>
      <c r="D2907" s="10">
        <v>0.75</v>
      </c>
      <c r="E2907" s="10">
        <v>12.5</v>
      </c>
    </row>
    <row r="2908" spans="1:5">
      <c r="A2908" t="s">
        <v>3164</v>
      </c>
      <c r="B2908" t="s">
        <v>3165</v>
      </c>
      <c r="C2908" s="10">
        <v>6</v>
      </c>
      <c r="D2908" s="10">
        <v>0.75</v>
      </c>
      <c r="E2908" s="10">
        <v>12.5</v>
      </c>
    </row>
    <row r="2909" spans="1:5">
      <c r="A2909" t="s">
        <v>3166</v>
      </c>
      <c r="B2909" t="s">
        <v>3167</v>
      </c>
      <c r="C2909" s="10">
        <v>6</v>
      </c>
      <c r="D2909" s="10">
        <v>0.75</v>
      </c>
      <c r="E2909" s="10">
        <v>12.5</v>
      </c>
    </row>
    <row r="2910" spans="1:5">
      <c r="A2910" t="s">
        <v>3168</v>
      </c>
      <c r="B2910" t="s">
        <v>3169</v>
      </c>
      <c r="C2910" s="10">
        <v>6</v>
      </c>
      <c r="D2910" s="10">
        <v>0.75</v>
      </c>
      <c r="E2910" s="10">
        <v>12.5</v>
      </c>
    </row>
    <row r="2911" spans="1:5">
      <c r="A2911" t="s">
        <v>6712</v>
      </c>
      <c r="B2911" t="s">
        <v>3169</v>
      </c>
      <c r="C2911" s="10">
        <v>12</v>
      </c>
      <c r="D2911" s="10">
        <v>0.75</v>
      </c>
      <c r="E2911" s="10">
        <v>12.5</v>
      </c>
    </row>
    <row r="2912" spans="1:5">
      <c r="A2912" t="s">
        <v>3170</v>
      </c>
      <c r="B2912" t="s">
        <v>3169</v>
      </c>
      <c r="C2912" s="10">
        <v>6</v>
      </c>
      <c r="D2912" s="10">
        <v>0.75</v>
      </c>
      <c r="E2912" s="10">
        <v>12.5</v>
      </c>
    </row>
    <row r="2913" spans="1:5">
      <c r="A2913" t="s">
        <v>10025</v>
      </c>
      <c r="B2913" t="s">
        <v>8872</v>
      </c>
      <c r="C2913" s="10">
        <v>4</v>
      </c>
      <c r="D2913" s="10">
        <v>0.75</v>
      </c>
      <c r="E2913" s="10">
        <v>12.5</v>
      </c>
    </row>
    <row r="2914" spans="1:5">
      <c r="A2914" t="s">
        <v>10026</v>
      </c>
      <c r="B2914" t="s">
        <v>8873</v>
      </c>
      <c r="C2914" s="10">
        <v>6</v>
      </c>
      <c r="D2914" s="10">
        <v>0.75</v>
      </c>
      <c r="E2914" s="10">
        <v>12.5</v>
      </c>
    </row>
    <row r="2915" spans="1:5">
      <c r="A2915" t="s">
        <v>10027</v>
      </c>
      <c r="B2915" t="s">
        <v>8874</v>
      </c>
      <c r="C2915" s="10">
        <v>6</v>
      </c>
      <c r="D2915" s="10">
        <v>0.75</v>
      </c>
      <c r="E2915" s="10">
        <v>12.5</v>
      </c>
    </row>
    <row r="2916" spans="1:5">
      <c r="A2916" t="s">
        <v>3171</v>
      </c>
      <c r="B2916" t="s">
        <v>3172</v>
      </c>
      <c r="C2916" s="10">
        <v>6</v>
      </c>
      <c r="D2916" s="10">
        <v>0.75</v>
      </c>
      <c r="E2916" s="10">
        <v>12.5</v>
      </c>
    </row>
    <row r="2917" spans="1:5">
      <c r="A2917" t="s">
        <v>6347</v>
      </c>
      <c r="B2917" t="s">
        <v>6348</v>
      </c>
      <c r="C2917" s="10">
        <v>3</v>
      </c>
      <c r="D2917" s="10">
        <v>1.5</v>
      </c>
      <c r="E2917" s="10">
        <v>12.5</v>
      </c>
    </row>
    <row r="2918" spans="1:5">
      <c r="A2918" t="s">
        <v>10028</v>
      </c>
      <c r="B2918" t="s">
        <v>8875</v>
      </c>
      <c r="C2918" s="10">
        <v>6</v>
      </c>
      <c r="D2918" s="10">
        <v>0.75</v>
      </c>
      <c r="E2918" s="10">
        <v>13.5</v>
      </c>
    </row>
    <row r="2919" spans="1:5">
      <c r="A2919" t="s">
        <v>4186</v>
      </c>
      <c r="B2919" t="s">
        <v>4187</v>
      </c>
      <c r="C2919" s="10">
        <v>6</v>
      </c>
      <c r="D2919" s="10">
        <v>0.7</v>
      </c>
      <c r="E2919" s="10">
        <v>24</v>
      </c>
    </row>
    <row r="2920" spans="1:5">
      <c r="A2920" t="s">
        <v>4188</v>
      </c>
      <c r="B2920" t="s">
        <v>4189</v>
      </c>
      <c r="C2920" s="10">
        <v>6</v>
      </c>
      <c r="D2920" s="10">
        <v>0.7</v>
      </c>
      <c r="E2920" s="10">
        <v>30</v>
      </c>
    </row>
    <row r="2921" spans="1:5">
      <c r="A2921" t="s">
        <v>4190</v>
      </c>
      <c r="B2921" t="s">
        <v>4191</v>
      </c>
      <c r="C2921" s="10">
        <v>6</v>
      </c>
      <c r="D2921" s="10">
        <v>0.7</v>
      </c>
      <c r="E2921" s="10">
        <v>27</v>
      </c>
    </row>
    <row r="2922" spans="1:5">
      <c r="A2922" t="s">
        <v>10029</v>
      </c>
      <c r="B2922" t="s">
        <v>8876</v>
      </c>
      <c r="C2922" s="10">
        <v>6</v>
      </c>
      <c r="D2922" s="10">
        <v>0.7</v>
      </c>
      <c r="E2922" s="10">
        <v>32</v>
      </c>
    </row>
    <row r="2923" spans="1:5">
      <c r="A2923" t="s">
        <v>4192</v>
      </c>
      <c r="B2923" t="s">
        <v>4193</v>
      </c>
      <c r="C2923" s="10">
        <v>6</v>
      </c>
      <c r="D2923" s="10">
        <v>0.7</v>
      </c>
      <c r="E2923" s="10">
        <v>32</v>
      </c>
    </row>
    <row r="2924" spans="1:5">
      <c r="A2924" t="s">
        <v>1859</v>
      </c>
      <c r="B2924" t="s">
        <v>1860</v>
      </c>
      <c r="C2924" s="10">
        <v>6</v>
      </c>
      <c r="D2924" s="10">
        <v>0.5</v>
      </c>
      <c r="E2924" s="10">
        <v>32</v>
      </c>
    </row>
    <row r="2925" spans="1:5">
      <c r="A2925" t="s">
        <v>10030</v>
      </c>
      <c r="B2925" t="s">
        <v>8877</v>
      </c>
      <c r="C2925" s="10">
        <v>6</v>
      </c>
      <c r="D2925" s="10">
        <v>0.7</v>
      </c>
      <c r="E2925" s="10">
        <v>38</v>
      </c>
    </row>
    <row r="2926" spans="1:5">
      <c r="A2926" t="s">
        <v>5067</v>
      </c>
      <c r="B2926" t="s">
        <v>5068</v>
      </c>
      <c r="C2926" s="10">
        <v>6</v>
      </c>
      <c r="D2926" s="10">
        <v>0.7</v>
      </c>
      <c r="E2926" s="10">
        <v>38</v>
      </c>
    </row>
    <row r="2927" spans="1:5">
      <c r="A2927" t="s">
        <v>4194</v>
      </c>
      <c r="B2927" t="s">
        <v>4195</v>
      </c>
      <c r="C2927" s="10">
        <v>6</v>
      </c>
      <c r="D2927" s="10">
        <v>0.7</v>
      </c>
      <c r="E2927" s="10">
        <v>0</v>
      </c>
    </row>
    <row r="2928" spans="1:5">
      <c r="A2928" t="s">
        <v>2941</v>
      </c>
      <c r="B2928" t="s">
        <v>2942</v>
      </c>
      <c r="C2928" s="10">
        <v>6</v>
      </c>
      <c r="D2928" s="10">
        <v>0.75</v>
      </c>
      <c r="E2928" s="10">
        <v>13</v>
      </c>
    </row>
    <row r="2929" spans="1:5">
      <c r="A2929" t="s">
        <v>10031</v>
      </c>
      <c r="B2929" t="s">
        <v>8878</v>
      </c>
      <c r="C2929" s="10">
        <v>6</v>
      </c>
      <c r="D2929" s="10">
        <v>0.7</v>
      </c>
      <c r="E2929" s="10">
        <v>40</v>
      </c>
    </row>
    <row r="2930" spans="1:5">
      <c r="A2930" t="s">
        <v>2210</v>
      </c>
      <c r="B2930" t="s">
        <v>2211</v>
      </c>
      <c r="C2930" s="10">
        <v>6</v>
      </c>
      <c r="D2930" s="10">
        <v>1</v>
      </c>
      <c r="E2930" s="10">
        <v>36</v>
      </c>
    </row>
    <row r="2931" spans="1:5">
      <c r="A2931" t="s">
        <v>1861</v>
      </c>
      <c r="B2931" t="s">
        <v>1862</v>
      </c>
      <c r="C2931" s="10">
        <v>6</v>
      </c>
      <c r="D2931" s="10">
        <v>0.5</v>
      </c>
      <c r="E2931" s="10">
        <v>48.8</v>
      </c>
    </row>
    <row r="2932" spans="1:5">
      <c r="A2932" t="s">
        <v>4196</v>
      </c>
      <c r="B2932" t="s">
        <v>4197</v>
      </c>
      <c r="C2932" s="10">
        <v>6</v>
      </c>
      <c r="D2932" s="10">
        <v>0.7</v>
      </c>
      <c r="E2932" s="10">
        <v>46.1</v>
      </c>
    </row>
    <row r="2933" spans="1:5">
      <c r="A2933" t="s">
        <v>4198</v>
      </c>
      <c r="B2933" t="s">
        <v>4199</v>
      </c>
      <c r="C2933" s="10">
        <v>6</v>
      </c>
      <c r="D2933" s="10">
        <v>0.7</v>
      </c>
      <c r="E2933" s="10">
        <v>41.4</v>
      </c>
    </row>
    <row r="2934" spans="1:5">
      <c r="A2934" t="s">
        <v>10032</v>
      </c>
      <c r="B2934" t="s">
        <v>8879</v>
      </c>
      <c r="C2934" s="10">
        <v>6</v>
      </c>
      <c r="D2934" s="10">
        <v>0.7</v>
      </c>
      <c r="E2934" s="10">
        <v>48.7</v>
      </c>
    </row>
    <row r="2935" spans="1:5">
      <c r="A2935" t="s">
        <v>1863</v>
      </c>
      <c r="B2935" t="s">
        <v>1864</v>
      </c>
      <c r="C2935" s="10">
        <v>6</v>
      </c>
      <c r="D2935" s="10">
        <v>0.5</v>
      </c>
      <c r="E2935" s="10">
        <v>46.1</v>
      </c>
    </row>
    <row r="2936" spans="1:5">
      <c r="A2936" t="s">
        <v>10033</v>
      </c>
      <c r="B2936" t="s">
        <v>8880</v>
      </c>
      <c r="C2936" s="10">
        <v>6</v>
      </c>
      <c r="D2936" s="10">
        <v>0.7</v>
      </c>
      <c r="E2936" s="10">
        <v>40</v>
      </c>
    </row>
    <row r="2937" spans="1:5">
      <c r="A2937" t="s">
        <v>10034</v>
      </c>
      <c r="B2937" t="s">
        <v>8881</v>
      </c>
      <c r="C2937" s="10">
        <v>6</v>
      </c>
      <c r="D2937" s="10">
        <v>0.7</v>
      </c>
      <c r="E2937" s="10">
        <v>46.1</v>
      </c>
    </row>
    <row r="2938" spans="1:5">
      <c r="A2938" t="s">
        <v>4200</v>
      </c>
      <c r="B2938" t="s">
        <v>4201</v>
      </c>
      <c r="C2938" s="10">
        <v>6</v>
      </c>
      <c r="D2938" s="10">
        <v>0.7</v>
      </c>
      <c r="E2938" s="10">
        <v>46.6</v>
      </c>
    </row>
    <row r="2939" spans="1:5">
      <c r="A2939" t="s">
        <v>4202</v>
      </c>
      <c r="B2939" t="s">
        <v>4203</v>
      </c>
      <c r="C2939" s="10">
        <v>6</v>
      </c>
      <c r="D2939" s="10">
        <v>0.7</v>
      </c>
      <c r="E2939" s="10">
        <v>44</v>
      </c>
    </row>
    <row r="2940" spans="1:5">
      <c r="A2940" t="s">
        <v>10035</v>
      </c>
      <c r="B2940" t="s">
        <v>8882</v>
      </c>
      <c r="C2940" s="10">
        <v>6</v>
      </c>
      <c r="D2940" s="10">
        <v>0.7</v>
      </c>
      <c r="E2940" s="10">
        <v>46.8</v>
      </c>
    </row>
    <row r="2941" spans="1:5">
      <c r="A2941" t="s">
        <v>4204</v>
      </c>
      <c r="B2941" t="s">
        <v>4205</v>
      </c>
      <c r="C2941" s="10">
        <v>6</v>
      </c>
      <c r="D2941" s="10">
        <v>0.7</v>
      </c>
      <c r="E2941" s="10">
        <v>43.7</v>
      </c>
    </row>
    <row r="2942" spans="1:5">
      <c r="A2942" t="s">
        <v>10036</v>
      </c>
      <c r="B2942" t="s">
        <v>8883</v>
      </c>
      <c r="C2942" s="10">
        <v>6</v>
      </c>
      <c r="D2942" s="10">
        <v>0.7</v>
      </c>
      <c r="E2942" s="10">
        <v>46.1</v>
      </c>
    </row>
    <row r="2943" spans="1:5">
      <c r="A2943" t="s">
        <v>4206</v>
      </c>
      <c r="B2943" t="s">
        <v>4207</v>
      </c>
      <c r="C2943" s="10">
        <v>6</v>
      </c>
      <c r="D2943" s="10">
        <v>0.7</v>
      </c>
      <c r="E2943" s="10">
        <v>46.1</v>
      </c>
    </row>
    <row r="2944" spans="1:5">
      <c r="A2944" t="s">
        <v>10037</v>
      </c>
      <c r="B2944" t="s">
        <v>6349</v>
      </c>
      <c r="C2944" s="10">
        <v>9</v>
      </c>
      <c r="D2944" s="10">
        <v>0.5</v>
      </c>
      <c r="E2944" s="10">
        <v>46.1</v>
      </c>
    </row>
    <row r="2945" spans="1:5">
      <c r="A2945" t="s">
        <v>10038</v>
      </c>
      <c r="B2945" t="s">
        <v>8884</v>
      </c>
      <c r="C2945" s="10">
        <v>6</v>
      </c>
      <c r="D2945" s="10">
        <v>0.7</v>
      </c>
      <c r="E2945" s="10">
        <v>46</v>
      </c>
    </row>
    <row r="2946" spans="1:5">
      <c r="A2946" t="s">
        <v>10039</v>
      </c>
      <c r="B2946" t="s">
        <v>8885</v>
      </c>
      <c r="C2946" s="10">
        <v>6</v>
      </c>
      <c r="D2946" s="10">
        <v>0.7</v>
      </c>
      <c r="E2946" s="10">
        <v>48</v>
      </c>
    </row>
    <row r="2947" spans="1:5">
      <c r="A2947" t="s">
        <v>5240</v>
      </c>
      <c r="B2947" t="s">
        <v>5241</v>
      </c>
      <c r="C2947" s="10">
        <v>6</v>
      </c>
      <c r="D2947" s="10">
        <v>0.7</v>
      </c>
      <c r="E2947" s="10">
        <v>46</v>
      </c>
    </row>
    <row r="2948" spans="1:5">
      <c r="A2948" t="s">
        <v>4208</v>
      </c>
      <c r="B2948" t="s">
        <v>4209</v>
      </c>
      <c r="C2948" s="10">
        <v>6</v>
      </c>
      <c r="D2948" s="10">
        <v>0.7</v>
      </c>
      <c r="E2948" s="10">
        <v>58.2</v>
      </c>
    </row>
    <row r="2949" spans="1:5">
      <c r="A2949" t="s">
        <v>5242</v>
      </c>
      <c r="B2949" t="s">
        <v>5243</v>
      </c>
      <c r="C2949" s="10">
        <v>6</v>
      </c>
      <c r="D2949" s="10">
        <v>0.7</v>
      </c>
      <c r="E2949" s="10">
        <v>46</v>
      </c>
    </row>
    <row r="2950" spans="1:5">
      <c r="A2950" t="s">
        <v>2654</v>
      </c>
      <c r="B2950" t="s">
        <v>2655</v>
      </c>
      <c r="C2950" s="10">
        <v>6</v>
      </c>
      <c r="D2950" s="10">
        <v>0.75</v>
      </c>
      <c r="E2950" s="10">
        <v>17.5</v>
      </c>
    </row>
    <row r="2951" spans="1:5">
      <c r="A2951" t="s">
        <v>6350</v>
      </c>
      <c r="B2951" t="s">
        <v>6351</v>
      </c>
      <c r="C2951" s="10">
        <v>24</v>
      </c>
      <c r="D2951" s="10">
        <v>0.33</v>
      </c>
      <c r="E2951" s="10">
        <v>4.5</v>
      </c>
    </row>
    <row r="2952" spans="1:5">
      <c r="A2952" t="s">
        <v>6714</v>
      </c>
      <c r="B2952" t="s">
        <v>6713</v>
      </c>
      <c r="C2952" s="10">
        <v>12</v>
      </c>
      <c r="D2952" s="10">
        <v>568</v>
      </c>
      <c r="E2952" s="10">
        <v>4.5</v>
      </c>
    </row>
    <row r="2953" spans="1:5">
      <c r="A2953" t="s">
        <v>934</v>
      </c>
      <c r="B2953" t="s">
        <v>935</v>
      </c>
      <c r="C2953" s="10">
        <v>6</v>
      </c>
      <c r="D2953" s="10">
        <v>0.7</v>
      </c>
      <c r="E2953" s="10">
        <v>40</v>
      </c>
    </row>
    <row r="2954" spans="1:5">
      <c r="A2954" t="s">
        <v>4775</v>
      </c>
      <c r="B2954" t="s">
        <v>2213</v>
      </c>
      <c r="C2954" s="10">
        <v>6</v>
      </c>
      <c r="D2954" s="10">
        <v>0.7</v>
      </c>
      <c r="E2954" s="10">
        <v>45</v>
      </c>
    </row>
    <row r="2955" spans="1:5">
      <c r="A2955" t="s">
        <v>2212</v>
      </c>
      <c r="B2955" t="s">
        <v>2213</v>
      </c>
      <c r="C2955" s="10">
        <v>6</v>
      </c>
      <c r="D2955" s="10">
        <v>1</v>
      </c>
      <c r="E2955" s="10">
        <v>45</v>
      </c>
    </row>
    <row r="2956" spans="1:5">
      <c r="A2956" t="s">
        <v>10040</v>
      </c>
      <c r="B2956" t="s">
        <v>8886</v>
      </c>
      <c r="C2956" s="10">
        <v>6</v>
      </c>
      <c r="D2956" s="10">
        <v>1</v>
      </c>
      <c r="E2956" s="10">
        <v>45</v>
      </c>
    </row>
    <row r="2957" spans="1:5">
      <c r="A2957" t="s">
        <v>10041</v>
      </c>
      <c r="B2957" t="s">
        <v>8887</v>
      </c>
      <c r="C2957" s="10">
        <v>6</v>
      </c>
      <c r="D2957" s="10">
        <v>1</v>
      </c>
      <c r="E2957" s="10">
        <v>50.5</v>
      </c>
    </row>
    <row r="2958" spans="1:5">
      <c r="A2958" t="s">
        <v>4210</v>
      </c>
      <c r="B2958" t="s">
        <v>4211</v>
      </c>
      <c r="C2958" s="10">
        <v>6</v>
      </c>
      <c r="D2958" s="10">
        <v>0.7</v>
      </c>
      <c r="E2958" s="10">
        <v>47</v>
      </c>
    </row>
    <row r="2959" spans="1:5">
      <c r="A2959" t="s">
        <v>4212</v>
      </c>
      <c r="B2959" t="s">
        <v>4211</v>
      </c>
      <c r="C2959" s="10">
        <v>6</v>
      </c>
      <c r="D2959" s="10">
        <v>0.7</v>
      </c>
      <c r="E2959" s="10">
        <v>47</v>
      </c>
    </row>
    <row r="2960" spans="1:5">
      <c r="A2960" t="s">
        <v>4213</v>
      </c>
      <c r="B2960" t="s">
        <v>4214</v>
      </c>
      <c r="C2960" s="10">
        <v>6</v>
      </c>
      <c r="D2960" s="10">
        <v>0.7</v>
      </c>
      <c r="E2960" s="10">
        <v>47</v>
      </c>
    </row>
    <row r="2961" spans="1:5">
      <c r="A2961" t="s">
        <v>2656</v>
      </c>
      <c r="B2961" t="s">
        <v>2657</v>
      </c>
      <c r="C2961" s="10">
        <v>6</v>
      </c>
      <c r="D2961" s="10">
        <v>0.75</v>
      </c>
      <c r="E2961" s="10">
        <v>15</v>
      </c>
    </row>
    <row r="2962" spans="1:5">
      <c r="A2962" t="s">
        <v>4215</v>
      </c>
      <c r="B2962" t="s">
        <v>4216</v>
      </c>
      <c r="C2962" s="10">
        <v>6</v>
      </c>
      <c r="D2962" s="10">
        <v>0.7</v>
      </c>
      <c r="E2962" s="10">
        <v>41</v>
      </c>
    </row>
    <row r="2963" spans="1:5">
      <c r="A2963" t="s">
        <v>4217</v>
      </c>
      <c r="B2963" t="s">
        <v>4218</v>
      </c>
      <c r="C2963" s="10">
        <v>6</v>
      </c>
      <c r="D2963" s="10">
        <v>0.7</v>
      </c>
      <c r="E2963" s="10">
        <v>41</v>
      </c>
    </row>
    <row r="2964" spans="1:5">
      <c r="A2964" t="s">
        <v>4219</v>
      </c>
      <c r="B2964" t="s">
        <v>4220</v>
      </c>
      <c r="C2964" s="10">
        <v>6</v>
      </c>
      <c r="D2964" s="10">
        <v>0.7</v>
      </c>
      <c r="E2964" s="10">
        <v>41</v>
      </c>
    </row>
    <row r="2965" spans="1:5">
      <c r="A2965" t="s">
        <v>10042</v>
      </c>
      <c r="B2965" t="s">
        <v>8888</v>
      </c>
      <c r="C2965" s="10">
        <v>1</v>
      </c>
      <c r="D2965" s="10">
        <v>0.2</v>
      </c>
      <c r="E2965" s="10">
        <v>41</v>
      </c>
    </row>
    <row r="2966" spans="1:5">
      <c r="A2966" t="s">
        <v>4221</v>
      </c>
      <c r="B2966" t="s">
        <v>4222</v>
      </c>
      <c r="C2966" s="10">
        <v>6</v>
      </c>
      <c r="D2966" s="10">
        <v>0.7</v>
      </c>
      <c r="E2966" s="10">
        <v>41</v>
      </c>
    </row>
    <row r="2967" spans="1:5">
      <c r="A2967" t="s">
        <v>1665</v>
      </c>
      <c r="B2967" t="s">
        <v>1666</v>
      </c>
      <c r="C2967" s="10">
        <v>6</v>
      </c>
      <c r="D2967" s="10">
        <v>0.35</v>
      </c>
      <c r="E2967" s="10">
        <v>21</v>
      </c>
    </row>
    <row r="2968" spans="1:5">
      <c r="A2968" t="s">
        <v>4223</v>
      </c>
      <c r="B2968" t="s">
        <v>1666</v>
      </c>
      <c r="C2968" s="10">
        <v>6</v>
      </c>
      <c r="D2968" s="10">
        <v>0.7</v>
      </c>
      <c r="E2968" s="10">
        <v>18</v>
      </c>
    </row>
    <row r="2969" spans="1:5">
      <c r="A2969" t="s">
        <v>4224</v>
      </c>
      <c r="B2969" t="s">
        <v>1666</v>
      </c>
      <c r="C2969" s="10">
        <v>6</v>
      </c>
      <c r="D2969" s="10">
        <v>0.7</v>
      </c>
      <c r="E2969" s="10">
        <v>21</v>
      </c>
    </row>
    <row r="2970" spans="1:5">
      <c r="A2970" t="s">
        <v>2214</v>
      </c>
      <c r="B2970" t="s">
        <v>1666</v>
      </c>
      <c r="C2970" s="10">
        <v>6</v>
      </c>
      <c r="D2970" s="10">
        <v>1</v>
      </c>
      <c r="E2970" s="10">
        <v>21</v>
      </c>
    </row>
    <row r="2971" spans="1:5">
      <c r="A2971" t="s">
        <v>2215</v>
      </c>
      <c r="B2971" t="s">
        <v>1666</v>
      </c>
      <c r="C2971" s="10">
        <v>6</v>
      </c>
      <c r="D2971" s="10">
        <v>1</v>
      </c>
      <c r="E2971" s="10">
        <v>21</v>
      </c>
    </row>
    <row r="2972" spans="1:5">
      <c r="A2972" t="s">
        <v>10043</v>
      </c>
      <c r="B2972" t="s">
        <v>8889</v>
      </c>
      <c r="C2972" s="10">
        <v>6</v>
      </c>
      <c r="D2972" s="10">
        <v>1</v>
      </c>
      <c r="E2972" s="10">
        <v>35</v>
      </c>
    </row>
    <row r="2973" spans="1:5">
      <c r="A2973" t="s">
        <v>4225</v>
      </c>
      <c r="B2973" t="s">
        <v>4226</v>
      </c>
      <c r="C2973" s="10">
        <v>6</v>
      </c>
      <c r="D2973" s="10">
        <v>0.7</v>
      </c>
      <c r="E2973" s="10">
        <v>21</v>
      </c>
    </row>
    <row r="2974" spans="1:5">
      <c r="A2974" t="s">
        <v>4227</v>
      </c>
      <c r="B2974" t="s">
        <v>4228</v>
      </c>
      <c r="C2974" s="10">
        <v>6</v>
      </c>
      <c r="D2974" s="10">
        <v>0.7</v>
      </c>
      <c r="E2974" s="10">
        <v>21</v>
      </c>
    </row>
    <row r="2975" spans="1:5">
      <c r="A2975" t="s">
        <v>6352</v>
      </c>
      <c r="B2975" t="s">
        <v>6353</v>
      </c>
      <c r="C2975" s="10">
        <v>120</v>
      </c>
      <c r="D2975" s="10">
        <v>0.05</v>
      </c>
      <c r="E2975" s="10">
        <v>21</v>
      </c>
    </row>
    <row r="2976" spans="1:5">
      <c r="A2976" t="s">
        <v>4229</v>
      </c>
      <c r="B2976" t="s">
        <v>4230</v>
      </c>
      <c r="C2976" s="10">
        <v>6</v>
      </c>
      <c r="D2976" s="10">
        <v>0.7</v>
      </c>
      <c r="E2976" s="10">
        <v>21</v>
      </c>
    </row>
    <row r="2977" spans="1:5">
      <c r="A2977" t="s">
        <v>4231</v>
      </c>
      <c r="B2977" t="s">
        <v>4232</v>
      </c>
      <c r="C2977" s="10">
        <v>6</v>
      </c>
      <c r="D2977" s="10">
        <v>0.7</v>
      </c>
      <c r="E2977" s="10">
        <v>21</v>
      </c>
    </row>
    <row r="2978" spans="1:5">
      <c r="A2978" t="s">
        <v>10044</v>
      </c>
      <c r="B2978" t="s">
        <v>8890</v>
      </c>
      <c r="C2978" s="10">
        <v>6</v>
      </c>
      <c r="D2978" s="10">
        <v>0.7</v>
      </c>
      <c r="E2978" s="10">
        <v>40</v>
      </c>
    </row>
    <row r="2979" spans="1:5">
      <c r="A2979" t="s">
        <v>10045</v>
      </c>
      <c r="B2979" t="s">
        <v>8891</v>
      </c>
      <c r="C2979" s="10">
        <v>6</v>
      </c>
      <c r="D2979" s="10">
        <v>0.7</v>
      </c>
      <c r="E2979" s="10">
        <v>40</v>
      </c>
    </row>
    <row r="2980" spans="1:5">
      <c r="A2980" t="s">
        <v>2216</v>
      </c>
      <c r="B2980" t="s">
        <v>2217</v>
      </c>
      <c r="C2980" s="10">
        <v>6</v>
      </c>
      <c r="D2980" s="10">
        <v>1</v>
      </c>
      <c r="E2980" s="10">
        <v>35</v>
      </c>
    </row>
    <row r="2981" spans="1:5">
      <c r="A2981" t="s">
        <v>1589</v>
      </c>
      <c r="B2981" t="s">
        <v>1590</v>
      </c>
      <c r="C2981" s="10">
        <v>6</v>
      </c>
      <c r="D2981" s="10">
        <v>0.5</v>
      </c>
      <c r="E2981" s="10">
        <v>40</v>
      </c>
    </row>
    <row r="2982" spans="1:5">
      <c r="A2982" t="s">
        <v>10046</v>
      </c>
      <c r="B2982" t="s">
        <v>937</v>
      </c>
      <c r="C2982" s="10">
        <v>6</v>
      </c>
      <c r="D2982" s="10">
        <v>0.5</v>
      </c>
      <c r="E2982" s="10">
        <v>40</v>
      </c>
    </row>
    <row r="2983" spans="1:5">
      <c r="A2983" t="s">
        <v>936</v>
      </c>
      <c r="B2983" t="s">
        <v>937</v>
      </c>
      <c r="C2983" s="10">
        <v>6</v>
      </c>
      <c r="D2983" s="10">
        <v>0.7</v>
      </c>
      <c r="E2983" s="10">
        <v>40</v>
      </c>
    </row>
    <row r="2984" spans="1:5">
      <c r="A2984" t="s">
        <v>5069</v>
      </c>
      <c r="B2984" t="s">
        <v>5070</v>
      </c>
      <c r="C2984" s="10">
        <v>6</v>
      </c>
      <c r="D2984" s="10">
        <v>0.7</v>
      </c>
      <c r="E2984" s="10">
        <v>38</v>
      </c>
    </row>
    <row r="2985" spans="1:5">
      <c r="A2985" t="s">
        <v>10047</v>
      </c>
      <c r="B2985" t="s">
        <v>8892</v>
      </c>
      <c r="C2985" s="10">
        <v>6</v>
      </c>
      <c r="D2985" s="10">
        <v>0.7</v>
      </c>
      <c r="E2985" s="10">
        <v>43</v>
      </c>
    </row>
    <row r="2986" spans="1:5">
      <c r="A2986" t="s">
        <v>6046</v>
      </c>
      <c r="B2986" t="s">
        <v>6047</v>
      </c>
      <c r="C2986" s="10">
        <v>4</v>
      </c>
      <c r="D2986" s="10">
        <v>0.7</v>
      </c>
      <c r="E2986" s="10">
        <v>40</v>
      </c>
    </row>
    <row r="2987" spans="1:5">
      <c r="A2987" t="s">
        <v>10048</v>
      </c>
      <c r="B2987" t="s">
        <v>8893</v>
      </c>
      <c r="C2987" s="10">
        <v>6</v>
      </c>
      <c r="D2987" s="10">
        <v>0.7</v>
      </c>
      <c r="E2987" s="10">
        <v>36</v>
      </c>
    </row>
    <row r="2988" spans="1:5">
      <c r="A2988" t="s">
        <v>6354</v>
      </c>
      <c r="B2988" t="s">
        <v>4234</v>
      </c>
      <c r="C2988" s="10">
        <v>24</v>
      </c>
      <c r="D2988" s="10">
        <v>0.2</v>
      </c>
      <c r="E2988" s="10">
        <v>81</v>
      </c>
    </row>
    <row r="2989" spans="1:5">
      <c r="A2989" t="s">
        <v>4233</v>
      </c>
      <c r="B2989" t="s">
        <v>4234</v>
      </c>
      <c r="C2989" s="10">
        <v>6</v>
      </c>
      <c r="D2989" s="10">
        <v>0.7</v>
      </c>
      <c r="E2989" s="10">
        <v>81</v>
      </c>
    </row>
    <row r="2990" spans="1:5">
      <c r="A2990" t="s">
        <v>2658</v>
      </c>
      <c r="B2990" t="s">
        <v>2659</v>
      </c>
      <c r="C2990" s="10">
        <v>6</v>
      </c>
      <c r="D2990" s="10">
        <v>0.75</v>
      </c>
      <c r="E2990" s="10">
        <v>14</v>
      </c>
    </row>
    <row r="2991" spans="1:5">
      <c r="A2991" t="s">
        <v>2660</v>
      </c>
      <c r="B2991" t="s">
        <v>2661</v>
      </c>
      <c r="C2991" s="10">
        <v>6</v>
      </c>
      <c r="D2991" s="10">
        <v>0.75</v>
      </c>
      <c r="E2991" s="10">
        <v>14</v>
      </c>
    </row>
    <row r="2992" spans="1:5">
      <c r="A2992" t="s">
        <v>2662</v>
      </c>
      <c r="B2992" t="s">
        <v>2663</v>
      </c>
      <c r="C2992" s="10">
        <v>6</v>
      </c>
      <c r="D2992" s="10">
        <v>0.75</v>
      </c>
      <c r="E2992" s="10">
        <v>14.5</v>
      </c>
    </row>
    <row r="2993" spans="1:5">
      <c r="A2993" t="s">
        <v>2664</v>
      </c>
      <c r="B2993" t="s">
        <v>2665</v>
      </c>
      <c r="C2993" s="10">
        <v>6</v>
      </c>
      <c r="D2993" s="10">
        <v>0.75</v>
      </c>
      <c r="E2993" s="10">
        <v>15</v>
      </c>
    </row>
    <row r="2994" spans="1:5">
      <c r="A2994" t="s">
        <v>2666</v>
      </c>
      <c r="B2994" t="s">
        <v>2667</v>
      </c>
      <c r="C2994" s="10">
        <v>6</v>
      </c>
      <c r="D2994" s="10">
        <v>0.75</v>
      </c>
      <c r="E2994" s="10">
        <v>15</v>
      </c>
    </row>
    <row r="2995" spans="1:5">
      <c r="A2995" t="s">
        <v>2668</v>
      </c>
      <c r="B2995" t="s">
        <v>2669</v>
      </c>
      <c r="C2995" s="10">
        <v>6</v>
      </c>
      <c r="D2995" s="10">
        <v>0.75</v>
      </c>
      <c r="E2995" s="10">
        <v>14.5</v>
      </c>
    </row>
    <row r="2996" spans="1:5">
      <c r="A2996" t="s">
        <v>2670</v>
      </c>
      <c r="B2996" t="s">
        <v>2671</v>
      </c>
      <c r="C2996" s="10">
        <v>6</v>
      </c>
      <c r="D2996" s="10">
        <v>0.75</v>
      </c>
      <c r="E2996" s="10">
        <v>14.5</v>
      </c>
    </row>
    <row r="2997" spans="1:5">
      <c r="A2997" t="s">
        <v>2672</v>
      </c>
      <c r="B2997" t="s">
        <v>2673</v>
      </c>
      <c r="C2997" s="10">
        <v>6</v>
      </c>
      <c r="D2997" s="10">
        <v>0.75</v>
      </c>
      <c r="E2997" s="10">
        <v>14.5</v>
      </c>
    </row>
    <row r="2998" spans="1:5">
      <c r="A2998" t="s">
        <v>2674</v>
      </c>
      <c r="B2998" t="s">
        <v>2675</v>
      </c>
      <c r="C2998" s="10">
        <v>6</v>
      </c>
      <c r="D2998" s="10">
        <v>0.75</v>
      </c>
      <c r="E2998" s="10">
        <v>14.5</v>
      </c>
    </row>
    <row r="2999" spans="1:5">
      <c r="A2999" t="s">
        <v>2943</v>
      </c>
      <c r="B2999" t="s">
        <v>2944</v>
      </c>
      <c r="C2999" s="10">
        <v>6</v>
      </c>
      <c r="D2999" s="10">
        <v>0.75</v>
      </c>
      <c r="E2999" s="10">
        <v>13</v>
      </c>
    </row>
    <row r="3000" spans="1:5">
      <c r="A3000" t="s">
        <v>2945</v>
      </c>
      <c r="B3000" t="s">
        <v>2946</v>
      </c>
      <c r="C3000" s="10">
        <v>6</v>
      </c>
      <c r="D3000" s="10">
        <v>0.75</v>
      </c>
      <c r="E3000" s="10">
        <v>13</v>
      </c>
    </row>
    <row r="3001" spans="1:5">
      <c r="A3001" t="s">
        <v>2947</v>
      </c>
      <c r="B3001" t="s">
        <v>2948</v>
      </c>
      <c r="C3001" s="10">
        <v>6</v>
      </c>
      <c r="D3001" s="10">
        <v>0.75</v>
      </c>
      <c r="E3001" s="10">
        <v>13</v>
      </c>
    </row>
    <row r="3002" spans="1:5">
      <c r="A3002" t="s">
        <v>10049</v>
      </c>
      <c r="B3002" t="s">
        <v>8894</v>
      </c>
      <c r="C3002" s="10">
        <v>6</v>
      </c>
      <c r="D3002" s="10">
        <v>0.75</v>
      </c>
      <c r="E3002" s="10">
        <v>13.5</v>
      </c>
    </row>
    <row r="3003" spans="1:5">
      <c r="A3003" t="s">
        <v>2676</v>
      </c>
      <c r="B3003" t="s">
        <v>2677</v>
      </c>
      <c r="C3003" s="10">
        <v>6</v>
      </c>
      <c r="D3003" s="10">
        <v>0.75</v>
      </c>
      <c r="E3003" s="10">
        <v>13.5</v>
      </c>
    </row>
    <row r="3004" spans="1:5">
      <c r="A3004" t="s">
        <v>2678</v>
      </c>
      <c r="B3004" t="s">
        <v>2679</v>
      </c>
      <c r="C3004" s="10">
        <v>6</v>
      </c>
      <c r="D3004" s="10">
        <v>0.75</v>
      </c>
      <c r="E3004" s="10">
        <v>14</v>
      </c>
    </row>
    <row r="3005" spans="1:5">
      <c r="A3005" t="s">
        <v>2680</v>
      </c>
      <c r="B3005" t="s">
        <v>2681</v>
      </c>
      <c r="C3005" s="10">
        <v>6</v>
      </c>
      <c r="D3005" s="10">
        <v>0.75</v>
      </c>
      <c r="E3005" s="10">
        <v>14.5</v>
      </c>
    </row>
    <row r="3006" spans="1:5">
      <c r="A3006" t="s">
        <v>10050</v>
      </c>
      <c r="B3006" t="s">
        <v>8895</v>
      </c>
      <c r="C3006" s="10">
        <v>6</v>
      </c>
      <c r="D3006" s="10">
        <v>0.75</v>
      </c>
      <c r="E3006" s="10">
        <v>13</v>
      </c>
    </row>
    <row r="3007" spans="1:5">
      <c r="A3007" t="s">
        <v>2682</v>
      </c>
      <c r="B3007" t="s">
        <v>2683</v>
      </c>
      <c r="C3007" s="10">
        <v>6</v>
      </c>
      <c r="D3007" s="10">
        <v>0.75</v>
      </c>
      <c r="E3007" s="10">
        <v>14.5</v>
      </c>
    </row>
    <row r="3008" spans="1:5">
      <c r="A3008" t="s">
        <v>2949</v>
      </c>
      <c r="B3008" t="s">
        <v>2950</v>
      </c>
      <c r="C3008" s="10">
        <v>6</v>
      </c>
      <c r="D3008" s="10">
        <v>0.75</v>
      </c>
      <c r="E3008" s="10">
        <v>13</v>
      </c>
    </row>
    <row r="3009" spans="1:5">
      <c r="A3009" t="s">
        <v>2684</v>
      </c>
      <c r="B3009" t="s">
        <v>2685</v>
      </c>
      <c r="C3009" s="10">
        <v>6</v>
      </c>
      <c r="D3009" s="10">
        <v>0.75</v>
      </c>
      <c r="E3009" s="10">
        <v>14</v>
      </c>
    </row>
    <row r="3010" spans="1:5">
      <c r="A3010" t="s">
        <v>2686</v>
      </c>
      <c r="B3010" t="s">
        <v>2687</v>
      </c>
      <c r="C3010" s="10">
        <v>6</v>
      </c>
      <c r="D3010" s="10">
        <v>0.75</v>
      </c>
      <c r="E3010" s="10">
        <v>5</v>
      </c>
    </row>
    <row r="3011" spans="1:5">
      <c r="A3011" t="s">
        <v>2688</v>
      </c>
      <c r="B3011" t="s">
        <v>2689</v>
      </c>
      <c r="C3011" s="10">
        <v>6</v>
      </c>
      <c r="D3011" s="10">
        <v>0.75</v>
      </c>
      <c r="E3011" s="10">
        <v>14.5</v>
      </c>
    </row>
    <row r="3012" spans="1:5">
      <c r="A3012" t="s">
        <v>2690</v>
      </c>
      <c r="B3012" t="s">
        <v>2691</v>
      </c>
      <c r="C3012" s="10">
        <v>6</v>
      </c>
      <c r="D3012" s="10">
        <v>0.75</v>
      </c>
      <c r="E3012" s="10">
        <v>13.5</v>
      </c>
    </row>
    <row r="3013" spans="1:5">
      <c r="A3013" t="s">
        <v>2692</v>
      </c>
      <c r="B3013" t="s">
        <v>2693</v>
      </c>
      <c r="C3013" s="10">
        <v>6</v>
      </c>
      <c r="D3013" s="10">
        <v>0.75</v>
      </c>
      <c r="E3013" s="10">
        <v>13.5</v>
      </c>
    </row>
    <row r="3014" spans="1:5">
      <c r="A3014" t="s">
        <v>2694</v>
      </c>
      <c r="B3014" t="s">
        <v>2695</v>
      </c>
      <c r="C3014" s="10">
        <v>6</v>
      </c>
      <c r="D3014" s="10">
        <v>0.75</v>
      </c>
      <c r="E3014" s="10">
        <v>15</v>
      </c>
    </row>
    <row r="3015" spans="1:5">
      <c r="A3015" t="s">
        <v>938</v>
      </c>
      <c r="B3015" t="s">
        <v>939</v>
      </c>
      <c r="C3015" s="10">
        <v>6</v>
      </c>
      <c r="D3015" s="10">
        <v>0.7</v>
      </c>
      <c r="E3015" s="10">
        <v>40</v>
      </c>
    </row>
    <row r="3016" spans="1:5">
      <c r="A3016" t="s">
        <v>5537</v>
      </c>
      <c r="B3016" t="s">
        <v>5538</v>
      </c>
      <c r="C3016" s="10">
        <v>6</v>
      </c>
      <c r="D3016" s="10">
        <v>0.7</v>
      </c>
      <c r="E3016" s="10">
        <v>43</v>
      </c>
    </row>
    <row r="3017" spans="1:5">
      <c r="A3017" t="s">
        <v>940</v>
      </c>
      <c r="B3017" t="s">
        <v>941</v>
      </c>
      <c r="C3017" s="10">
        <v>6</v>
      </c>
      <c r="D3017" s="10">
        <v>0.7</v>
      </c>
      <c r="E3017" s="10">
        <v>40</v>
      </c>
    </row>
    <row r="3018" spans="1:5">
      <c r="A3018" t="s">
        <v>6355</v>
      </c>
      <c r="B3018" t="s">
        <v>6356</v>
      </c>
      <c r="C3018" s="10">
        <v>3</v>
      </c>
      <c r="D3018" s="10">
        <v>0.7</v>
      </c>
      <c r="E3018" s="10">
        <v>43</v>
      </c>
    </row>
    <row r="3019" spans="1:5">
      <c r="A3019" t="s">
        <v>6959</v>
      </c>
      <c r="B3019" t="s">
        <v>6049</v>
      </c>
      <c r="C3019" s="10">
        <v>12</v>
      </c>
      <c r="D3019" s="10">
        <v>0.7</v>
      </c>
      <c r="E3019" s="10">
        <v>40</v>
      </c>
    </row>
    <row r="3020" spans="1:5">
      <c r="A3020" t="s">
        <v>6048</v>
      </c>
      <c r="B3020" t="s">
        <v>6049</v>
      </c>
      <c r="C3020" s="10">
        <v>3</v>
      </c>
      <c r="D3020" s="10">
        <v>0.7</v>
      </c>
      <c r="E3020" s="10">
        <v>40</v>
      </c>
    </row>
    <row r="3021" spans="1:5">
      <c r="A3021" t="s">
        <v>942</v>
      </c>
      <c r="B3021" t="s">
        <v>943</v>
      </c>
      <c r="C3021" s="10">
        <v>6</v>
      </c>
      <c r="D3021" s="10">
        <v>0.7</v>
      </c>
      <c r="E3021" s="10">
        <v>40</v>
      </c>
    </row>
    <row r="3022" spans="1:5">
      <c r="A3022" t="s">
        <v>944</v>
      </c>
      <c r="B3022" t="s">
        <v>945</v>
      </c>
      <c r="C3022" s="10">
        <v>6</v>
      </c>
      <c r="D3022" s="10">
        <v>0.7</v>
      </c>
      <c r="E3022" s="10">
        <v>40</v>
      </c>
    </row>
    <row r="3023" spans="1:5">
      <c r="A3023" t="s">
        <v>6050</v>
      </c>
      <c r="B3023" t="s">
        <v>6051</v>
      </c>
      <c r="C3023" s="10">
        <v>3</v>
      </c>
      <c r="D3023" s="10">
        <v>0.7</v>
      </c>
      <c r="E3023" s="10">
        <v>40</v>
      </c>
    </row>
    <row r="3024" spans="1:5">
      <c r="A3024" t="s">
        <v>3049</v>
      </c>
      <c r="B3024" t="s">
        <v>3050</v>
      </c>
      <c r="C3024" s="10">
        <v>6</v>
      </c>
      <c r="D3024" s="10">
        <v>0.75</v>
      </c>
      <c r="E3024" s="10">
        <v>12</v>
      </c>
    </row>
    <row r="3025" spans="1:5">
      <c r="A3025" t="s">
        <v>946</v>
      </c>
      <c r="B3025" t="s">
        <v>947</v>
      </c>
      <c r="C3025" s="10">
        <v>6</v>
      </c>
      <c r="D3025" s="10">
        <v>0.7</v>
      </c>
      <c r="E3025" s="10">
        <v>40</v>
      </c>
    </row>
    <row r="3026" spans="1:5">
      <c r="A3026" t="s">
        <v>948</v>
      </c>
      <c r="B3026" t="s">
        <v>949</v>
      </c>
      <c r="C3026" s="10">
        <v>6</v>
      </c>
      <c r="D3026" s="10">
        <v>0.7</v>
      </c>
      <c r="E3026" s="10">
        <v>40</v>
      </c>
    </row>
    <row r="3027" spans="1:5">
      <c r="A3027" t="s">
        <v>10051</v>
      </c>
      <c r="B3027" t="s">
        <v>8896</v>
      </c>
      <c r="C3027" s="10">
        <v>6</v>
      </c>
      <c r="D3027" s="10">
        <v>0.7</v>
      </c>
      <c r="E3027" s="10">
        <v>45.2</v>
      </c>
    </row>
    <row r="3028" spans="1:5">
      <c r="A3028" t="s">
        <v>2696</v>
      </c>
      <c r="B3028" t="s">
        <v>1668</v>
      </c>
      <c r="C3028" s="10">
        <v>6</v>
      </c>
      <c r="D3028" s="10">
        <v>0.75</v>
      </c>
      <c r="E3028" s="10">
        <v>7.5</v>
      </c>
    </row>
    <row r="3029" spans="1:5">
      <c r="A3029" t="s">
        <v>1667</v>
      </c>
      <c r="B3029" t="s">
        <v>1668</v>
      </c>
      <c r="C3029" s="10">
        <v>6</v>
      </c>
      <c r="D3029" s="10">
        <v>1.5</v>
      </c>
      <c r="E3029" s="10">
        <v>7.5</v>
      </c>
    </row>
    <row r="3030" spans="1:5">
      <c r="A3030" t="s">
        <v>2697</v>
      </c>
      <c r="B3030" t="s">
        <v>2698</v>
      </c>
      <c r="C3030" s="10">
        <v>6</v>
      </c>
      <c r="D3030" s="10">
        <v>0.75</v>
      </c>
      <c r="E3030" s="10">
        <v>8</v>
      </c>
    </row>
    <row r="3031" spans="1:5">
      <c r="A3031" t="s">
        <v>2699</v>
      </c>
      <c r="B3031" t="s">
        <v>2219</v>
      </c>
      <c r="C3031" s="10">
        <v>6</v>
      </c>
      <c r="D3031" s="10">
        <v>0.75</v>
      </c>
      <c r="E3031" s="10">
        <v>15</v>
      </c>
    </row>
    <row r="3032" spans="1:5">
      <c r="A3032" t="s">
        <v>2218</v>
      </c>
      <c r="B3032" t="s">
        <v>2219</v>
      </c>
      <c r="C3032" s="10">
        <v>6</v>
      </c>
      <c r="D3032" s="10">
        <v>1</v>
      </c>
      <c r="E3032" s="10">
        <v>15</v>
      </c>
    </row>
    <row r="3033" spans="1:5">
      <c r="A3033" t="s">
        <v>10052</v>
      </c>
      <c r="B3033" t="s">
        <v>8897</v>
      </c>
      <c r="C3033" s="10">
        <v>6</v>
      </c>
      <c r="D3033" s="10">
        <v>0.7</v>
      </c>
      <c r="E3033" s="10">
        <v>25</v>
      </c>
    </row>
    <row r="3034" spans="1:5">
      <c r="A3034" t="s">
        <v>2700</v>
      </c>
      <c r="B3034" t="s">
        <v>2221</v>
      </c>
      <c r="C3034" s="10">
        <v>6</v>
      </c>
      <c r="D3034" s="10">
        <v>0.75</v>
      </c>
      <c r="E3034" s="10">
        <v>18</v>
      </c>
    </row>
    <row r="3035" spans="1:5">
      <c r="A3035" t="s">
        <v>10053</v>
      </c>
      <c r="B3035" t="s">
        <v>2221</v>
      </c>
      <c r="C3035" s="10">
        <v>6</v>
      </c>
      <c r="D3035" s="10">
        <v>0.75</v>
      </c>
      <c r="E3035" s="10">
        <v>15</v>
      </c>
    </row>
    <row r="3036" spans="1:5">
      <c r="A3036" t="s">
        <v>2220</v>
      </c>
      <c r="B3036" t="s">
        <v>2221</v>
      </c>
      <c r="C3036" s="10">
        <v>6</v>
      </c>
      <c r="D3036" s="10">
        <v>1</v>
      </c>
      <c r="E3036" s="10">
        <v>18</v>
      </c>
    </row>
    <row r="3037" spans="1:5">
      <c r="A3037" t="s">
        <v>2701</v>
      </c>
      <c r="B3037" t="s">
        <v>2222</v>
      </c>
      <c r="C3037" s="10">
        <v>6</v>
      </c>
      <c r="D3037" s="10">
        <v>0.75</v>
      </c>
      <c r="E3037" s="10">
        <v>14.9</v>
      </c>
    </row>
    <row r="3038" spans="1:5">
      <c r="A3038" t="s">
        <v>2702</v>
      </c>
      <c r="B3038" t="s">
        <v>2703</v>
      </c>
      <c r="C3038" s="10">
        <v>6</v>
      </c>
      <c r="D3038" s="10">
        <v>0.75</v>
      </c>
      <c r="E3038" s="10">
        <v>0</v>
      </c>
    </row>
    <row r="3039" spans="1:5">
      <c r="A3039" t="s">
        <v>2704</v>
      </c>
      <c r="B3039" t="s">
        <v>2705</v>
      </c>
      <c r="C3039" s="10">
        <v>6</v>
      </c>
      <c r="D3039" s="10">
        <v>0.75</v>
      </c>
      <c r="E3039" s="10">
        <v>8</v>
      </c>
    </row>
    <row r="3040" spans="1:5">
      <c r="A3040" t="s">
        <v>6357</v>
      </c>
      <c r="B3040" t="s">
        <v>2707</v>
      </c>
      <c r="C3040" s="10">
        <v>24</v>
      </c>
      <c r="D3040" s="10">
        <v>0.2</v>
      </c>
      <c r="E3040" s="10">
        <v>11.5</v>
      </c>
    </row>
    <row r="3041" spans="1:5">
      <c r="A3041" t="s">
        <v>2706</v>
      </c>
      <c r="B3041" t="s">
        <v>2707</v>
      </c>
      <c r="C3041" s="10">
        <v>6</v>
      </c>
      <c r="D3041" s="10">
        <v>0.75</v>
      </c>
      <c r="E3041" s="10">
        <v>11.5</v>
      </c>
    </row>
    <row r="3042" spans="1:5">
      <c r="A3042" t="s">
        <v>2708</v>
      </c>
      <c r="B3042" t="s">
        <v>2709</v>
      </c>
      <c r="C3042" s="10">
        <v>6</v>
      </c>
      <c r="D3042" s="10">
        <v>0.75</v>
      </c>
      <c r="E3042" s="10">
        <v>18</v>
      </c>
    </row>
    <row r="3043" spans="1:5">
      <c r="A3043" t="s">
        <v>2710</v>
      </c>
      <c r="B3043" t="s">
        <v>2711</v>
      </c>
      <c r="C3043" s="10">
        <v>6</v>
      </c>
      <c r="D3043" s="10">
        <v>0.75</v>
      </c>
      <c r="E3043" s="10">
        <v>18</v>
      </c>
    </row>
    <row r="3044" spans="1:5">
      <c r="A3044" t="s">
        <v>2712</v>
      </c>
      <c r="B3044" t="s">
        <v>2713</v>
      </c>
      <c r="C3044" s="10">
        <v>6</v>
      </c>
      <c r="D3044" s="10">
        <v>0.75</v>
      </c>
      <c r="E3044" s="10">
        <v>15</v>
      </c>
    </row>
    <row r="3045" spans="1:5">
      <c r="A3045" t="s">
        <v>2714</v>
      </c>
      <c r="B3045" t="s">
        <v>2713</v>
      </c>
      <c r="C3045" s="10">
        <v>6</v>
      </c>
      <c r="D3045" s="10">
        <v>0.75</v>
      </c>
      <c r="E3045" s="10">
        <v>14.4</v>
      </c>
    </row>
    <row r="3046" spans="1:5">
      <c r="A3046" t="s">
        <v>2715</v>
      </c>
      <c r="B3046" t="s">
        <v>2716</v>
      </c>
      <c r="C3046" s="10">
        <v>6</v>
      </c>
      <c r="D3046" s="10">
        <v>0.75</v>
      </c>
      <c r="E3046" s="10">
        <v>8</v>
      </c>
    </row>
    <row r="3047" spans="1:5">
      <c r="A3047" t="s">
        <v>2717</v>
      </c>
      <c r="B3047" t="s">
        <v>2224</v>
      </c>
      <c r="C3047" s="10">
        <v>6</v>
      </c>
      <c r="D3047" s="10">
        <v>0.75</v>
      </c>
      <c r="E3047" s="10">
        <v>15</v>
      </c>
    </row>
    <row r="3048" spans="1:5">
      <c r="A3048" t="s">
        <v>2223</v>
      </c>
      <c r="B3048" t="s">
        <v>2224</v>
      </c>
      <c r="C3048" s="10">
        <v>6</v>
      </c>
      <c r="D3048" s="10">
        <v>1</v>
      </c>
      <c r="E3048" s="10">
        <v>15</v>
      </c>
    </row>
    <row r="3049" spans="1:5">
      <c r="A3049" t="s">
        <v>2718</v>
      </c>
      <c r="B3049" t="s">
        <v>2719</v>
      </c>
      <c r="C3049" s="10">
        <v>6</v>
      </c>
      <c r="D3049" s="10">
        <v>0.75</v>
      </c>
      <c r="E3049" s="10">
        <v>8</v>
      </c>
    </row>
    <row r="3050" spans="1:5">
      <c r="A3050" t="s">
        <v>2720</v>
      </c>
      <c r="B3050" t="s">
        <v>2721</v>
      </c>
      <c r="C3050" s="10">
        <v>6</v>
      </c>
      <c r="D3050" s="10">
        <v>0.75</v>
      </c>
      <c r="E3050" s="10">
        <v>8</v>
      </c>
    </row>
    <row r="3051" spans="1:5">
      <c r="A3051" t="s">
        <v>2722</v>
      </c>
      <c r="B3051" t="s">
        <v>2723</v>
      </c>
      <c r="C3051" s="10">
        <v>6</v>
      </c>
      <c r="D3051" s="10">
        <v>0.75</v>
      </c>
      <c r="E3051" s="10">
        <v>11.5</v>
      </c>
    </row>
    <row r="3052" spans="1:5">
      <c r="A3052" t="s">
        <v>2724</v>
      </c>
      <c r="B3052" t="s">
        <v>2725</v>
      </c>
      <c r="C3052" s="10">
        <v>6</v>
      </c>
      <c r="D3052" s="10">
        <v>0.75</v>
      </c>
      <c r="E3052" s="10">
        <v>0</v>
      </c>
    </row>
    <row r="3053" spans="1:5">
      <c r="A3053" t="s">
        <v>1591</v>
      </c>
      <c r="B3053" t="s">
        <v>1592</v>
      </c>
      <c r="C3053" s="10">
        <v>6</v>
      </c>
      <c r="D3053" s="10">
        <v>0.5</v>
      </c>
      <c r="E3053" s="10">
        <v>40</v>
      </c>
    </row>
    <row r="3054" spans="1:5">
      <c r="A3054" t="s">
        <v>950</v>
      </c>
      <c r="B3054" t="s">
        <v>951</v>
      </c>
      <c r="C3054" s="10">
        <v>6</v>
      </c>
      <c r="D3054" s="10">
        <v>0.7</v>
      </c>
      <c r="E3054" s="10">
        <v>40</v>
      </c>
    </row>
    <row r="3055" spans="1:5">
      <c r="A3055" t="s">
        <v>4235</v>
      </c>
      <c r="B3055" t="s">
        <v>4236</v>
      </c>
      <c r="C3055" s="10">
        <v>6</v>
      </c>
      <c r="D3055" s="10">
        <v>0.7</v>
      </c>
      <c r="E3055" s="10">
        <v>42</v>
      </c>
    </row>
    <row r="3056" spans="1:5">
      <c r="A3056" t="s">
        <v>952</v>
      </c>
      <c r="B3056" t="s">
        <v>953</v>
      </c>
      <c r="C3056" s="10">
        <v>6</v>
      </c>
      <c r="D3056" s="10">
        <v>0.7</v>
      </c>
      <c r="E3056" s="10">
        <v>40</v>
      </c>
    </row>
    <row r="3057" spans="1:5">
      <c r="A3057" t="s">
        <v>10054</v>
      </c>
      <c r="B3057" t="s">
        <v>8898</v>
      </c>
      <c r="C3057" s="10">
        <v>6</v>
      </c>
      <c r="D3057" s="10">
        <v>0.1</v>
      </c>
      <c r="E3057" s="10">
        <v>40</v>
      </c>
    </row>
    <row r="3058" spans="1:5">
      <c r="A3058" t="s">
        <v>2726</v>
      </c>
      <c r="B3058" t="s">
        <v>2727</v>
      </c>
      <c r="C3058" s="10">
        <v>6</v>
      </c>
      <c r="D3058" s="10">
        <v>0.75</v>
      </c>
      <c r="E3058" s="10">
        <v>10</v>
      </c>
    </row>
    <row r="3059" spans="1:5">
      <c r="A3059" t="s">
        <v>10055</v>
      </c>
      <c r="B3059" t="s">
        <v>8899</v>
      </c>
      <c r="C3059" s="10">
        <v>6</v>
      </c>
      <c r="D3059" s="10">
        <v>1</v>
      </c>
      <c r="E3059" s="10">
        <v>11</v>
      </c>
    </row>
    <row r="3060" spans="1:5">
      <c r="A3060" t="s">
        <v>2728</v>
      </c>
      <c r="B3060" t="s">
        <v>2729</v>
      </c>
      <c r="C3060" s="10">
        <v>6</v>
      </c>
      <c r="D3060" s="10">
        <v>0.75</v>
      </c>
      <c r="E3060" s="10">
        <v>11</v>
      </c>
    </row>
    <row r="3061" spans="1:5">
      <c r="A3061" t="s">
        <v>4237</v>
      </c>
      <c r="B3061" t="s">
        <v>4238</v>
      </c>
      <c r="C3061" s="10">
        <v>6</v>
      </c>
      <c r="D3061" s="10">
        <v>0.7</v>
      </c>
      <c r="E3061" s="10">
        <v>47</v>
      </c>
    </row>
    <row r="3062" spans="1:5">
      <c r="A3062" t="s">
        <v>954</v>
      </c>
      <c r="B3062" t="s">
        <v>955</v>
      </c>
      <c r="C3062" s="10">
        <v>6</v>
      </c>
      <c r="D3062" s="10">
        <v>0.7</v>
      </c>
      <c r="E3062" s="10">
        <v>40</v>
      </c>
    </row>
    <row r="3063" spans="1:5">
      <c r="A3063" t="s">
        <v>10056</v>
      </c>
      <c r="B3063" t="s">
        <v>8900</v>
      </c>
      <c r="C3063" s="10">
        <v>6</v>
      </c>
      <c r="D3063" s="10">
        <v>1</v>
      </c>
      <c r="E3063" s="10">
        <v>40</v>
      </c>
    </row>
    <row r="3064" spans="1:5">
      <c r="A3064" t="s">
        <v>956</v>
      </c>
      <c r="B3064" t="s">
        <v>957</v>
      </c>
      <c r="C3064" s="10">
        <v>6</v>
      </c>
      <c r="D3064" s="10">
        <v>0.7</v>
      </c>
      <c r="E3064" s="10">
        <v>40</v>
      </c>
    </row>
    <row r="3065" spans="1:5">
      <c r="A3065" t="s">
        <v>6052</v>
      </c>
      <c r="B3065" t="s">
        <v>6053</v>
      </c>
      <c r="C3065" s="10">
        <v>3</v>
      </c>
      <c r="D3065" s="10">
        <v>0.7</v>
      </c>
      <c r="E3065" s="10">
        <v>40</v>
      </c>
    </row>
    <row r="3066" spans="1:5">
      <c r="A3066" t="s">
        <v>958</v>
      </c>
      <c r="B3066" t="s">
        <v>959</v>
      </c>
      <c r="C3066" s="10">
        <v>6</v>
      </c>
      <c r="D3066" s="10">
        <v>0.7</v>
      </c>
      <c r="E3066" s="10">
        <v>40</v>
      </c>
    </row>
    <row r="3067" spans="1:5">
      <c r="A3067" t="s">
        <v>960</v>
      </c>
      <c r="B3067" t="s">
        <v>961</v>
      </c>
      <c r="C3067" s="10">
        <v>6</v>
      </c>
      <c r="D3067" s="10">
        <v>0.7</v>
      </c>
      <c r="E3067" s="10">
        <v>40</v>
      </c>
    </row>
    <row r="3068" spans="1:5">
      <c r="A3068" t="s">
        <v>962</v>
      </c>
      <c r="B3068" t="s">
        <v>963</v>
      </c>
      <c r="C3068" s="10">
        <v>6</v>
      </c>
      <c r="D3068" s="10">
        <v>0.7</v>
      </c>
      <c r="E3068" s="10">
        <v>40</v>
      </c>
    </row>
    <row r="3069" spans="1:5">
      <c r="A3069" t="s">
        <v>964</v>
      </c>
      <c r="B3069" t="s">
        <v>965</v>
      </c>
      <c r="C3069" s="10">
        <v>6</v>
      </c>
      <c r="D3069" s="10">
        <v>0.7</v>
      </c>
      <c r="E3069" s="10">
        <v>40</v>
      </c>
    </row>
    <row r="3070" spans="1:5">
      <c r="A3070" t="s">
        <v>10057</v>
      </c>
      <c r="B3070" t="s">
        <v>8901</v>
      </c>
      <c r="C3070" s="10">
        <v>6</v>
      </c>
      <c r="D3070" s="10">
        <v>1</v>
      </c>
      <c r="E3070" s="10">
        <v>40</v>
      </c>
    </row>
    <row r="3071" spans="1:5">
      <c r="A3071" t="s">
        <v>10058</v>
      </c>
      <c r="B3071" t="s">
        <v>8901</v>
      </c>
      <c r="C3071" s="10">
        <v>6</v>
      </c>
      <c r="D3071" s="10">
        <v>1</v>
      </c>
      <c r="E3071" s="10">
        <v>40</v>
      </c>
    </row>
    <row r="3072" spans="1:5">
      <c r="A3072" t="s">
        <v>966</v>
      </c>
      <c r="B3072" t="s">
        <v>967</v>
      </c>
      <c r="C3072" s="10">
        <v>6</v>
      </c>
      <c r="D3072" s="10">
        <v>0.7</v>
      </c>
      <c r="E3072" s="10">
        <v>40</v>
      </c>
    </row>
    <row r="3073" spans="1:5">
      <c r="A3073" t="s">
        <v>968</v>
      </c>
      <c r="B3073" t="s">
        <v>969</v>
      </c>
      <c r="C3073" s="10">
        <v>6</v>
      </c>
      <c r="D3073" s="10">
        <v>0.7</v>
      </c>
      <c r="E3073" s="10">
        <v>40</v>
      </c>
    </row>
    <row r="3074" spans="1:5">
      <c r="A3074" t="s">
        <v>8311</v>
      </c>
      <c r="B3074" t="s">
        <v>8902</v>
      </c>
      <c r="C3074" s="10">
        <v>6</v>
      </c>
      <c r="D3074" s="10">
        <v>0.7</v>
      </c>
      <c r="E3074" s="10">
        <v>40</v>
      </c>
    </row>
    <row r="3075" spans="1:5">
      <c r="A3075" t="s">
        <v>4239</v>
      </c>
      <c r="B3075" t="s">
        <v>4240</v>
      </c>
      <c r="C3075" s="10">
        <v>6</v>
      </c>
      <c r="D3075" s="10">
        <v>0.7</v>
      </c>
      <c r="E3075" s="10">
        <v>42</v>
      </c>
    </row>
    <row r="3076" spans="1:5">
      <c r="A3076" t="s">
        <v>6715</v>
      </c>
      <c r="B3076" t="s">
        <v>6716</v>
      </c>
      <c r="C3076" s="10">
        <v>12</v>
      </c>
      <c r="D3076" s="10">
        <v>0.05</v>
      </c>
      <c r="E3076" s="10">
        <v>42</v>
      </c>
    </row>
    <row r="3077" spans="1:5">
      <c r="A3077" t="s">
        <v>5071</v>
      </c>
      <c r="B3077" t="s">
        <v>5072</v>
      </c>
      <c r="C3077" s="10">
        <v>6</v>
      </c>
      <c r="D3077" s="10">
        <v>0.7</v>
      </c>
      <c r="E3077" s="10">
        <v>38</v>
      </c>
    </row>
    <row r="3078" spans="1:5">
      <c r="A3078" t="s">
        <v>6717</v>
      </c>
      <c r="B3078" t="s">
        <v>6718</v>
      </c>
      <c r="C3078" s="10">
        <v>12</v>
      </c>
      <c r="D3078" s="10">
        <v>0.05</v>
      </c>
      <c r="E3078" s="10">
        <v>38</v>
      </c>
    </row>
    <row r="3079" spans="1:5">
      <c r="A3079" t="s">
        <v>970</v>
      </c>
      <c r="B3079" t="s">
        <v>971</v>
      </c>
      <c r="C3079" s="10">
        <v>6</v>
      </c>
      <c r="D3079" s="10">
        <v>0.7</v>
      </c>
      <c r="E3079" s="10">
        <v>40</v>
      </c>
    </row>
    <row r="3080" spans="1:5">
      <c r="A3080" t="s">
        <v>5826</v>
      </c>
      <c r="B3080" t="s">
        <v>5827</v>
      </c>
      <c r="C3080" s="10">
        <v>12</v>
      </c>
      <c r="D3080" s="10">
        <v>0.05</v>
      </c>
      <c r="E3080" s="10">
        <v>40</v>
      </c>
    </row>
    <row r="3081" spans="1:5">
      <c r="A3081" t="s">
        <v>972</v>
      </c>
      <c r="B3081" t="s">
        <v>973</v>
      </c>
      <c r="C3081" s="10">
        <v>6</v>
      </c>
      <c r="D3081" s="10">
        <v>0.7</v>
      </c>
      <c r="E3081" s="10">
        <v>40</v>
      </c>
    </row>
    <row r="3082" spans="1:5">
      <c r="A3082" t="s">
        <v>1593</v>
      </c>
      <c r="B3082" t="s">
        <v>1594</v>
      </c>
      <c r="C3082" s="10">
        <v>6</v>
      </c>
      <c r="D3082" s="10">
        <v>0.5</v>
      </c>
      <c r="E3082" s="10">
        <v>40</v>
      </c>
    </row>
    <row r="3083" spans="1:5">
      <c r="A3083" t="s">
        <v>974</v>
      </c>
      <c r="B3083" t="s">
        <v>975</v>
      </c>
      <c r="C3083" s="10">
        <v>6</v>
      </c>
      <c r="D3083" s="10">
        <v>0.7</v>
      </c>
      <c r="E3083" s="10">
        <v>40</v>
      </c>
    </row>
    <row r="3084" spans="1:5">
      <c r="A3084" t="s">
        <v>10059</v>
      </c>
      <c r="B3084" t="s">
        <v>8903</v>
      </c>
      <c r="C3084" s="10">
        <v>6</v>
      </c>
      <c r="D3084" s="10">
        <v>0.7</v>
      </c>
      <c r="E3084" s="10">
        <v>40</v>
      </c>
    </row>
    <row r="3085" spans="1:5">
      <c r="A3085" t="s">
        <v>5073</v>
      </c>
      <c r="B3085" t="s">
        <v>5074</v>
      </c>
      <c r="C3085" s="10">
        <v>6</v>
      </c>
      <c r="D3085" s="10">
        <v>0.7</v>
      </c>
      <c r="E3085" s="10">
        <v>38</v>
      </c>
    </row>
    <row r="3086" spans="1:5">
      <c r="A3086" t="s">
        <v>6875</v>
      </c>
      <c r="B3086" t="s">
        <v>5074</v>
      </c>
      <c r="C3086" s="10">
        <v>12</v>
      </c>
      <c r="D3086" s="10">
        <v>1</v>
      </c>
      <c r="E3086" s="10">
        <v>38</v>
      </c>
    </row>
    <row r="3087" spans="1:5">
      <c r="A3087" t="s">
        <v>976</v>
      </c>
      <c r="B3087" t="s">
        <v>977</v>
      </c>
      <c r="C3087" s="10">
        <v>6</v>
      </c>
      <c r="D3087" s="10">
        <v>0.7</v>
      </c>
      <c r="E3087" s="10">
        <v>40</v>
      </c>
    </row>
    <row r="3088" spans="1:5">
      <c r="A3088" t="s">
        <v>10060</v>
      </c>
      <c r="B3088" t="s">
        <v>8904</v>
      </c>
      <c r="C3088" s="10">
        <v>6</v>
      </c>
      <c r="D3088" s="10">
        <v>0.7</v>
      </c>
      <c r="E3088" s="10">
        <v>40</v>
      </c>
    </row>
    <row r="3089" spans="1:5">
      <c r="A3089" t="s">
        <v>10061</v>
      </c>
      <c r="B3089" t="s">
        <v>8904</v>
      </c>
      <c r="C3089" s="10">
        <v>12</v>
      </c>
      <c r="D3089" s="10">
        <v>1</v>
      </c>
      <c r="E3089" s="10">
        <v>40</v>
      </c>
    </row>
    <row r="3090" spans="1:5">
      <c r="A3090" t="s">
        <v>10062</v>
      </c>
      <c r="B3090" t="s">
        <v>8905</v>
      </c>
      <c r="C3090" s="10">
        <v>6</v>
      </c>
      <c r="D3090" s="10">
        <v>0.7</v>
      </c>
      <c r="E3090" s="10">
        <v>40</v>
      </c>
    </row>
    <row r="3091" spans="1:5">
      <c r="A3091" t="s">
        <v>978</v>
      </c>
      <c r="B3091" t="s">
        <v>979</v>
      </c>
      <c r="C3091" s="10">
        <v>6</v>
      </c>
      <c r="D3091" s="10">
        <v>0.7</v>
      </c>
      <c r="E3091" s="10">
        <v>40</v>
      </c>
    </row>
    <row r="3092" spans="1:5">
      <c r="A3092" t="s">
        <v>980</v>
      </c>
      <c r="B3092" t="s">
        <v>981</v>
      </c>
      <c r="C3092" s="10">
        <v>6</v>
      </c>
      <c r="D3092" s="10">
        <v>0.7</v>
      </c>
      <c r="E3092" s="10">
        <v>40</v>
      </c>
    </row>
    <row r="3093" spans="1:5">
      <c r="A3093" t="s">
        <v>4776</v>
      </c>
      <c r="B3093" t="s">
        <v>4777</v>
      </c>
      <c r="C3093" s="10">
        <v>6</v>
      </c>
      <c r="D3093" s="10">
        <v>0.7</v>
      </c>
      <c r="E3093" s="10">
        <v>45</v>
      </c>
    </row>
    <row r="3094" spans="1:5">
      <c r="A3094" t="s">
        <v>5828</v>
      </c>
      <c r="B3094" t="s">
        <v>5829</v>
      </c>
      <c r="C3094" s="10">
        <v>12</v>
      </c>
      <c r="D3094" s="10">
        <v>0.7</v>
      </c>
      <c r="E3094" s="10">
        <v>40</v>
      </c>
    </row>
    <row r="3095" spans="1:5">
      <c r="A3095" t="s">
        <v>982</v>
      </c>
      <c r="B3095" t="s">
        <v>983</v>
      </c>
      <c r="C3095" s="10">
        <v>6</v>
      </c>
      <c r="D3095" s="10">
        <v>0.7</v>
      </c>
      <c r="E3095" s="10">
        <v>40</v>
      </c>
    </row>
    <row r="3096" spans="1:5">
      <c r="A3096" t="s">
        <v>5830</v>
      </c>
      <c r="B3096" t="s">
        <v>5831</v>
      </c>
      <c r="C3096" s="10">
        <v>12</v>
      </c>
      <c r="D3096" s="10">
        <v>0.7</v>
      </c>
      <c r="E3096" s="10">
        <v>40</v>
      </c>
    </row>
    <row r="3097" spans="1:5">
      <c r="A3097" t="s">
        <v>984</v>
      </c>
      <c r="B3097" t="s">
        <v>985</v>
      </c>
      <c r="C3097" s="10">
        <v>6</v>
      </c>
      <c r="D3097" s="10">
        <v>0.7</v>
      </c>
      <c r="E3097" s="10">
        <v>40</v>
      </c>
    </row>
    <row r="3098" spans="1:5">
      <c r="A3098" t="s">
        <v>10063</v>
      </c>
      <c r="B3098" t="s">
        <v>8906</v>
      </c>
      <c r="C3098" s="10">
        <v>1</v>
      </c>
      <c r="D3098" s="10">
        <v>0.75</v>
      </c>
      <c r="E3098" s="10">
        <v>41.3</v>
      </c>
    </row>
    <row r="3099" spans="1:5">
      <c r="A3099" t="s">
        <v>4241</v>
      </c>
      <c r="B3099" t="s">
        <v>4242</v>
      </c>
      <c r="C3099" s="10">
        <v>6</v>
      </c>
      <c r="D3099" s="10">
        <v>0.7</v>
      </c>
      <c r="E3099" s="10">
        <v>30</v>
      </c>
    </row>
    <row r="3100" spans="1:5">
      <c r="A3100" t="s">
        <v>1595</v>
      </c>
      <c r="B3100" t="s">
        <v>1596</v>
      </c>
      <c r="C3100" s="10">
        <v>6</v>
      </c>
      <c r="D3100" s="10">
        <v>1.75</v>
      </c>
      <c r="E3100" s="10">
        <v>40</v>
      </c>
    </row>
    <row r="3101" spans="1:5">
      <c r="A3101" t="s">
        <v>986</v>
      </c>
      <c r="B3101" t="s">
        <v>987</v>
      </c>
      <c r="C3101" s="10">
        <v>6</v>
      </c>
      <c r="D3101" s="10">
        <v>0.7</v>
      </c>
      <c r="E3101" s="10">
        <v>40</v>
      </c>
    </row>
    <row r="3102" spans="1:5">
      <c r="A3102" t="s">
        <v>1597</v>
      </c>
      <c r="B3102" t="s">
        <v>987</v>
      </c>
      <c r="C3102" s="10">
        <v>6</v>
      </c>
      <c r="D3102" s="10">
        <v>1.75</v>
      </c>
      <c r="E3102" s="10">
        <v>40</v>
      </c>
    </row>
    <row r="3103" spans="1:5">
      <c r="A3103" t="s">
        <v>5727</v>
      </c>
      <c r="B3103" t="s">
        <v>5728</v>
      </c>
      <c r="C3103" s="10">
        <v>12</v>
      </c>
      <c r="D3103" s="10">
        <v>1</v>
      </c>
      <c r="E3103" s="10">
        <v>40</v>
      </c>
    </row>
    <row r="3104" spans="1:5">
      <c r="A3104" t="s">
        <v>5729</v>
      </c>
      <c r="B3104" t="s">
        <v>5730</v>
      </c>
      <c r="C3104" s="10">
        <v>12</v>
      </c>
      <c r="D3104" s="10">
        <v>1</v>
      </c>
      <c r="E3104" s="10">
        <v>40</v>
      </c>
    </row>
    <row r="3105" spans="1:5">
      <c r="A3105" t="s">
        <v>988</v>
      </c>
      <c r="B3105" t="s">
        <v>989</v>
      </c>
      <c r="C3105" s="10">
        <v>6</v>
      </c>
      <c r="D3105" s="10">
        <v>0.7</v>
      </c>
      <c r="E3105" s="10">
        <v>40</v>
      </c>
    </row>
    <row r="3106" spans="1:5">
      <c r="A3106" t="s">
        <v>5731</v>
      </c>
      <c r="B3106" t="s">
        <v>5732</v>
      </c>
      <c r="C3106" s="10">
        <v>12</v>
      </c>
      <c r="D3106" s="10">
        <v>1</v>
      </c>
      <c r="E3106" s="10">
        <v>40</v>
      </c>
    </row>
    <row r="3107" spans="1:5">
      <c r="A3107" t="s">
        <v>5832</v>
      </c>
      <c r="B3107" t="s">
        <v>991</v>
      </c>
      <c r="C3107" s="10">
        <v>12</v>
      </c>
      <c r="D3107" s="10">
        <v>0.7</v>
      </c>
      <c r="E3107" s="10">
        <v>40</v>
      </c>
    </row>
    <row r="3108" spans="1:5">
      <c r="A3108" t="s">
        <v>990</v>
      </c>
      <c r="B3108" t="s">
        <v>991</v>
      </c>
      <c r="C3108" s="10">
        <v>6</v>
      </c>
      <c r="D3108" s="10">
        <v>0.7</v>
      </c>
      <c r="E3108" s="10">
        <v>40</v>
      </c>
    </row>
    <row r="3109" spans="1:5">
      <c r="A3109" t="s">
        <v>992</v>
      </c>
      <c r="B3109" t="s">
        <v>993</v>
      </c>
      <c r="C3109" s="10">
        <v>6</v>
      </c>
      <c r="D3109" s="10">
        <v>0.7</v>
      </c>
      <c r="E3109" s="10">
        <v>40</v>
      </c>
    </row>
    <row r="3110" spans="1:5">
      <c r="A3110" t="s">
        <v>994</v>
      </c>
      <c r="B3110" t="s">
        <v>995</v>
      </c>
      <c r="C3110" s="10">
        <v>6</v>
      </c>
      <c r="D3110" s="10">
        <v>0.7</v>
      </c>
      <c r="E3110" s="10">
        <v>40</v>
      </c>
    </row>
    <row r="3111" spans="1:5">
      <c r="A3111" t="s">
        <v>4243</v>
      </c>
      <c r="B3111" t="s">
        <v>4244</v>
      </c>
      <c r="C3111" s="10">
        <v>6</v>
      </c>
      <c r="D3111" s="10">
        <v>0.7</v>
      </c>
      <c r="E3111" s="10">
        <v>30</v>
      </c>
    </row>
    <row r="3112" spans="1:5">
      <c r="A3112" t="s">
        <v>996</v>
      </c>
      <c r="B3112" t="s">
        <v>997</v>
      </c>
      <c r="C3112" s="10">
        <v>6</v>
      </c>
      <c r="D3112" s="10">
        <v>0.7</v>
      </c>
      <c r="E3112" s="10">
        <v>40</v>
      </c>
    </row>
    <row r="3113" spans="1:5">
      <c r="A3113" t="s">
        <v>1598</v>
      </c>
      <c r="B3113" t="s">
        <v>997</v>
      </c>
      <c r="C3113" s="10">
        <v>6</v>
      </c>
      <c r="D3113" s="10">
        <v>1.75</v>
      </c>
      <c r="E3113" s="10">
        <v>40</v>
      </c>
    </row>
    <row r="3114" spans="1:5">
      <c r="A3114" t="s">
        <v>5946</v>
      </c>
      <c r="B3114" t="s">
        <v>997</v>
      </c>
      <c r="C3114" s="10">
        <v>4</v>
      </c>
      <c r="D3114" s="10">
        <v>3</v>
      </c>
      <c r="E3114" s="10">
        <v>40</v>
      </c>
    </row>
    <row r="3115" spans="1:5">
      <c r="A3115" t="s">
        <v>10064</v>
      </c>
      <c r="B3115" t="s">
        <v>8907</v>
      </c>
      <c r="C3115" s="10">
        <v>6</v>
      </c>
      <c r="D3115" s="10">
        <v>0.7</v>
      </c>
      <c r="E3115" s="10">
        <v>40</v>
      </c>
    </row>
    <row r="3116" spans="1:5">
      <c r="A3116" t="s">
        <v>10065</v>
      </c>
      <c r="B3116" t="s">
        <v>8908</v>
      </c>
      <c r="C3116" s="10">
        <v>6</v>
      </c>
      <c r="D3116" s="10">
        <v>0.7</v>
      </c>
      <c r="E3116" s="10">
        <v>40</v>
      </c>
    </row>
    <row r="3117" spans="1:5">
      <c r="A3117" t="s">
        <v>2225</v>
      </c>
      <c r="B3117" t="s">
        <v>2226</v>
      </c>
      <c r="C3117" s="10">
        <v>6</v>
      </c>
      <c r="D3117" s="10">
        <v>1</v>
      </c>
      <c r="E3117" s="10">
        <v>15</v>
      </c>
    </row>
    <row r="3118" spans="1:5">
      <c r="A3118" t="s">
        <v>10066</v>
      </c>
      <c r="B3118" t="s">
        <v>8909</v>
      </c>
      <c r="C3118" s="10">
        <v>6</v>
      </c>
      <c r="D3118" s="10">
        <v>0.7</v>
      </c>
      <c r="E3118" s="10">
        <v>45.7</v>
      </c>
    </row>
    <row r="3119" spans="1:5">
      <c r="A3119" t="s">
        <v>4245</v>
      </c>
      <c r="B3119" t="s">
        <v>4246</v>
      </c>
      <c r="C3119" s="10">
        <v>6</v>
      </c>
      <c r="D3119" s="10">
        <v>0.7</v>
      </c>
      <c r="E3119" s="10">
        <v>41.7</v>
      </c>
    </row>
    <row r="3120" spans="1:5">
      <c r="A3120" t="s">
        <v>6054</v>
      </c>
      <c r="B3120" t="s">
        <v>6055</v>
      </c>
      <c r="C3120" s="10">
        <v>3</v>
      </c>
      <c r="D3120" s="10">
        <v>0.7</v>
      </c>
      <c r="E3120" s="10">
        <v>40</v>
      </c>
    </row>
    <row r="3121" spans="1:5">
      <c r="A3121" t="s">
        <v>10067</v>
      </c>
      <c r="B3121" t="s">
        <v>8910</v>
      </c>
      <c r="C3121" s="10">
        <v>3</v>
      </c>
      <c r="D3121" s="10">
        <v>0.7</v>
      </c>
      <c r="E3121" s="10">
        <v>40</v>
      </c>
    </row>
    <row r="3122" spans="1:5">
      <c r="A3122" t="s">
        <v>10068</v>
      </c>
      <c r="B3122" t="s">
        <v>8911</v>
      </c>
      <c r="C3122" s="10">
        <v>3</v>
      </c>
      <c r="D3122" s="10">
        <v>0.7</v>
      </c>
      <c r="E3122" s="10">
        <v>40</v>
      </c>
    </row>
    <row r="3123" spans="1:5">
      <c r="A3123" t="s">
        <v>4247</v>
      </c>
      <c r="B3123" t="s">
        <v>4248</v>
      </c>
      <c r="C3123" s="10">
        <v>6</v>
      </c>
      <c r="D3123" s="10">
        <v>0.7</v>
      </c>
      <c r="E3123" s="10">
        <v>20</v>
      </c>
    </row>
    <row r="3124" spans="1:5">
      <c r="A3124" t="s">
        <v>6876</v>
      </c>
      <c r="B3124" t="s">
        <v>4248</v>
      </c>
      <c r="C3124" s="10">
        <v>12</v>
      </c>
      <c r="D3124" s="10">
        <v>1</v>
      </c>
      <c r="E3124" s="10">
        <v>20</v>
      </c>
    </row>
    <row r="3125" spans="1:5">
      <c r="A3125" t="s">
        <v>2227</v>
      </c>
      <c r="B3125" t="s">
        <v>2228</v>
      </c>
      <c r="C3125" s="10">
        <v>6</v>
      </c>
      <c r="D3125" s="10">
        <v>1</v>
      </c>
      <c r="E3125" s="10">
        <v>37.5</v>
      </c>
    </row>
    <row r="3126" spans="1:5">
      <c r="A3126" t="s">
        <v>4249</v>
      </c>
      <c r="B3126" t="s">
        <v>4250</v>
      </c>
      <c r="C3126" s="10">
        <v>6</v>
      </c>
      <c r="D3126" s="10">
        <v>0.7</v>
      </c>
      <c r="E3126" s="10">
        <v>56.2</v>
      </c>
    </row>
    <row r="3127" spans="1:5">
      <c r="A3127" t="s">
        <v>10069</v>
      </c>
      <c r="B3127" t="s">
        <v>8912</v>
      </c>
      <c r="C3127" s="10">
        <v>6</v>
      </c>
      <c r="D3127" s="10">
        <v>0.7</v>
      </c>
      <c r="E3127" s="10">
        <v>46</v>
      </c>
    </row>
    <row r="3128" spans="1:5">
      <c r="A3128" t="s">
        <v>4251</v>
      </c>
      <c r="B3128" t="s">
        <v>4252</v>
      </c>
      <c r="C3128" s="10">
        <v>6</v>
      </c>
      <c r="D3128" s="10">
        <v>0.7</v>
      </c>
      <c r="E3128" s="10">
        <v>50</v>
      </c>
    </row>
    <row r="3129" spans="1:5">
      <c r="A3129" t="s">
        <v>5244</v>
      </c>
      <c r="B3129" t="s">
        <v>5245</v>
      </c>
      <c r="C3129" s="10">
        <v>6</v>
      </c>
      <c r="D3129" s="10">
        <v>0.7</v>
      </c>
      <c r="E3129" s="10">
        <v>46</v>
      </c>
    </row>
    <row r="3130" spans="1:5">
      <c r="A3130" t="s">
        <v>4253</v>
      </c>
      <c r="B3130" t="s">
        <v>4254</v>
      </c>
      <c r="C3130" s="10">
        <v>6</v>
      </c>
      <c r="D3130" s="10">
        <v>0.7</v>
      </c>
      <c r="E3130" s="10">
        <v>41.8</v>
      </c>
    </row>
    <row r="3131" spans="1:5">
      <c r="A3131" t="s">
        <v>4255</v>
      </c>
      <c r="B3131" t="s">
        <v>4256</v>
      </c>
      <c r="C3131" s="10">
        <v>6</v>
      </c>
      <c r="D3131" s="10">
        <v>0.7</v>
      </c>
      <c r="E3131" s="10">
        <v>41.8</v>
      </c>
    </row>
    <row r="3132" spans="1:5">
      <c r="A3132" t="s">
        <v>4257</v>
      </c>
      <c r="B3132" t="s">
        <v>4258</v>
      </c>
      <c r="C3132" s="10">
        <v>6</v>
      </c>
      <c r="D3132" s="10">
        <v>0.7</v>
      </c>
      <c r="E3132" s="10">
        <v>41.8</v>
      </c>
    </row>
    <row r="3133" spans="1:5">
      <c r="A3133" t="s">
        <v>10070</v>
      </c>
      <c r="B3133" t="s">
        <v>8913</v>
      </c>
      <c r="C3133" s="10">
        <v>6</v>
      </c>
      <c r="D3133" s="10">
        <v>0.7</v>
      </c>
      <c r="E3133" s="10">
        <v>41.8</v>
      </c>
    </row>
    <row r="3134" spans="1:5">
      <c r="A3134" t="s">
        <v>10071</v>
      </c>
      <c r="B3134" t="s">
        <v>6719</v>
      </c>
      <c r="C3134" s="10">
        <v>12</v>
      </c>
      <c r="D3134" s="10">
        <v>0.5</v>
      </c>
      <c r="E3134" s="10">
        <v>35</v>
      </c>
    </row>
    <row r="3135" spans="1:5">
      <c r="A3135" t="s">
        <v>6720</v>
      </c>
      <c r="B3135" t="s">
        <v>6719</v>
      </c>
      <c r="C3135" s="10">
        <v>12</v>
      </c>
      <c r="D3135" s="10">
        <v>0.5</v>
      </c>
      <c r="E3135" s="10">
        <v>50</v>
      </c>
    </row>
    <row r="3136" spans="1:5">
      <c r="A3136" t="s">
        <v>2951</v>
      </c>
      <c r="B3136" t="s">
        <v>2952</v>
      </c>
      <c r="C3136" s="10">
        <v>6</v>
      </c>
      <c r="D3136" s="10">
        <v>0.75</v>
      </c>
      <c r="E3136" s="10">
        <v>13</v>
      </c>
    </row>
    <row r="3137" spans="1:5">
      <c r="A3137" t="s">
        <v>2229</v>
      </c>
      <c r="B3137" t="s">
        <v>2230</v>
      </c>
      <c r="C3137" s="10">
        <v>6</v>
      </c>
      <c r="D3137" s="10">
        <v>1</v>
      </c>
      <c r="E3137" s="10">
        <v>35</v>
      </c>
    </row>
    <row r="3138" spans="1:5">
      <c r="A3138" t="s">
        <v>2231</v>
      </c>
      <c r="B3138" t="s">
        <v>2232</v>
      </c>
      <c r="C3138" s="10">
        <v>6</v>
      </c>
      <c r="D3138" s="10">
        <v>1</v>
      </c>
      <c r="E3138" s="10">
        <v>28</v>
      </c>
    </row>
    <row r="3139" spans="1:5">
      <c r="A3139" t="s">
        <v>998</v>
      </c>
      <c r="B3139" t="s">
        <v>999</v>
      </c>
      <c r="C3139" s="10">
        <v>6</v>
      </c>
      <c r="D3139" s="10">
        <v>0.7</v>
      </c>
      <c r="E3139" s="10">
        <v>40</v>
      </c>
    </row>
    <row r="3140" spans="1:5">
      <c r="A3140" t="s">
        <v>5833</v>
      </c>
      <c r="B3140" t="s">
        <v>5834</v>
      </c>
      <c r="C3140" s="10">
        <v>12</v>
      </c>
      <c r="D3140" s="10">
        <v>0.2</v>
      </c>
      <c r="E3140" s="10">
        <v>40</v>
      </c>
    </row>
    <row r="3141" spans="1:5">
      <c r="A3141" t="s">
        <v>10072</v>
      </c>
      <c r="B3141" t="s">
        <v>3052</v>
      </c>
      <c r="C3141" s="10">
        <v>24</v>
      </c>
      <c r="D3141" s="10">
        <v>0.2</v>
      </c>
      <c r="E3141" s="10">
        <v>12</v>
      </c>
    </row>
    <row r="3142" spans="1:5">
      <c r="A3142" t="s">
        <v>3051</v>
      </c>
      <c r="B3142" t="s">
        <v>3052</v>
      </c>
      <c r="C3142" s="10">
        <v>6</v>
      </c>
      <c r="D3142" s="10">
        <v>0.75</v>
      </c>
      <c r="E3142" s="10">
        <v>12</v>
      </c>
    </row>
    <row r="3143" spans="1:5">
      <c r="A3143" t="s">
        <v>6358</v>
      </c>
      <c r="B3143" t="s">
        <v>3052</v>
      </c>
      <c r="C3143" s="10">
        <v>3</v>
      </c>
      <c r="D3143" s="10">
        <v>1.5</v>
      </c>
      <c r="E3143" s="10">
        <v>12</v>
      </c>
    </row>
    <row r="3144" spans="1:5">
      <c r="A3144" t="s">
        <v>6721</v>
      </c>
      <c r="B3144" t="s">
        <v>3052</v>
      </c>
      <c r="C3144" s="10">
        <v>12</v>
      </c>
      <c r="D3144" s="10">
        <v>375</v>
      </c>
      <c r="E3144" s="10">
        <v>12</v>
      </c>
    </row>
    <row r="3145" spans="1:5">
      <c r="A3145" t="s">
        <v>3053</v>
      </c>
      <c r="B3145" t="s">
        <v>3054</v>
      </c>
      <c r="C3145" s="10">
        <v>6</v>
      </c>
      <c r="D3145" s="10">
        <v>0.75</v>
      </c>
      <c r="E3145" s="10">
        <v>12</v>
      </c>
    </row>
    <row r="3146" spans="1:5">
      <c r="A3146" t="s">
        <v>10073</v>
      </c>
      <c r="B3146" t="s">
        <v>8914</v>
      </c>
      <c r="C3146" s="10">
        <v>1</v>
      </c>
      <c r="D3146" s="10">
        <v>6</v>
      </c>
      <c r="E3146" s="10">
        <v>12</v>
      </c>
    </row>
    <row r="3147" spans="1:5">
      <c r="A3147" t="s">
        <v>6359</v>
      </c>
      <c r="B3147" t="s">
        <v>6360</v>
      </c>
      <c r="C3147" s="10">
        <v>24</v>
      </c>
      <c r="D3147" s="10">
        <v>0.2</v>
      </c>
      <c r="E3147" s="10">
        <v>12</v>
      </c>
    </row>
    <row r="3148" spans="1:5">
      <c r="A3148" t="s">
        <v>3055</v>
      </c>
      <c r="B3148" t="s">
        <v>3056</v>
      </c>
      <c r="C3148" s="10">
        <v>6</v>
      </c>
      <c r="D3148" s="10">
        <v>0.75</v>
      </c>
      <c r="E3148" s="10">
        <v>12</v>
      </c>
    </row>
    <row r="3149" spans="1:5">
      <c r="A3149" t="s">
        <v>3057</v>
      </c>
      <c r="B3149" t="s">
        <v>3058</v>
      </c>
      <c r="C3149" s="10">
        <v>6</v>
      </c>
      <c r="D3149" s="10">
        <v>0.75</v>
      </c>
      <c r="E3149" s="10">
        <v>12</v>
      </c>
    </row>
    <row r="3150" spans="1:5">
      <c r="A3150" t="s">
        <v>10074</v>
      </c>
      <c r="B3150" t="s">
        <v>8915</v>
      </c>
      <c r="C3150" s="10">
        <v>6</v>
      </c>
      <c r="D3150" s="10">
        <v>0.75</v>
      </c>
      <c r="E3150" s="10">
        <v>12.5</v>
      </c>
    </row>
    <row r="3151" spans="1:5">
      <c r="A3151" t="s">
        <v>3059</v>
      </c>
      <c r="B3151" t="s">
        <v>3060</v>
      </c>
      <c r="C3151" s="10">
        <v>6</v>
      </c>
      <c r="D3151" s="10">
        <v>0.75</v>
      </c>
      <c r="E3151" s="10">
        <v>12</v>
      </c>
    </row>
    <row r="3152" spans="1:5">
      <c r="A3152" t="s">
        <v>3061</v>
      </c>
      <c r="B3152" t="s">
        <v>3062</v>
      </c>
      <c r="C3152" s="10">
        <v>6</v>
      </c>
      <c r="D3152" s="10">
        <v>0.75</v>
      </c>
      <c r="E3152" s="10">
        <v>12</v>
      </c>
    </row>
    <row r="3153" spans="1:5">
      <c r="A3153" t="s">
        <v>6361</v>
      </c>
      <c r="B3153" t="s">
        <v>3062</v>
      </c>
      <c r="C3153" s="10">
        <v>3</v>
      </c>
      <c r="D3153" s="10">
        <v>1.5</v>
      </c>
      <c r="E3153" s="10">
        <v>12</v>
      </c>
    </row>
    <row r="3154" spans="1:5">
      <c r="A3154" t="s">
        <v>10075</v>
      </c>
      <c r="B3154" t="s">
        <v>8916</v>
      </c>
      <c r="C3154" s="10">
        <v>4</v>
      </c>
      <c r="D3154" s="10">
        <v>0.75</v>
      </c>
      <c r="E3154" s="10">
        <v>12</v>
      </c>
    </row>
    <row r="3155" spans="1:5">
      <c r="A3155" t="s">
        <v>2233</v>
      </c>
      <c r="B3155" t="s">
        <v>2234</v>
      </c>
      <c r="C3155" s="10">
        <v>6</v>
      </c>
      <c r="D3155" s="10">
        <v>1</v>
      </c>
      <c r="E3155" s="10">
        <v>0</v>
      </c>
    </row>
    <row r="3156" spans="1:5">
      <c r="A3156" t="s">
        <v>3063</v>
      </c>
      <c r="B3156" t="s">
        <v>3064</v>
      </c>
      <c r="C3156" s="10">
        <v>6</v>
      </c>
      <c r="D3156" s="10">
        <v>0.75</v>
      </c>
      <c r="E3156" s="10">
        <v>12</v>
      </c>
    </row>
    <row r="3157" spans="1:5">
      <c r="A3157" t="s">
        <v>10076</v>
      </c>
      <c r="B3157" t="s">
        <v>6962</v>
      </c>
      <c r="C3157" s="10">
        <v>1</v>
      </c>
      <c r="D3157" s="10">
        <v>3</v>
      </c>
      <c r="E3157" s="10">
        <v>12</v>
      </c>
    </row>
    <row r="3158" spans="1:5">
      <c r="A3158" t="s">
        <v>10077</v>
      </c>
      <c r="B3158" t="s">
        <v>8917</v>
      </c>
      <c r="C3158" s="10">
        <v>1</v>
      </c>
      <c r="D3158" s="10">
        <v>3</v>
      </c>
      <c r="E3158" s="10">
        <v>12</v>
      </c>
    </row>
    <row r="3159" spans="1:5">
      <c r="A3159" t="s">
        <v>1000</v>
      </c>
      <c r="B3159" t="s">
        <v>1001</v>
      </c>
      <c r="C3159" s="10">
        <v>6</v>
      </c>
      <c r="D3159" s="10">
        <v>0.7</v>
      </c>
      <c r="E3159" s="10">
        <v>40</v>
      </c>
    </row>
    <row r="3160" spans="1:5">
      <c r="A3160" t="s">
        <v>3065</v>
      </c>
      <c r="B3160" t="s">
        <v>3066</v>
      </c>
      <c r="C3160" s="10">
        <v>6</v>
      </c>
      <c r="D3160" s="10">
        <v>0.75</v>
      </c>
      <c r="E3160" s="10">
        <v>12</v>
      </c>
    </row>
    <row r="3161" spans="1:5">
      <c r="A3161" t="s">
        <v>3067</v>
      </c>
      <c r="B3161" t="s">
        <v>3068</v>
      </c>
      <c r="C3161" s="10">
        <v>6</v>
      </c>
      <c r="D3161" s="10">
        <v>0.75</v>
      </c>
      <c r="E3161" s="10">
        <v>12</v>
      </c>
    </row>
    <row r="3162" spans="1:5">
      <c r="A3162" t="s">
        <v>3069</v>
      </c>
      <c r="B3162" t="s">
        <v>3070</v>
      </c>
      <c r="C3162" s="10">
        <v>6</v>
      </c>
      <c r="D3162" s="10">
        <v>0.75</v>
      </c>
      <c r="E3162" s="10">
        <v>12</v>
      </c>
    </row>
    <row r="3163" spans="1:5">
      <c r="A3163" t="s">
        <v>10078</v>
      </c>
      <c r="B3163" t="s">
        <v>8918</v>
      </c>
      <c r="C3163" s="10">
        <v>3</v>
      </c>
      <c r="D3163" s="10">
        <v>1.5</v>
      </c>
      <c r="E3163" s="10">
        <v>12</v>
      </c>
    </row>
    <row r="3164" spans="1:5">
      <c r="A3164" t="s">
        <v>10079</v>
      </c>
      <c r="B3164" t="s">
        <v>8919</v>
      </c>
      <c r="C3164" s="10">
        <v>6</v>
      </c>
      <c r="D3164" s="10">
        <v>0.75</v>
      </c>
      <c r="E3164" s="10">
        <v>12</v>
      </c>
    </row>
    <row r="3165" spans="1:5">
      <c r="A3165" t="s">
        <v>6362</v>
      </c>
      <c r="B3165" t="s">
        <v>3072</v>
      </c>
      <c r="C3165" s="10">
        <v>24</v>
      </c>
      <c r="D3165" s="10">
        <v>0.2</v>
      </c>
      <c r="E3165" s="10">
        <v>12</v>
      </c>
    </row>
    <row r="3166" spans="1:5">
      <c r="A3166" t="s">
        <v>3071</v>
      </c>
      <c r="B3166" t="s">
        <v>3072</v>
      </c>
      <c r="C3166" s="10">
        <v>6</v>
      </c>
      <c r="D3166" s="10">
        <v>0.75</v>
      </c>
      <c r="E3166" s="10">
        <v>12</v>
      </c>
    </row>
    <row r="3167" spans="1:5">
      <c r="A3167" t="s">
        <v>6722</v>
      </c>
      <c r="B3167" t="s">
        <v>3072</v>
      </c>
      <c r="C3167" s="10">
        <v>12</v>
      </c>
      <c r="D3167" s="10">
        <v>375</v>
      </c>
      <c r="E3167" s="10">
        <v>12</v>
      </c>
    </row>
    <row r="3168" spans="1:5">
      <c r="A3168" t="s">
        <v>3073</v>
      </c>
      <c r="B3168" t="s">
        <v>3074</v>
      </c>
      <c r="C3168" s="10">
        <v>6</v>
      </c>
      <c r="D3168" s="10">
        <v>0.75</v>
      </c>
      <c r="E3168" s="10">
        <v>12</v>
      </c>
    </row>
    <row r="3169" spans="1:5">
      <c r="A3169" t="s">
        <v>6363</v>
      </c>
      <c r="B3169" t="s">
        <v>6364</v>
      </c>
      <c r="C3169" s="10">
        <v>1</v>
      </c>
      <c r="D3169" s="10">
        <v>1</v>
      </c>
      <c r="E3169" s="10">
        <v>0</v>
      </c>
    </row>
    <row r="3170" spans="1:5">
      <c r="A3170" t="s">
        <v>4259</v>
      </c>
      <c r="B3170" t="s">
        <v>4260</v>
      </c>
      <c r="C3170" s="10">
        <v>6</v>
      </c>
      <c r="D3170" s="10">
        <v>0.7</v>
      </c>
      <c r="E3170" s="10">
        <v>32</v>
      </c>
    </row>
    <row r="3171" spans="1:5">
      <c r="A3171" t="s">
        <v>10080</v>
      </c>
      <c r="B3171" t="s">
        <v>8920</v>
      </c>
      <c r="C3171" s="10">
        <v>6</v>
      </c>
      <c r="D3171" s="10">
        <v>0.7</v>
      </c>
      <c r="E3171" s="10">
        <v>40</v>
      </c>
    </row>
    <row r="3172" spans="1:5">
      <c r="A3172" t="s">
        <v>5733</v>
      </c>
      <c r="B3172" t="s">
        <v>8920</v>
      </c>
      <c r="C3172" s="10">
        <v>12</v>
      </c>
      <c r="D3172" s="10">
        <v>1</v>
      </c>
      <c r="E3172" s="10">
        <v>40</v>
      </c>
    </row>
    <row r="3173" spans="1:5">
      <c r="A3173" t="s">
        <v>1002</v>
      </c>
      <c r="B3173" t="s">
        <v>1003</v>
      </c>
      <c r="C3173" s="10">
        <v>6</v>
      </c>
      <c r="D3173" s="10">
        <v>0.7</v>
      </c>
      <c r="E3173" s="10">
        <v>40</v>
      </c>
    </row>
    <row r="3174" spans="1:5">
      <c r="A3174" t="s">
        <v>10081</v>
      </c>
      <c r="B3174" t="s">
        <v>1003</v>
      </c>
      <c r="C3174" s="10">
        <v>6</v>
      </c>
      <c r="D3174" s="10">
        <v>1</v>
      </c>
      <c r="E3174" s="10">
        <v>42</v>
      </c>
    </row>
    <row r="3175" spans="1:5">
      <c r="A3175" t="s">
        <v>1488</v>
      </c>
      <c r="B3175" t="s">
        <v>1003</v>
      </c>
      <c r="C3175" s="10">
        <v>6</v>
      </c>
      <c r="D3175" s="10">
        <v>1</v>
      </c>
      <c r="E3175" s="10">
        <v>40</v>
      </c>
    </row>
    <row r="3176" spans="1:5">
      <c r="A3176" t="s">
        <v>10082</v>
      </c>
      <c r="B3176" t="s">
        <v>8921</v>
      </c>
      <c r="C3176" s="10">
        <v>6</v>
      </c>
      <c r="D3176" s="10">
        <v>0.7</v>
      </c>
      <c r="E3176" s="10">
        <v>40</v>
      </c>
    </row>
    <row r="3177" spans="1:5">
      <c r="A3177" t="s">
        <v>4883</v>
      </c>
      <c r="B3177" t="s">
        <v>4884</v>
      </c>
      <c r="C3177" s="10">
        <v>6</v>
      </c>
      <c r="D3177" s="10">
        <v>0.7</v>
      </c>
      <c r="E3177" s="10">
        <v>37.5</v>
      </c>
    </row>
    <row r="3178" spans="1:5">
      <c r="A3178" t="s">
        <v>4885</v>
      </c>
      <c r="B3178" t="s">
        <v>4886</v>
      </c>
      <c r="C3178" s="10">
        <v>6</v>
      </c>
      <c r="D3178" s="10">
        <v>0.7</v>
      </c>
      <c r="E3178" s="10">
        <v>37.5</v>
      </c>
    </row>
    <row r="3179" spans="1:5">
      <c r="A3179" t="s">
        <v>4261</v>
      </c>
      <c r="B3179" t="s">
        <v>4262</v>
      </c>
      <c r="C3179" s="10">
        <v>6</v>
      </c>
      <c r="D3179" s="10">
        <v>0.7</v>
      </c>
      <c r="E3179" s="10">
        <v>39.5</v>
      </c>
    </row>
    <row r="3180" spans="1:5">
      <c r="A3180" t="s">
        <v>10083</v>
      </c>
      <c r="B3180" t="s">
        <v>4264</v>
      </c>
      <c r="C3180" s="10">
        <v>4</v>
      </c>
      <c r="D3180" s="10">
        <v>0.7</v>
      </c>
      <c r="E3180" s="10">
        <v>43.5</v>
      </c>
    </row>
    <row r="3181" spans="1:5">
      <c r="A3181" t="s">
        <v>4263</v>
      </c>
      <c r="B3181" t="s">
        <v>4264</v>
      </c>
      <c r="C3181" s="10">
        <v>6</v>
      </c>
      <c r="D3181" s="10">
        <v>0.7</v>
      </c>
      <c r="E3181" s="10">
        <v>43.5</v>
      </c>
    </row>
    <row r="3182" spans="1:5">
      <c r="A3182" t="s">
        <v>4265</v>
      </c>
      <c r="B3182" t="s">
        <v>4266</v>
      </c>
      <c r="C3182" s="10">
        <v>6</v>
      </c>
      <c r="D3182" s="10">
        <v>0.7</v>
      </c>
      <c r="E3182" s="10">
        <v>41.5</v>
      </c>
    </row>
    <row r="3183" spans="1:5">
      <c r="A3183" t="s">
        <v>4887</v>
      </c>
      <c r="B3183" t="s">
        <v>4888</v>
      </c>
      <c r="C3183" s="10">
        <v>6</v>
      </c>
      <c r="D3183" s="10">
        <v>0.7</v>
      </c>
      <c r="E3183" s="10">
        <v>37.5</v>
      </c>
    </row>
    <row r="3184" spans="1:5">
      <c r="A3184" t="s">
        <v>10084</v>
      </c>
      <c r="B3184" t="s">
        <v>4267</v>
      </c>
      <c r="C3184" s="10">
        <v>6</v>
      </c>
      <c r="D3184" s="10">
        <v>0.7</v>
      </c>
      <c r="E3184" s="10">
        <v>0</v>
      </c>
    </row>
    <row r="3185" spans="1:5">
      <c r="A3185" t="s">
        <v>10085</v>
      </c>
      <c r="B3185" t="s">
        <v>4268</v>
      </c>
      <c r="C3185" s="10">
        <v>6</v>
      </c>
      <c r="D3185" s="10">
        <v>0.7</v>
      </c>
      <c r="E3185" s="10">
        <v>0</v>
      </c>
    </row>
    <row r="3186" spans="1:5">
      <c r="A3186" t="s">
        <v>10086</v>
      </c>
      <c r="B3186" t="s">
        <v>4269</v>
      </c>
      <c r="C3186" s="10">
        <v>6</v>
      </c>
      <c r="D3186" s="10">
        <v>0.7</v>
      </c>
      <c r="E3186" s="10">
        <v>0</v>
      </c>
    </row>
    <row r="3187" spans="1:5">
      <c r="A3187" t="s">
        <v>10087</v>
      </c>
      <c r="B3187" t="s">
        <v>4270</v>
      </c>
      <c r="C3187" s="10">
        <v>6</v>
      </c>
      <c r="D3187" s="10">
        <v>0.7</v>
      </c>
      <c r="E3187" s="10">
        <v>0</v>
      </c>
    </row>
    <row r="3188" spans="1:5">
      <c r="A3188" t="s">
        <v>10088</v>
      </c>
      <c r="B3188" t="s">
        <v>4271</v>
      </c>
      <c r="C3188" s="10">
        <v>6</v>
      </c>
      <c r="D3188" s="10">
        <v>0.7</v>
      </c>
      <c r="E3188" s="10">
        <v>0</v>
      </c>
    </row>
    <row r="3189" spans="1:5">
      <c r="A3189" t="s">
        <v>10089</v>
      </c>
      <c r="B3189" t="s">
        <v>8922</v>
      </c>
      <c r="C3189" s="10">
        <v>6</v>
      </c>
      <c r="D3189" s="10">
        <v>0.7</v>
      </c>
      <c r="E3189" s="10">
        <v>0</v>
      </c>
    </row>
    <row r="3190" spans="1:5">
      <c r="A3190" t="s">
        <v>10090</v>
      </c>
      <c r="B3190" t="s">
        <v>4272</v>
      </c>
      <c r="C3190" s="10">
        <v>6</v>
      </c>
      <c r="D3190" s="10">
        <v>0.7</v>
      </c>
      <c r="E3190" s="10">
        <v>0</v>
      </c>
    </row>
    <row r="3191" spans="1:5">
      <c r="A3191" t="s">
        <v>10091</v>
      </c>
      <c r="B3191" t="s">
        <v>4273</v>
      </c>
      <c r="C3191" s="10">
        <v>6</v>
      </c>
      <c r="D3191" s="10">
        <v>0.7</v>
      </c>
      <c r="E3191" s="10">
        <v>0</v>
      </c>
    </row>
    <row r="3192" spans="1:5">
      <c r="A3192" t="s">
        <v>4274</v>
      </c>
      <c r="B3192" t="s">
        <v>4275</v>
      </c>
      <c r="C3192" s="10">
        <v>6</v>
      </c>
      <c r="D3192" s="10">
        <v>0.7</v>
      </c>
      <c r="E3192" s="10">
        <v>0</v>
      </c>
    </row>
    <row r="3193" spans="1:5">
      <c r="A3193" t="s">
        <v>10092</v>
      </c>
      <c r="B3193" t="s">
        <v>8923</v>
      </c>
      <c r="C3193" s="10">
        <v>6</v>
      </c>
      <c r="D3193" s="10">
        <v>0.7</v>
      </c>
      <c r="E3193" s="10">
        <v>0</v>
      </c>
    </row>
    <row r="3194" spans="1:5">
      <c r="A3194" t="s">
        <v>10093</v>
      </c>
      <c r="B3194" t="s">
        <v>8924</v>
      </c>
      <c r="C3194" s="10">
        <v>6</v>
      </c>
      <c r="D3194" s="10">
        <v>0.7</v>
      </c>
      <c r="E3194" s="10">
        <v>0</v>
      </c>
    </row>
    <row r="3195" spans="1:5">
      <c r="A3195" t="s">
        <v>10094</v>
      </c>
      <c r="B3195" t="s">
        <v>8925</v>
      </c>
      <c r="C3195" s="10">
        <v>6</v>
      </c>
      <c r="D3195" s="10">
        <v>0.7</v>
      </c>
      <c r="E3195" s="10">
        <v>0</v>
      </c>
    </row>
    <row r="3196" spans="1:5">
      <c r="A3196" t="s">
        <v>10095</v>
      </c>
      <c r="B3196" t="s">
        <v>4276</v>
      </c>
      <c r="C3196" s="10">
        <v>6</v>
      </c>
      <c r="D3196" s="10">
        <v>0.7</v>
      </c>
      <c r="E3196" s="10">
        <v>0</v>
      </c>
    </row>
    <row r="3197" spans="1:5">
      <c r="A3197" t="s">
        <v>10096</v>
      </c>
      <c r="B3197" t="s">
        <v>4277</v>
      </c>
      <c r="C3197" s="10">
        <v>6</v>
      </c>
      <c r="D3197" s="10">
        <v>0.7</v>
      </c>
      <c r="E3197" s="10">
        <v>0</v>
      </c>
    </row>
    <row r="3198" spans="1:5">
      <c r="A3198" t="s">
        <v>10097</v>
      </c>
      <c r="B3198" t="s">
        <v>4278</v>
      </c>
      <c r="C3198" s="10">
        <v>6</v>
      </c>
      <c r="D3198" s="10">
        <v>0.7</v>
      </c>
      <c r="E3198" s="10">
        <v>0</v>
      </c>
    </row>
    <row r="3199" spans="1:5">
      <c r="A3199" t="s">
        <v>6365</v>
      </c>
      <c r="B3199" t="s">
        <v>1866</v>
      </c>
      <c r="C3199" s="10">
        <v>48</v>
      </c>
      <c r="D3199" s="10">
        <v>0.05</v>
      </c>
      <c r="E3199" s="10">
        <v>47</v>
      </c>
    </row>
    <row r="3200" spans="1:5">
      <c r="A3200" t="s">
        <v>1865</v>
      </c>
      <c r="B3200" t="s">
        <v>1866</v>
      </c>
      <c r="C3200" s="10">
        <v>6</v>
      </c>
      <c r="D3200" s="10">
        <v>0.5</v>
      </c>
      <c r="E3200" s="10">
        <v>47</v>
      </c>
    </row>
    <row r="3201" spans="1:5">
      <c r="A3201" t="s">
        <v>10098</v>
      </c>
      <c r="B3201" t="s">
        <v>8926</v>
      </c>
      <c r="C3201" s="10">
        <v>6</v>
      </c>
      <c r="D3201" s="10">
        <v>0.5</v>
      </c>
      <c r="E3201" s="10">
        <v>47</v>
      </c>
    </row>
    <row r="3202" spans="1:5">
      <c r="A3202" t="s">
        <v>10099</v>
      </c>
      <c r="B3202" t="s">
        <v>8927</v>
      </c>
      <c r="C3202" s="10">
        <v>6</v>
      </c>
      <c r="D3202" s="10">
        <v>0.5</v>
      </c>
      <c r="E3202" s="10">
        <v>47</v>
      </c>
    </row>
    <row r="3203" spans="1:5">
      <c r="A3203" t="s">
        <v>1867</v>
      </c>
      <c r="B3203" t="s">
        <v>1868</v>
      </c>
      <c r="C3203" s="10">
        <v>6</v>
      </c>
      <c r="D3203" s="10">
        <v>0.5</v>
      </c>
      <c r="E3203" s="10">
        <v>47</v>
      </c>
    </row>
    <row r="3204" spans="1:5">
      <c r="A3204" t="s">
        <v>1869</v>
      </c>
      <c r="B3204" t="s">
        <v>1870</v>
      </c>
      <c r="C3204" s="10">
        <v>6</v>
      </c>
      <c r="D3204" s="10">
        <v>0.5</v>
      </c>
      <c r="E3204" s="10">
        <v>47</v>
      </c>
    </row>
    <row r="3205" spans="1:5">
      <c r="A3205" t="s">
        <v>6366</v>
      </c>
      <c r="B3205" t="s">
        <v>6367</v>
      </c>
      <c r="C3205" s="10">
        <v>24</v>
      </c>
      <c r="D3205" s="10">
        <v>0.15</v>
      </c>
      <c r="E3205" s="10">
        <v>41</v>
      </c>
    </row>
    <row r="3206" spans="1:5">
      <c r="A3206" t="s">
        <v>1871</v>
      </c>
      <c r="B3206" t="s">
        <v>1872</v>
      </c>
      <c r="C3206" s="10">
        <v>6</v>
      </c>
      <c r="D3206" s="10">
        <v>0.5</v>
      </c>
      <c r="E3206" s="10">
        <v>29</v>
      </c>
    </row>
    <row r="3207" spans="1:5">
      <c r="A3207" t="s">
        <v>4279</v>
      </c>
      <c r="B3207" t="s">
        <v>4280</v>
      </c>
      <c r="C3207" s="10">
        <v>6</v>
      </c>
      <c r="D3207" s="10">
        <v>0.7</v>
      </c>
      <c r="E3207" s="10">
        <v>12.5</v>
      </c>
    </row>
    <row r="3208" spans="1:5">
      <c r="A3208" t="s">
        <v>1004</v>
      </c>
      <c r="B3208" t="s">
        <v>1005</v>
      </c>
      <c r="C3208" s="10">
        <v>6</v>
      </c>
      <c r="D3208" s="10">
        <v>0.7</v>
      </c>
      <c r="E3208" s="10">
        <v>40</v>
      </c>
    </row>
    <row r="3209" spans="1:5">
      <c r="A3209" t="s">
        <v>1489</v>
      </c>
      <c r="B3209" t="s">
        <v>1005</v>
      </c>
      <c r="C3209" s="10">
        <v>6</v>
      </c>
      <c r="D3209" s="10">
        <v>1</v>
      </c>
      <c r="E3209" s="10">
        <v>40</v>
      </c>
    </row>
    <row r="3210" spans="1:5">
      <c r="A3210" t="s">
        <v>10100</v>
      </c>
      <c r="B3210" t="s">
        <v>8928</v>
      </c>
      <c r="C3210" s="10">
        <v>6</v>
      </c>
      <c r="D3210" s="10">
        <v>0.7</v>
      </c>
      <c r="E3210" s="10">
        <v>40</v>
      </c>
    </row>
    <row r="3211" spans="1:5">
      <c r="A3211" t="s">
        <v>10101</v>
      </c>
      <c r="B3211" t="s">
        <v>8929</v>
      </c>
      <c r="C3211" s="10">
        <v>6</v>
      </c>
      <c r="D3211" s="10">
        <v>0.7</v>
      </c>
      <c r="E3211" s="10">
        <v>40</v>
      </c>
    </row>
    <row r="3212" spans="1:5">
      <c r="A3212" t="s">
        <v>10102</v>
      </c>
      <c r="B3212" t="s">
        <v>8930</v>
      </c>
      <c r="C3212" s="10">
        <v>1</v>
      </c>
      <c r="D3212" s="10">
        <v>4.5</v>
      </c>
      <c r="E3212" s="10">
        <v>40</v>
      </c>
    </row>
    <row r="3213" spans="1:5">
      <c r="A3213" t="s">
        <v>1006</v>
      </c>
      <c r="B3213" t="s">
        <v>1007</v>
      </c>
      <c r="C3213" s="10">
        <v>6</v>
      </c>
      <c r="D3213" s="10">
        <v>0.7</v>
      </c>
      <c r="E3213" s="10">
        <v>40</v>
      </c>
    </row>
    <row r="3214" spans="1:5">
      <c r="A3214" t="s">
        <v>10103</v>
      </c>
      <c r="B3214" t="s">
        <v>8931</v>
      </c>
      <c r="C3214" s="10">
        <v>12</v>
      </c>
      <c r="D3214" s="10">
        <v>0.7</v>
      </c>
      <c r="E3214" s="10">
        <v>37.5</v>
      </c>
    </row>
    <row r="3215" spans="1:5">
      <c r="A3215" t="s">
        <v>4281</v>
      </c>
      <c r="B3215" t="s">
        <v>4282</v>
      </c>
      <c r="C3215" s="10">
        <v>6</v>
      </c>
      <c r="D3215" s="10">
        <v>0.7</v>
      </c>
      <c r="E3215" s="10">
        <v>43.2</v>
      </c>
    </row>
    <row r="3216" spans="1:5">
      <c r="A3216" t="s">
        <v>1008</v>
      </c>
      <c r="B3216" t="s">
        <v>1009</v>
      </c>
      <c r="C3216" s="10">
        <v>6</v>
      </c>
      <c r="D3216" s="10">
        <v>0.7</v>
      </c>
      <c r="E3216" s="10">
        <v>40</v>
      </c>
    </row>
    <row r="3217" spans="1:5">
      <c r="A3217" t="s">
        <v>1010</v>
      </c>
      <c r="B3217" t="s">
        <v>1011</v>
      </c>
      <c r="C3217" s="10">
        <v>6</v>
      </c>
      <c r="D3217" s="10">
        <v>0.7</v>
      </c>
      <c r="E3217" s="10">
        <v>40</v>
      </c>
    </row>
    <row r="3218" spans="1:5">
      <c r="A3218" t="s">
        <v>1012</v>
      </c>
      <c r="B3218" t="s">
        <v>1013</v>
      </c>
      <c r="C3218" s="10">
        <v>6</v>
      </c>
      <c r="D3218" s="10">
        <v>0.7</v>
      </c>
      <c r="E3218" s="10">
        <v>40</v>
      </c>
    </row>
    <row r="3219" spans="1:5">
      <c r="A3219" t="s">
        <v>1014</v>
      </c>
      <c r="B3219" t="s">
        <v>1015</v>
      </c>
      <c r="C3219" s="10">
        <v>6</v>
      </c>
      <c r="D3219" s="10">
        <v>0.7</v>
      </c>
      <c r="E3219" s="10">
        <v>40</v>
      </c>
    </row>
    <row r="3220" spans="1:5">
      <c r="A3220" t="s">
        <v>4283</v>
      </c>
      <c r="B3220" t="s">
        <v>4284</v>
      </c>
      <c r="C3220" s="10">
        <v>6</v>
      </c>
      <c r="D3220" s="10">
        <v>0.7</v>
      </c>
      <c r="E3220" s="10">
        <v>43.4</v>
      </c>
    </row>
    <row r="3221" spans="1:5">
      <c r="A3221" t="s">
        <v>10104</v>
      </c>
      <c r="B3221" t="s">
        <v>8932</v>
      </c>
      <c r="C3221" s="10">
        <v>6</v>
      </c>
      <c r="D3221" s="10">
        <v>0.7</v>
      </c>
      <c r="E3221" s="10">
        <v>43.4</v>
      </c>
    </row>
    <row r="3222" spans="1:5">
      <c r="A3222" t="s">
        <v>10105</v>
      </c>
      <c r="B3222" t="s">
        <v>8933</v>
      </c>
      <c r="C3222" s="10">
        <v>6</v>
      </c>
      <c r="D3222" s="10">
        <v>0.7</v>
      </c>
      <c r="E3222" s="10">
        <v>46</v>
      </c>
    </row>
    <row r="3223" spans="1:5">
      <c r="A3223" t="s">
        <v>4285</v>
      </c>
      <c r="B3223" t="s">
        <v>4286</v>
      </c>
      <c r="C3223" s="10">
        <v>6</v>
      </c>
      <c r="D3223" s="10">
        <v>0.7</v>
      </c>
      <c r="E3223" s="10">
        <v>43.4</v>
      </c>
    </row>
    <row r="3224" spans="1:5">
      <c r="A3224" t="s">
        <v>10106</v>
      </c>
      <c r="B3224" t="s">
        <v>8934</v>
      </c>
      <c r="C3224" s="10">
        <v>6</v>
      </c>
      <c r="D3224" s="10">
        <v>0.7</v>
      </c>
      <c r="E3224" s="10">
        <v>43.4</v>
      </c>
    </row>
    <row r="3225" spans="1:5">
      <c r="A3225" t="s">
        <v>4778</v>
      </c>
      <c r="B3225" t="s">
        <v>4779</v>
      </c>
      <c r="C3225" s="10">
        <v>6</v>
      </c>
      <c r="D3225" s="10">
        <v>0.7</v>
      </c>
      <c r="E3225" s="10">
        <v>45</v>
      </c>
    </row>
    <row r="3226" spans="1:5">
      <c r="A3226" t="s">
        <v>1016</v>
      </c>
      <c r="B3226" t="s">
        <v>1017</v>
      </c>
      <c r="C3226" s="10">
        <v>6</v>
      </c>
      <c r="D3226" s="10">
        <v>0.7</v>
      </c>
      <c r="E3226" s="10">
        <v>40</v>
      </c>
    </row>
    <row r="3227" spans="1:5">
      <c r="A3227" t="s">
        <v>10107</v>
      </c>
      <c r="B3227" t="s">
        <v>8935</v>
      </c>
      <c r="C3227" s="10">
        <v>24</v>
      </c>
      <c r="D3227" s="10">
        <v>0.33</v>
      </c>
      <c r="E3227" s="10">
        <v>5</v>
      </c>
    </row>
    <row r="3228" spans="1:5">
      <c r="A3228" t="s">
        <v>1018</v>
      </c>
      <c r="B3228" t="s">
        <v>1019</v>
      </c>
      <c r="C3228" s="10">
        <v>6</v>
      </c>
      <c r="D3228" s="10">
        <v>0.7</v>
      </c>
      <c r="E3228" s="10">
        <v>40</v>
      </c>
    </row>
    <row r="3229" spans="1:5">
      <c r="A3229" t="s">
        <v>4287</v>
      </c>
      <c r="B3229" t="s">
        <v>4288</v>
      </c>
      <c r="C3229" s="10">
        <v>6</v>
      </c>
      <c r="D3229" s="10">
        <v>0.7</v>
      </c>
      <c r="E3229" s="10">
        <v>41.6</v>
      </c>
    </row>
    <row r="3230" spans="1:5">
      <c r="A3230" t="s">
        <v>1020</v>
      </c>
      <c r="B3230" t="s">
        <v>1021</v>
      </c>
      <c r="C3230" s="10">
        <v>6</v>
      </c>
      <c r="D3230" s="10">
        <v>0.7</v>
      </c>
      <c r="E3230" s="10">
        <v>40</v>
      </c>
    </row>
    <row r="3231" spans="1:5">
      <c r="A3231" t="s">
        <v>2235</v>
      </c>
      <c r="B3231" t="s">
        <v>2236</v>
      </c>
      <c r="C3231" s="10">
        <v>6</v>
      </c>
      <c r="D3231" s="10">
        <v>1</v>
      </c>
      <c r="E3231" s="10">
        <v>43</v>
      </c>
    </row>
    <row r="3232" spans="1:5">
      <c r="A3232" t="s">
        <v>5539</v>
      </c>
      <c r="B3232" t="s">
        <v>5540</v>
      </c>
      <c r="C3232" s="10">
        <v>6</v>
      </c>
      <c r="D3232" s="10">
        <v>0.7</v>
      </c>
      <c r="E3232" s="10">
        <v>43</v>
      </c>
    </row>
    <row r="3233" spans="1:5">
      <c r="A3233" t="s">
        <v>1022</v>
      </c>
      <c r="B3233" t="s">
        <v>1023</v>
      </c>
      <c r="C3233" s="10">
        <v>6</v>
      </c>
      <c r="D3233" s="10">
        <v>0.7</v>
      </c>
      <c r="E3233" s="10">
        <v>40</v>
      </c>
    </row>
    <row r="3234" spans="1:5">
      <c r="A3234" t="s">
        <v>1490</v>
      </c>
      <c r="B3234" t="s">
        <v>1023</v>
      </c>
      <c r="C3234" s="10">
        <v>6</v>
      </c>
      <c r="D3234" s="10">
        <v>1</v>
      </c>
      <c r="E3234" s="10">
        <v>40</v>
      </c>
    </row>
    <row r="3235" spans="1:5">
      <c r="A3235" t="s">
        <v>5541</v>
      </c>
      <c r="B3235" t="s">
        <v>5542</v>
      </c>
      <c r="C3235" s="10">
        <v>6</v>
      </c>
      <c r="D3235" s="10">
        <v>0.7</v>
      </c>
      <c r="E3235" s="10">
        <v>43</v>
      </c>
    </row>
    <row r="3236" spans="1:5">
      <c r="A3236" t="s">
        <v>10108</v>
      </c>
      <c r="B3236" t="s">
        <v>8936</v>
      </c>
      <c r="C3236" s="10">
        <v>6</v>
      </c>
      <c r="D3236" s="10">
        <v>0.5</v>
      </c>
      <c r="E3236" s="10">
        <v>17</v>
      </c>
    </row>
    <row r="3237" spans="1:5">
      <c r="A3237" t="s">
        <v>1873</v>
      </c>
      <c r="B3237" t="s">
        <v>1874</v>
      </c>
      <c r="C3237" s="10">
        <v>6</v>
      </c>
      <c r="D3237" s="10">
        <v>0.5</v>
      </c>
      <c r="E3237" s="10">
        <v>17</v>
      </c>
    </row>
    <row r="3238" spans="1:5">
      <c r="A3238" t="s">
        <v>4289</v>
      </c>
      <c r="B3238" t="s">
        <v>1874</v>
      </c>
      <c r="C3238" s="10">
        <v>6</v>
      </c>
      <c r="D3238" s="10">
        <v>0.7</v>
      </c>
      <c r="E3238" s="10">
        <v>17</v>
      </c>
    </row>
    <row r="3239" spans="1:5">
      <c r="A3239" t="s">
        <v>1875</v>
      </c>
      <c r="B3239" t="s">
        <v>1876</v>
      </c>
      <c r="C3239" s="10">
        <v>6</v>
      </c>
      <c r="D3239" s="10">
        <v>0.5</v>
      </c>
      <c r="E3239" s="10">
        <v>17</v>
      </c>
    </row>
    <row r="3240" spans="1:5">
      <c r="A3240" t="s">
        <v>4290</v>
      </c>
      <c r="B3240" t="s">
        <v>1876</v>
      </c>
      <c r="C3240" s="10">
        <v>6</v>
      </c>
      <c r="D3240" s="10">
        <v>0.7</v>
      </c>
      <c r="E3240" s="10">
        <v>17</v>
      </c>
    </row>
    <row r="3241" spans="1:5">
      <c r="A3241" t="s">
        <v>6368</v>
      </c>
      <c r="B3241" t="s">
        <v>6369</v>
      </c>
      <c r="C3241" s="10">
        <v>10</v>
      </c>
      <c r="D3241" s="10">
        <v>0.15</v>
      </c>
      <c r="E3241" s="10">
        <v>16.329999999999998</v>
      </c>
    </row>
    <row r="3242" spans="1:5">
      <c r="A3242" t="s">
        <v>1877</v>
      </c>
      <c r="B3242" t="s">
        <v>1878</v>
      </c>
      <c r="C3242" s="10">
        <v>6</v>
      </c>
      <c r="D3242" s="10">
        <v>0.5</v>
      </c>
      <c r="E3242" s="10">
        <v>15</v>
      </c>
    </row>
    <row r="3243" spans="1:5">
      <c r="A3243" t="s">
        <v>4291</v>
      </c>
      <c r="B3243" t="s">
        <v>1878</v>
      </c>
      <c r="C3243" s="10">
        <v>6</v>
      </c>
      <c r="D3243" s="10">
        <v>0.7</v>
      </c>
      <c r="E3243" s="10">
        <v>15</v>
      </c>
    </row>
    <row r="3244" spans="1:5">
      <c r="A3244" t="s">
        <v>1879</v>
      </c>
      <c r="B3244" t="s">
        <v>1880</v>
      </c>
      <c r="C3244" s="10">
        <v>6</v>
      </c>
      <c r="D3244" s="10">
        <v>0.5</v>
      </c>
      <c r="E3244" s="10">
        <v>15</v>
      </c>
    </row>
    <row r="3245" spans="1:5">
      <c r="A3245" t="s">
        <v>4292</v>
      </c>
      <c r="B3245" t="s">
        <v>4293</v>
      </c>
      <c r="C3245" s="10">
        <v>6</v>
      </c>
      <c r="D3245" s="10">
        <v>0.7</v>
      </c>
      <c r="E3245" s="10">
        <v>23</v>
      </c>
    </row>
    <row r="3246" spans="1:5">
      <c r="A3246" t="s">
        <v>2730</v>
      </c>
      <c r="B3246" t="s">
        <v>2731</v>
      </c>
      <c r="C3246" s="10">
        <v>6</v>
      </c>
      <c r="D3246" s="10">
        <v>0.75</v>
      </c>
      <c r="E3246" s="10">
        <v>18</v>
      </c>
    </row>
    <row r="3247" spans="1:5">
      <c r="A3247" t="s">
        <v>2732</v>
      </c>
      <c r="B3247" t="s">
        <v>2733</v>
      </c>
      <c r="C3247" s="10">
        <v>6</v>
      </c>
      <c r="D3247" s="10">
        <v>0.75</v>
      </c>
      <c r="E3247" s="10">
        <v>18</v>
      </c>
    </row>
    <row r="3248" spans="1:5">
      <c r="A3248" t="s">
        <v>2734</v>
      </c>
      <c r="B3248" t="s">
        <v>2735</v>
      </c>
      <c r="C3248" s="10">
        <v>6</v>
      </c>
      <c r="D3248" s="10">
        <v>0.75</v>
      </c>
      <c r="E3248" s="10">
        <v>18</v>
      </c>
    </row>
    <row r="3249" spans="1:5">
      <c r="A3249" t="s">
        <v>10109</v>
      </c>
      <c r="B3249" t="s">
        <v>8937</v>
      </c>
      <c r="C3249" s="10">
        <v>6</v>
      </c>
      <c r="D3249" s="10">
        <v>0.75</v>
      </c>
      <c r="E3249" s="10">
        <v>18</v>
      </c>
    </row>
    <row r="3250" spans="1:5">
      <c r="A3250" t="s">
        <v>3173</v>
      </c>
      <c r="B3250" t="s">
        <v>3174</v>
      </c>
      <c r="C3250" s="10">
        <v>6</v>
      </c>
      <c r="D3250" s="10">
        <v>0.75</v>
      </c>
      <c r="E3250" s="10">
        <v>12.5</v>
      </c>
    </row>
    <row r="3251" spans="1:5">
      <c r="A3251" t="s">
        <v>10110</v>
      </c>
      <c r="B3251" t="s">
        <v>8938</v>
      </c>
      <c r="C3251" s="10">
        <v>6</v>
      </c>
      <c r="D3251" s="10">
        <v>0.75</v>
      </c>
      <c r="E3251" s="10">
        <v>12.5</v>
      </c>
    </row>
    <row r="3252" spans="1:5">
      <c r="A3252" t="s">
        <v>3175</v>
      </c>
      <c r="B3252" t="s">
        <v>3076</v>
      </c>
      <c r="C3252" s="10">
        <v>6</v>
      </c>
      <c r="D3252" s="10">
        <v>0.75</v>
      </c>
      <c r="E3252" s="10">
        <v>12.5</v>
      </c>
    </row>
    <row r="3253" spans="1:5">
      <c r="A3253" t="s">
        <v>3075</v>
      </c>
      <c r="B3253" t="s">
        <v>3076</v>
      </c>
      <c r="C3253" s="10">
        <v>6</v>
      </c>
      <c r="D3253" s="10">
        <v>0.75</v>
      </c>
      <c r="E3253" s="10">
        <v>12</v>
      </c>
    </row>
    <row r="3254" spans="1:5">
      <c r="A3254" t="s">
        <v>3176</v>
      </c>
      <c r="B3254" t="s">
        <v>3177</v>
      </c>
      <c r="C3254" s="10">
        <v>6</v>
      </c>
      <c r="D3254" s="10">
        <v>0.75</v>
      </c>
      <c r="E3254" s="10">
        <v>12.5</v>
      </c>
    </row>
    <row r="3255" spans="1:5">
      <c r="A3255" t="s">
        <v>1024</v>
      </c>
      <c r="B3255" t="s">
        <v>1025</v>
      </c>
      <c r="C3255" s="10">
        <v>6</v>
      </c>
      <c r="D3255" s="10">
        <v>0.7</v>
      </c>
      <c r="E3255" s="10">
        <v>40</v>
      </c>
    </row>
    <row r="3256" spans="1:5">
      <c r="A3256" t="s">
        <v>5734</v>
      </c>
      <c r="B3256" t="s">
        <v>1025</v>
      </c>
      <c r="C3256" s="10">
        <v>12</v>
      </c>
      <c r="D3256" s="10">
        <v>1</v>
      </c>
      <c r="E3256" s="10">
        <v>40</v>
      </c>
    </row>
    <row r="3257" spans="1:5">
      <c r="A3257" t="s">
        <v>1599</v>
      </c>
      <c r="B3257" t="s">
        <v>1600</v>
      </c>
      <c r="C3257" s="10">
        <v>6</v>
      </c>
      <c r="D3257" s="10">
        <v>0.5</v>
      </c>
      <c r="E3257" s="10">
        <v>40</v>
      </c>
    </row>
    <row r="3258" spans="1:5">
      <c r="A3258" t="s">
        <v>1881</v>
      </c>
      <c r="B3258" t="s">
        <v>1882</v>
      </c>
      <c r="C3258" s="10">
        <v>6</v>
      </c>
      <c r="D3258" s="10">
        <v>0.5</v>
      </c>
      <c r="E3258" s="10">
        <v>37.5</v>
      </c>
    </row>
    <row r="3259" spans="1:5">
      <c r="A3259" t="s">
        <v>4294</v>
      </c>
      <c r="B3259" t="s">
        <v>4295</v>
      </c>
      <c r="C3259" s="10">
        <v>6</v>
      </c>
      <c r="D3259" s="10">
        <v>0.7</v>
      </c>
      <c r="E3259" s="10">
        <v>36</v>
      </c>
    </row>
    <row r="3260" spans="1:5">
      <c r="A3260" t="s">
        <v>2237</v>
      </c>
      <c r="B3260" t="s">
        <v>2238</v>
      </c>
      <c r="C3260" s="10">
        <v>6</v>
      </c>
      <c r="D3260" s="10">
        <v>1</v>
      </c>
      <c r="E3260" s="10">
        <v>96</v>
      </c>
    </row>
    <row r="3261" spans="1:5">
      <c r="A3261" t="s">
        <v>10111</v>
      </c>
      <c r="B3261" t="s">
        <v>8939</v>
      </c>
      <c r="C3261" s="10">
        <v>6</v>
      </c>
      <c r="D3261" s="10">
        <v>0.7</v>
      </c>
      <c r="E3261" s="10">
        <v>46</v>
      </c>
    </row>
    <row r="3262" spans="1:5">
      <c r="A3262" t="s">
        <v>10112</v>
      </c>
      <c r="B3262" t="s">
        <v>8940</v>
      </c>
      <c r="C3262" s="10">
        <v>12</v>
      </c>
      <c r="D3262" s="10">
        <v>0.7</v>
      </c>
      <c r="E3262" s="10">
        <v>40</v>
      </c>
    </row>
    <row r="3263" spans="1:5">
      <c r="A3263" t="s">
        <v>5835</v>
      </c>
      <c r="B3263" t="s">
        <v>5836</v>
      </c>
      <c r="C3263" s="10">
        <v>12</v>
      </c>
      <c r="D3263" s="10">
        <v>0.7</v>
      </c>
      <c r="E3263" s="10">
        <v>40</v>
      </c>
    </row>
    <row r="3264" spans="1:5">
      <c r="A3264" t="s">
        <v>4296</v>
      </c>
      <c r="B3264" t="s">
        <v>4297</v>
      </c>
      <c r="C3264" s="10">
        <v>6</v>
      </c>
      <c r="D3264" s="10">
        <v>0.7</v>
      </c>
      <c r="E3264" s="10">
        <v>41.5</v>
      </c>
    </row>
    <row r="3265" spans="1:5">
      <c r="A3265" t="s">
        <v>2239</v>
      </c>
      <c r="B3265" t="s">
        <v>2240</v>
      </c>
      <c r="C3265" s="10">
        <v>6</v>
      </c>
      <c r="D3265" s="10">
        <v>1</v>
      </c>
      <c r="E3265" s="10">
        <v>37.5</v>
      </c>
    </row>
    <row r="3266" spans="1:5">
      <c r="A3266" t="s">
        <v>2241</v>
      </c>
      <c r="B3266" t="s">
        <v>2242</v>
      </c>
      <c r="C3266" s="10">
        <v>6</v>
      </c>
      <c r="D3266" s="10">
        <v>1</v>
      </c>
      <c r="E3266" s="10">
        <v>37.5</v>
      </c>
    </row>
    <row r="3267" spans="1:5">
      <c r="A3267" t="s">
        <v>1491</v>
      </c>
      <c r="B3267" t="s">
        <v>1492</v>
      </c>
      <c r="C3267" s="10">
        <v>6</v>
      </c>
      <c r="D3267" s="10">
        <v>1</v>
      </c>
      <c r="E3267" s="10">
        <v>40</v>
      </c>
    </row>
    <row r="3268" spans="1:5">
      <c r="A3268" t="s">
        <v>5735</v>
      </c>
      <c r="B3268" t="s">
        <v>1492</v>
      </c>
      <c r="C3268" s="10">
        <v>12</v>
      </c>
      <c r="D3268" s="10">
        <v>1</v>
      </c>
      <c r="E3268" s="10">
        <v>40</v>
      </c>
    </row>
    <row r="3269" spans="1:5">
      <c r="A3269" t="s">
        <v>5736</v>
      </c>
      <c r="B3269" t="s">
        <v>5737</v>
      </c>
      <c r="C3269" s="10">
        <v>12</v>
      </c>
      <c r="D3269" s="10">
        <v>1</v>
      </c>
      <c r="E3269" s="10">
        <v>40</v>
      </c>
    </row>
    <row r="3270" spans="1:5">
      <c r="A3270" t="s">
        <v>5738</v>
      </c>
      <c r="B3270" t="s">
        <v>5739</v>
      </c>
      <c r="C3270" s="10">
        <v>12</v>
      </c>
      <c r="D3270" s="10">
        <v>1</v>
      </c>
      <c r="E3270" s="10">
        <v>40</v>
      </c>
    </row>
    <row r="3271" spans="1:5">
      <c r="A3271" t="s">
        <v>5740</v>
      </c>
      <c r="B3271" t="s">
        <v>5741</v>
      </c>
      <c r="C3271" s="10">
        <v>12</v>
      </c>
      <c r="D3271" s="10">
        <v>1</v>
      </c>
      <c r="E3271" s="10">
        <v>40</v>
      </c>
    </row>
    <row r="3272" spans="1:5">
      <c r="A3272" t="s">
        <v>1026</v>
      </c>
      <c r="B3272" t="s">
        <v>1027</v>
      </c>
      <c r="C3272" s="10">
        <v>6</v>
      </c>
      <c r="D3272" s="10">
        <v>0.7</v>
      </c>
      <c r="E3272" s="10">
        <v>40</v>
      </c>
    </row>
    <row r="3273" spans="1:5">
      <c r="A3273" t="s">
        <v>3077</v>
      </c>
      <c r="B3273" t="s">
        <v>3078</v>
      </c>
      <c r="C3273" s="10">
        <v>6</v>
      </c>
      <c r="D3273" s="10">
        <v>0.75</v>
      </c>
      <c r="E3273" s="10">
        <v>12</v>
      </c>
    </row>
    <row r="3274" spans="1:5">
      <c r="A3274" t="s">
        <v>10113</v>
      </c>
      <c r="B3274" t="s">
        <v>8941</v>
      </c>
      <c r="C3274" s="10">
        <v>6</v>
      </c>
      <c r="D3274" s="10">
        <v>0.75</v>
      </c>
      <c r="E3274" s="10">
        <v>12</v>
      </c>
    </row>
    <row r="3275" spans="1:5">
      <c r="A3275" t="s">
        <v>10114</v>
      </c>
      <c r="B3275" t="s">
        <v>8942</v>
      </c>
      <c r="C3275" s="10">
        <v>6</v>
      </c>
      <c r="D3275" s="10">
        <v>0.75</v>
      </c>
      <c r="E3275" s="10">
        <v>13.5</v>
      </c>
    </row>
    <row r="3276" spans="1:5">
      <c r="A3276" t="s">
        <v>2736</v>
      </c>
      <c r="B3276" t="s">
        <v>2737</v>
      </c>
      <c r="C3276" s="10">
        <v>6</v>
      </c>
      <c r="D3276" s="10">
        <v>0.75</v>
      </c>
      <c r="E3276" s="10">
        <v>13.5</v>
      </c>
    </row>
    <row r="3277" spans="1:5">
      <c r="A3277" t="s">
        <v>10115</v>
      </c>
      <c r="B3277" t="s">
        <v>8943</v>
      </c>
      <c r="C3277" s="10">
        <v>6</v>
      </c>
      <c r="D3277" s="10">
        <v>0.75</v>
      </c>
      <c r="E3277" s="10">
        <v>12.5</v>
      </c>
    </row>
    <row r="3278" spans="1:5">
      <c r="A3278" t="s">
        <v>10116</v>
      </c>
      <c r="B3278" t="s">
        <v>8944</v>
      </c>
      <c r="C3278" s="10">
        <v>6</v>
      </c>
      <c r="D3278" s="10">
        <v>0.75</v>
      </c>
      <c r="E3278" s="10">
        <v>13</v>
      </c>
    </row>
    <row r="3279" spans="1:5">
      <c r="A3279" t="s">
        <v>2953</v>
      </c>
      <c r="B3279" t="s">
        <v>2954</v>
      </c>
      <c r="C3279" s="10">
        <v>6</v>
      </c>
      <c r="D3279" s="10">
        <v>0.75</v>
      </c>
      <c r="E3279" s="10">
        <v>13</v>
      </c>
    </row>
    <row r="3280" spans="1:5">
      <c r="A3280" t="s">
        <v>10117</v>
      </c>
      <c r="B3280" t="s">
        <v>8945</v>
      </c>
      <c r="C3280" s="10">
        <v>6</v>
      </c>
      <c r="D3280" s="10">
        <v>0.75</v>
      </c>
      <c r="E3280" s="10">
        <v>12</v>
      </c>
    </row>
    <row r="3281" spans="1:5">
      <c r="A3281" t="s">
        <v>10118</v>
      </c>
      <c r="B3281" t="s">
        <v>8946</v>
      </c>
      <c r="C3281" s="10">
        <v>6</v>
      </c>
      <c r="D3281" s="10">
        <v>0.75</v>
      </c>
      <c r="E3281" s="10">
        <v>12.5</v>
      </c>
    </row>
    <row r="3282" spans="1:5">
      <c r="A3282" t="s">
        <v>10119</v>
      </c>
      <c r="B3282" t="s">
        <v>8947</v>
      </c>
      <c r="C3282" s="10">
        <v>6</v>
      </c>
      <c r="D3282" s="10">
        <v>0.75</v>
      </c>
      <c r="E3282" s="10">
        <v>12.5</v>
      </c>
    </row>
    <row r="3283" spans="1:5">
      <c r="A3283" t="s">
        <v>3178</v>
      </c>
      <c r="B3283" t="s">
        <v>3179</v>
      </c>
      <c r="C3283" s="10">
        <v>6</v>
      </c>
      <c r="D3283" s="10">
        <v>0.75</v>
      </c>
      <c r="E3283" s="10">
        <v>12.5</v>
      </c>
    </row>
    <row r="3284" spans="1:5">
      <c r="A3284" t="s">
        <v>3180</v>
      </c>
      <c r="B3284" t="s">
        <v>3181</v>
      </c>
      <c r="C3284" s="10">
        <v>6</v>
      </c>
      <c r="D3284" s="10">
        <v>0.75</v>
      </c>
      <c r="E3284" s="10">
        <v>12.5</v>
      </c>
    </row>
    <row r="3285" spans="1:5">
      <c r="A3285" t="s">
        <v>2955</v>
      </c>
      <c r="B3285" t="s">
        <v>2956</v>
      </c>
      <c r="C3285" s="10">
        <v>6</v>
      </c>
      <c r="D3285" s="10">
        <v>0.75</v>
      </c>
      <c r="E3285" s="10">
        <v>13</v>
      </c>
    </row>
    <row r="3286" spans="1:5">
      <c r="A3286" t="s">
        <v>2957</v>
      </c>
      <c r="B3286" t="s">
        <v>2958</v>
      </c>
      <c r="C3286" s="10">
        <v>6</v>
      </c>
      <c r="D3286" s="10">
        <v>0.75</v>
      </c>
      <c r="E3286" s="10">
        <v>13</v>
      </c>
    </row>
    <row r="3287" spans="1:5">
      <c r="A3287" t="s">
        <v>10120</v>
      </c>
      <c r="B3287" t="s">
        <v>8948</v>
      </c>
      <c r="C3287" s="10">
        <v>6</v>
      </c>
      <c r="D3287" s="10">
        <v>0.75</v>
      </c>
      <c r="E3287" s="10">
        <v>13</v>
      </c>
    </row>
    <row r="3288" spans="1:5">
      <c r="A3288" t="s">
        <v>10121</v>
      </c>
      <c r="B3288" t="s">
        <v>8949</v>
      </c>
      <c r="C3288" s="10">
        <v>6</v>
      </c>
      <c r="D3288" s="10">
        <v>0.75</v>
      </c>
      <c r="E3288" s="10">
        <v>13</v>
      </c>
    </row>
    <row r="3289" spans="1:5">
      <c r="A3289" t="s">
        <v>10122</v>
      </c>
      <c r="B3289" t="s">
        <v>8950</v>
      </c>
      <c r="C3289" s="10">
        <v>6</v>
      </c>
      <c r="D3289" s="10">
        <v>0.75</v>
      </c>
      <c r="E3289" s="10">
        <v>13</v>
      </c>
    </row>
    <row r="3290" spans="1:5">
      <c r="A3290" t="s">
        <v>2959</v>
      </c>
      <c r="B3290" t="s">
        <v>2960</v>
      </c>
      <c r="C3290" s="10">
        <v>6</v>
      </c>
      <c r="D3290" s="10">
        <v>0.75</v>
      </c>
      <c r="E3290" s="10">
        <v>13</v>
      </c>
    </row>
    <row r="3291" spans="1:5">
      <c r="A3291" t="s">
        <v>2738</v>
      </c>
      <c r="B3291" t="s">
        <v>2739</v>
      </c>
      <c r="C3291" s="10">
        <v>6</v>
      </c>
      <c r="D3291" s="10">
        <v>0.75</v>
      </c>
      <c r="E3291" s="10">
        <v>13.5</v>
      </c>
    </row>
    <row r="3292" spans="1:5">
      <c r="A3292" t="s">
        <v>10123</v>
      </c>
      <c r="B3292" t="s">
        <v>8951</v>
      </c>
      <c r="C3292" s="10">
        <v>6</v>
      </c>
      <c r="D3292" s="10">
        <v>0.75</v>
      </c>
      <c r="E3292" s="10">
        <v>14</v>
      </c>
    </row>
    <row r="3293" spans="1:5">
      <c r="A3293" t="s">
        <v>10124</v>
      </c>
      <c r="B3293" t="s">
        <v>8952</v>
      </c>
      <c r="C3293" s="10">
        <v>6</v>
      </c>
      <c r="D3293" s="10">
        <v>0.75</v>
      </c>
      <c r="E3293" s="10">
        <v>14</v>
      </c>
    </row>
    <row r="3294" spans="1:5">
      <c r="A3294" t="s">
        <v>3182</v>
      </c>
      <c r="B3294" t="s">
        <v>3183</v>
      </c>
      <c r="C3294" s="10">
        <v>6</v>
      </c>
      <c r="D3294" s="10">
        <v>0.75</v>
      </c>
      <c r="E3294" s="10">
        <v>12.5</v>
      </c>
    </row>
    <row r="3295" spans="1:5">
      <c r="A3295" t="s">
        <v>2740</v>
      </c>
      <c r="B3295" t="s">
        <v>2741</v>
      </c>
      <c r="C3295" s="10">
        <v>6</v>
      </c>
      <c r="D3295" s="10">
        <v>0.75</v>
      </c>
      <c r="E3295" s="10">
        <v>14</v>
      </c>
    </row>
    <row r="3296" spans="1:5">
      <c r="A3296" t="s">
        <v>2961</v>
      </c>
      <c r="B3296" t="s">
        <v>2962</v>
      </c>
      <c r="C3296" s="10">
        <v>6</v>
      </c>
      <c r="D3296" s="10">
        <v>0.75</v>
      </c>
      <c r="E3296" s="10">
        <v>13</v>
      </c>
    </row>
    <row r="3297" spans="1:5">
      <c r="A3297" t="s">
        <v>10125</v>
      </c>
      <c r="B3297" t="s">
        <v>8953</v>
      </c>
      <c r="C3297" s="10">
        <v>6</v>
      </c>
      <c r="D3297" s="10">
        <v>0.75</v>
      </c>
      <c r="E3297" s="10">
        <v>13</v>
      </c>
    </row>
    <row r="3298" spans="1:5">
      <c r="A3298" t="s">
        <v>6924</v>
      </c>
      <c r="B3298" t="s">
        <v>6925</v>
      </c>
      <c r="C3298" s="10">
        <v>6</v>
      </c>
      <c r="D3298" s="10">
        <v>0.75</v>
      </c>
      <c r="E3298" s="10">
        <v>12.5</v>
      </c>
    </row>
    <row r="3299" spans="1:5">
      <c r="A3299" t="s">
        <v>2963</v>
      </c>
      <c r="B3299" t="s">
        <v>2964</v>
      </c>
      <c r="C3299" s="10">
        <v>6</v>
      </c>
      <c r="D3299" s="10">
        <v>0.75</v>
      </c>
      <c r="E3299" s="10">
        <v>13</v>
      </c>
    </row>
    <row r="3300" spans="1:5">
      <c r="A3300" t="s">
        <v>1883</v>
      </c>
      <c r="B3300" t="s">
        <v>8954</v>
      </c>
      <c r="C3300" s="10">
        <v>6</v>
      </c>
      <c r="D3300" s="10">
        <v>0.5</v>
      </c>
      <c r="E3300" s="10">
        <v>16</v>
      </c>
    </row>
    <row r="3301" spans="1:5">
      <c r="A3301" t="s">
        <v>4298</v>
      </c>
      <c r="B3301" t="s">
        <v>4299</v>
      </c>
      <c r="C3301" s="10">
        <v>6</v>
      </c>
      <c r="D3301" s="10">
        <v>0.7</v>
      </c>
      <c r="E3301" s="10">
        <v>47</v>
      </c>
    </row>
    <row r="3302" spans="1:5">
      <c r="A3302" t="s">
        <v>4300</v>
      </c>
      <c r="B3302" t="s">
        <v>4301</v>
      </c>
      <c r="C3302" s="10">
        <v>6</v>
      </c>
      <c r="D3302" s="10">
        <v>0.7</v>
      </c>
      <c r="E3302" s="10">
        <v>47</v>
      </c>
    </row>
    <row r="3303" spans="1:5">
      <c r="A3303" t="s">
        <v>4780</v>
      </c>
      <c r="B3303" t="s">
        <v>4781</v>
      </c>
      <c r="C3303" s="10">
        <v>6</v>
      </c>
      <c r="D3303" s="10">
        <v>0.7</v>
      </c>
      <c r="E3303" s="10">
        <v>45</v>
      </c>
    </row>
    <row r="3304" spans="1:5">
      <c r="A3304" t="s">
        <v>4782</v>
      </c>
      <c r="B3304" t="s">
        <v>4783</v>
      </c>
      <c r="C3304" s="10">
        <v>6</v>
      </c>
      <c r="D3304" s="10">
        <v>0.7</v>
      </c>
      <c r="E3304" s="10">
        <v>45</v>
      </c>
    </row>
    <row r="3305" spans="1:5">
      <c r="A3305" t="s">
        <v>6370</v>
      </c>
      <c r="B3305" t="s">
        <v>6371</v>
      </c>
      <c r="C3305" s="10">
        <v>3</v>
      </c>
      <c r="D3305" s="10">
        <v>2.8</v>
      </c>
      <c r="E3305" s="10">
        <v>44.25</v>
      </c>
    </row>
    <row r="3306" spans="1:5">
      <c r="A3306" t="s">
        <v>1028</v>
      </c>
      <c r="B3306" t="s">
        <v>1029</v>
      </c>
      <c r="C3306" s="10">
        <v>6</v>
      </c>
      <c r="D3306" s="10">
        <v>0.7</v>
      </c>
      <c r="E3306" s="10">
        <v>40</v>
      </c>
    </row>
    <row r="3307" spans="1:5">
      <c r="A3307" t="s">
        <v>1030</v>
      </c>
      <c r="B3307" t="s">
        <v>1031</v>
      </c>
      <c r="C3307" s="10">
        <v>6</v>
      </c>
      <c r="D3307" s="10">
        <v>0.7</v>
      </c>
      <c r="E3307" s="10">
        <v>40</v>
      </c>
    </row>
    <row r="3308" spans="1:5">
      <c r="A3308" t="s">
        <v>1032</v>
      </c>
      <c r="B3308" t="s">
        <v>1033</v>
      </c>
      <c r="C3308" s="10">
        <v>6</v>
      </c>
      <c r="D3308" s="10">
        <v>0.7</v>
      </c>
      <c r="E3308" s="10">
        <v>40</v>
      </c>
    </row>
    <row r="3309" spans="1:5">
      <c r="A3309" t="s">
        <v>1884</v>
      </c>
      <c r="B3309" t="s">
        <v>1885</v>
      </c>
      <c r="C3309" s="10">
        <v>6</v>
      </c>
      <c r="D3309" s="10">
        <v>0.5</v>
      </c>
      <c r="E3309" s="10">
        <v>51.4</v>
      </c>
    </row>
    <row r="3310" spans="1:5">
      <c r="A3310" t="s">
        <v>1886</v>
      </c>
      <c r="B3310" t="s">
        <v>1887</v>
      </c>
      <c r="C3310" s="10">
        <v>6</v>
      </c>
      <c r="D3310" s="10">
        <v>0.5</v>
      </c>
      <c r="E3310" s="10">
        <v>51.4</v>
      </c>
    </row>
    <row r="3311" spans="1:5">
      <c r="A3311" t="s">
        <v>10126</v>
      </c>
      <c r="B3311" t="s">
        <v>8955</v>
      </c>
      <c r="C3311" s="10">
        <v>6</v>
      </c>
      <c r="D3311" s="10">
        <v>0.7</v>
      </c>
      <c r="E3311" s="10">
        <v>43</v>
      </c>
    </row>
    <row r="3312" spans="1:5">
      <c r="A3312" t="s">
        <v>10127</v>
      </c>
      <c r="B3312" t="s">
        <v>8956</v>
      </c>
      <c r="C3312" s="10">
        <v>6</v>
      </c>
      <c r="D3312" s="10">
        <v>0.7</v>
      </c>
      <c r="E3312" s="10">
        <v>47</v>
      </c>
    </row>
    <row r="3313" spans="1:5">
      <c r="A3313" t="s">
        <v>4784</v>
      </c>
      <c r="B3313" t="s">
        <v>4785</v>
      </c>
      <c r="C3313" s="10">
        <v>6</v>
      </c>
      <c r="D3313" s="10">
        <v>0.7</v>
      </c>
      <c r="E3313" s="10">
        <v>45</v>
      </c>
    </row>
    <row r="3314" spans="1:5">
      <c r="A3314" t="s">
        <v>6723</v>
      </c>
      <c r="B3314" t="s">
        <v>6724</v>
      </c>
      <c r="C3314" s="10">
        <v>12</v>
      </c>
      <c r="D3314" s="10">
        <v>0.7</v>
      </c>
      <c r="E3314" s="10">
        <v>43</v>
      </c>
    </row>
    <row r="3315" spans="1:5">
      <c r="A3315" t="s">
        <v>6372</v>
      </c>
      <c r="B3315" t="s">
        <v>6373</v>
      </c>
      <c r="C3315" s="10">
        <v>4</v>
      </c>
      <c r="D3315" s="10">
        <v>0.7</v>
      </c>
      <c r="E3315" s="10">
        <v>43</v>
      </c>
    </row>
    <row r="3316" spans="1:5">
      <c r="A3316" t="s">
        <v>5543</v>
      </c>
      <c r="B3316" t="s">
        <v>5544</v>
      </c>
      <c r="C3316" s="10">
        <v>6</v>
      </c>
      <c r="D3316" s="10">
        <v>0.7</v>
      </c>
      <c r="E3316" s="10">
        <v>43</v>
      </c>
    </row>
    <row r="3317" spans="1:5">
      <c r="A3317" t="s">
        <v>5545</v>
      </c>
      <c r="B3317" t="s">
        <v>5546</v>
      </c>
      <c r="C3317" s="10">
        <v>6</v>
      </c>
      <c r="D3317" s="10">
        <v>0.7</v>
      </c>
      <c r="E3317" s="10">
        <v>43</v>
      </c>
    </row>
    <row r="3318" spans="1:5">
      <c r="A3318" t="s">
        <v>10128</v>
      </c>
      <c r="B3318" t="s">
        <v>8957</v>
      </c>
      <c r="C3318" s="10">
        <v>6</v>
      </c>
      <c r="D3318" s="10">
        <v>0.7</v>
      </c>
      <c r="E3318" s="10">
        <v>48</v>
      </c>
    </row>
    <row r="3319" spans="1:5">
      <c r="A3319" t="s">
        <v>10129</v>
      </c>
      <c r="B3319" t="s">
        <v>8958</v>
      </c>
      <c r="C3319" s="10">
        <v>6</v>
      </c>
      <c r="D3319" s="10">
        <v>0.7</v>
      </c>
      <c r="E3319" s="10">
        <v>45</v>
      </c>
    </row>
    <row r="3320" spans="1:5">
      <c r="A3320" t="s">
        <v>4786</v>
      </c>
      <c r="B3320" t="s">
        <v>4787</v>
      </c>
      <c r="C3320" s="10">
        <v>6</v>
      </c>
      <c r="D3320" s="10">
        <v>0.7</v>
      </c>
      <c r="E3320" s="10">
        <v>45</v>
      </c>
    </row>
    <row r="3321" spans="1:5">
      <c r="A3321" t="s">
        <v>2243</v>
      </c>
      <c r="B3321" t="s">
        <v>2244</v>
      </c>
      <c r="C3321" s="10">
        <v>6</v>
      </c>
      <c r="D3321" s="10">
        <v>1</v>
      </c>
      <c r="E3321" s="10">
        <v>46</v>
      </c>
    </row>
    <row r="3322" spans="1:5">
      <c r="A3322" t="s">
        <v>5246</v>
      </c>
      <c r="B3322" t="s">
        <v>5247</v>
      </c>
      <c r="C3322" s="10">
        <v>6</v>
      </c>
      <c r="D3322" s="10">
        <v>0.7</v>
      </c>
      <c r="E3322" s="10">
        <v>46</v>
      </c>
    </row>
    <row r="3323" spans="1:5">
      <c r="A3323" t="s">
        <v>4302</v>
      </c>
      <c r="B3323" t="s">
        <v>4303</v>
      </c>
      <c r="C3323" s="10">
        <v>6</v>
      </c>
      <c r="D3323" s="10">
        <v>0.7</v>
      </c>
      <c r="E3323" s="10">
        <v>57.15</v>
      </c>
    </row>
    <row r="3324" spans="1:5">
      <c r="A3324" t="s">
        <v>4889</v>
      </c>
      <c r="B3324" t="s">
        <v>4890</v>
      </c>
      <c r="C3324" s="10">
        <v>6</v>
      </c>
      <c r="D3324" s="10">
        <v>0.7</v>
      </c>
      <c r="E3324" s="10">
        <v>37.5</v>
      </c>
    </row>
    <row r="3325" spans="1:5">
      <c r="A3325" t="s">
        <v>4304</v>
      </c>
      <c r="B3325" t="s">
        <v>2246</v>
      </c>
      <c r="C3325" s="10">
        <v>6</v>
      </c>
      <c r="D3325" s="10">
        <v>0.7</v>
      </c>
      <c r="E3325" s="10">
        <v>32</v>
      </c>
    </row>
    <row r="3326" spans="1:5">
      <c r="A3326" t="s">
        <v>2245</v>
      </c>
      <c r="B3326" t="s">
        <v>2246</v>
      </c>
      <c r="C3326" s="10">
        <v>6</v>
      </c>
      <c r="D3326" s="10">
        <v>1</v>
      </c>
      <c r="E3326" s="10">
        <v>32</v>
      </c>
    </row>
    <row r="3327" spans="1:5">
      <c r="A3327" t="s">
        <v>10130</v>
      </c>
      <c r="B3327" t="s">
        <v>8959</v>
      </c>
      <c r="C3327" s="10">
        <v>6</v>
      </c>
      <c r="D3327" s="10">
        <v>0.7</v>
      </c>
      <c r="E3327" s="10">
        <v>35</v>
      </c>
    </row>
    <row r="3328" spans="1:5">
      <c r="A3328" t="s">
        <v>1034</v>
      </c>
      <c r="B3328" t="s">
        <v>1035</v>
      </c>
      <c r="C3328" s="10">
        <v>6</v>
      </c>
      <c r="D3328" s="10">
        <v>0.7</v>
      </c>
      <c r="E3328" s="10">
        <v>40</v>
      </c>
    </row>
    <row r="3329" spans="1:5">
      <c r="A3329" t="s">
        <v>2742</v>
      </c>
      <c r="B3329" t="s">
        <v>2743</v>
      </c>
      <c r="C3329" s="10">
        <v>6</v>
      </c>
      <c r="D3329" s="10">
        <v>0.75</v>
      </c>
      <c r="E3329" s="10">
        <v>16</v>
      </c>
    </row>
    <row r="3330" spans="1:5">
      <c r="A3330" t="s">
        <v>2744</v>
      </c>
      <c r="B3330" t="s">
        <v>2248</v>
      </c>
      <c r="C3330" s="10">
        <v>6</v>
      </c>
      <c r="D3330" s="10">
        <v>0.75</v>
      </c>
      <c r="E3330" s="10">
        <v>18</v>
      </c>
    </row>
    <row r="3331" spans="1:5">
      <c r="A3331" t="s">
        <v>2247</v>
      </c>
      <c r="B3331" t="s">
        <v>2248</v>
      </c>
      <c r="C3331" s="10">
        <v>6</v>
      </c>
      <c r="D3331" s="10">
        <v>1</v>
      </c>
      <c r="E3331" s="10">
        <v>18</v>
      </c>
    </row>
    <row r="3332" spans="1:5">
      <c r="A3332" t="s">
        <v>6374</v>
      </c>
      <c r="B3332" t="s">
        <v>6375</v>
      </c>
      <c r="C3332" s="10">
        <v>4</v>
      </c>
      <c r="D3332" s="10">
        <v>0.7</v>
      </c>
      <c r="E3332" s="10">
        <v>47.6</v>
      </c>
    </row>
    <row r="3333" spans="1:5">
      <c r="A3333" t="s">
        <v>6376</v>
      </c>
      <c r="B3333" t="s">
        <v>6377</v>
      </c>
      <c r="C3333" s="10">
        <v>3</v>
      </c>
      <c r="D3333" s="10">
        <v>0.7</v>
      </c>
      <c r="E3333" s="10">
        <v>43.1</v>
      </c>
    </row>
    <row r="3334" spans="1:5">
      <c r="A3334" t="s">
        <v>6378</v>
      </c>
      <c r="B3334" t="s">
        <v>6379</v>
      </c>
      <c r="C3334" s="10">
        <v>48</v>
      </c>
      <c r="D3334" s="10">
        <v>0.05</v>
      </c>
      <c r="E3334" s="10">
        <v>41.3</v>
      </c>
    </row>
    <row r="3335" spans="1:5">
      <c r="A3335" t="s">
        <v>10131</v>
      </c>
      <c r="B3335" t="s">
        <v>4306</v>
      </c>
      <c r="C3335" s="10">
        <v>3</v>
      </c>
      <c r="D3335" s="10">
        <v>0.7</v>
      </c>
      <c r="E3335" s="10">
        <v>41.3</v>
      </c>
    </row>
    <row r="3336" spans="1:5">
      <c r="A3336" t="s">
        <v>4305</v>
      </c>
      <c r="B3336" t="s">
        <v>4306</v>
      </c>
      <c r="C3336" s="10">
        <v>6</v>
      </c>
      <c r="D3336" s="10">
        <v>0.7</v>
      </c>
      <c r="E3336" s="10">
        <v>41.3</v>
      </c>
    </row>
    <row r="3337" spans="1:5">
      <c r="A3337" t="s">
        <v>4307</v>
      </c>
      <c r="B3337" t="s">
        <v>4308</v>
      </c>
      <c r="C3337" s="10">
        <v>6</v>
      </c>
      <c r="D3337" s="10">
        <v>0.7</v>
      </c>
      <c r="E3337" s="10">
        <v>0</v>
      </c>
    </row>
    <row r="3338" spans="1:5">
      <c r="A3338" t="s">
        <v>4309</v>
      </c>
      <c r="B3338" t="s">
        <v>4310</v>
      </c>
      <c r="C3338" s="10">
        <v>6</v>
      </c>
      <c r="D3338" s="10">
        <v>0.7</v>
      </c>
      <c r="E3338" s="10">
        <v>41</v>
      </c>
    </row>
    <row r="3339" spans="1:5">
      <c r="A3339" t="s">
        <v>4311</v>
      </c>
      <c r="B3339" t="s">
        <v>4312</v>
      </c>
      <c r="C3339" s="10">
        <v>6</v>
      </c>
      <c r="D3339" s="10">
        <v>0.7</v>
      </c>
      <c r="E3339" s="10">
        <v>41</v>
      </c>
    </row>
    <row r="3340" spans="1:5">
      <c r="A3340" t="s">
        <v>10132</v>
      </c>
      <c r="B3340" t="s">
        <v>1037</v>
      </c>
      <c r="C3340" s="10">
        <v>20</v>
      </c>
      <c r="D3340" s="10">
        <v>0.05</v>
      </c>
      <c r="E3340" s="10">
        <v>40</v>
      </c>
    </row>
    <row r="3341" spans="1:5">
      <c r="A3341" t="s">
        <v>1036</v>
      </c>
      <c r="B3341" t="s">
        <v>1037</v>
      </c>
      <c r="C3341" s="10">
        <v>6</v>
      </c>
      <c r="D3341" s="10">
        <v>0.7</v>
      </c>
      <c r="E3341" s="10">
        <v>40</v>
      </c>
    </row>
    <row r="3342" spans="1:5">
      <c r="A3342" t="s">
        <v>1493</v>
      </c>
      <c r="B3342" t="s">
        <v>1037</v>
      </c>
      <c r="C3342" s="10">
        <v>6</v>
      </c>
      <c r="D3342" s="10">
        <v>1</v>
      </c>
      <c r="E3342" s="10">
        <v>40</v>
      </c>
    </row>
    <row r="3343" spans="1:5">
      <c r="A3343" t="s">
        <v>4313</v>
      </c>
      <c r="B3343" t="s">
        <v>4314</v>
      </c>
      <c r="C3343" s="10">
        <v>6</v>
      </c>
      <c r="D3343" s="10">
        <v>0.7</v>
      </c>
      <c r="E3343" s="10">
        <v>41.4</v>
      </c>
    </row>
    <row r="3344" spans="1:5">
      <c r="A3344" t="s">
        <v>4315</v>
      </c>
      <c r="B3344" t="s">
        <v>4316</v>
      </c>
      <c r="C3344" s="10">
        <v>6</v>
      </c>
      <c r="D3344" s="10">
        <v>0.7</v>
      </c>
      <c r="E3344" s="10">
        <v>47.3</v>
      </c>
    </row>
    <row r="3345" spans="1:5">
      <c r="A3345" t="s">
        <v>4788</v>
      </c>
      <c r="B3345" t="s">
        <v>4789</v>
      </c>
      <c r="C3345" s="10">
        <v>6</v>
      </c>
      <c r="D3345" s="10">
        <v>0.7</v>
      </c>
      <c r="E3345" s="10">
        <v>45</v>
      </c>
    </row>
    <row r="3346" spans="1:5">
      <c r="A3346" t="s">
        <v>4317</v>
      </c>
      <c r="B3346" t="s">
        <v>4318</v>
      </c>
      <c r="C3346" s="10">
        <v>6</v>
      </c>
      <c r="D3346" s="10">
        <v>0.7</v>
      </c>
      <c r="E3346" s="10">
        <v>46.4</v>
      </c>
    </row>
    <row r="3347" spans="1:5">
      <c r="A3347" t="s">
        <v>1038</v>
      </c>
      <c r="B3347" t="s">
        <v>1039</v>
      </c>
      <c r="C3347" s="10">
        <v>6</v>
      </c>
      <c r="D3347" s="10">
        <v>0.7</v>
      </c>
      <c r="E3347" s="10">
        <v>40</v>
      </c>
    </row>
    <row r="3348" spans="1:5">
      <c r="A3348" t="s">
        <v>4790</v>
      </c>
      <c r="B3348" t="s">
        <v>4791</v>
      </c>
      <c r="C3348" s="10">
        <v>6</v>
      </c>
      <c r="D3348" s="10">
        <v>0.7</v>
      </c>
      <c r="E3348" s="10">
        <v>45</v>
      </c>
    </row>
    <row r="3349" spans="1:5">
      <c r="A3349" t="s">
        <v>1040</v>
      </c>
      <c r="B3349" t="s">
        <v>1041</v>
      </c>
      <c r="C3349" s="10">
        <v>6</v>
      </c>
      <c r="D3349" s="10">
        <v>0.7</v>
      </c>
      <c r="E3349" s="10">
        <v>40</v>
      </c>
    </row>
    <row r="3350" spans="1:5">
      <c r="A3350" t="s">
        <v>4319</v>
      </c>
      <c r="B3350" t="s">
        <v>4320</v>
      </c>
      <c r="C3350" s="10">
        <v>6</v>
      </c>
      <c r="D3350" s="10">
        <v>0.7</v>
      </c>
      <c r="E3350" s="10">
        <v>45.7</v>
      </c>
    </row>
    <row r="3351" spans="1:5">
      <c r="A3351" t="s">
        <v>4321</v>
      </c>
      <c r="B3351" t="s">
        <v>4322</v>
      </c>
      <c r="C3351" s="10">
        <v>6</v>
      </c>
      <c r="D3351" s="10">
        <v>0.7</v>
      </c>
      <c r="E3351" s="10">
        <v>44.2</v>
      </c>
    </row>
    <row r="3352" spans="1:5">
      <c r="A3352" t="s">
        <v>4792</v>
      </c>
      <c r="B3352" t="s">
        <v>4793</v>
      </c>
      <c r="C3352" s="10">
        <v>6</v>
      </c>
      <c r="D3352" s="10">
        <v>0.7</v>
      </c>
      <c r="E3352" s="10">
        <v>45</v>
      </c>
    </row>
    <row r="3353" spans="1:5">
      <c r="A3353" t="s">
        <v>6725</v>
      </c>
      <c r="B3353" t="s">
        <v>6726</v>
      </c>
      <c r="C3353" s="10">
        <v>12</v>
      </c>
      <c r="D3353" s="10">
        <v>0.7</v>
      </c>
      <c r="E3353" s="10">
        <v>15</v>
      </c>
    </row>
    <row r="3354" spans="1:5">
      <c r="A3354" t="s">
        <v>6877</v>
      </c>
      <c r="B3354" t="s">
        <v>6878</v>
      </c>
      <c r="C3354" s="10">
        <v>12</v>
      </c>
      <c r="D3354" s="10">
        <v>1</v>
      </c>
      <c r="E3354" s="10">
        <v>0</v>
      </c>
    </row>
    <row r="3355" spans="1:5">
      <c r="A3355" t="s">
        <v>1494</v>
      </c>
      <c r="B3355" t="s">
        <v>1495</v>
      </c>
      <c r="C3355" s="10">
        <v>6</v>
      </c>
      <c r="D3355" s="10">
        <v>1</v>
      </c>
      <c r="E3355" s="10">
        <v>40</v>
      </c>
    </row>
    <row r="3356" spans="1:5">
      <c r="A3356" t="s">
        <v>10133</v>
      </c>
      <c r="B3356" t="s">
        <v>8960</v>
      </c>
      <c r="C3356" s="10">
        <v>6</v>
      </c>
      <c r="D3356" s="10">
        <v>0.7</v>
      </c>
      <c r="E3356" s="10">
        <v>56.2</v>
      </c>
    </row>
    <row r="3357" spans="1:5">
      <c r="A3357" t="s">
        <v>5547</v>
      </c>
      <c r="B3357" t="s">
        <v>5548</v>
      </c>
      <c r="C3357" s="10">
        <v>6</v>
      </c>
      <c r="D3357" s="10">
        <v>0.7</v>
      </c>
      <c r="E3357" s="10">
        <v>43</v>
      </c>
    </row>
    <row r="3358" spans="1:5">
      <c r="A3358" t="s">
        <v>10134</v>
      </c>
      <c r="B3358" t="s">
        <v>8961</v>
      </c>
      <c r="C3358" s="10">
        <v>6</v>
      </c>
      <c r="D3358" s="10">
        <v>0.7</v>
      </c>
      <c r="E3358" s="10">
        <v>43</v>
      </c>
    </row>
    <row r="3359" spans="1:5">
      <c r="A3359" t="s">
        <v>5549</v>
      </c>
      <c r="B3359" t="s">
        <v>5550</v>
      </c>
      <c r="C3359" s="10">
        <v>6</v>
      </c>
      <c r="D3359" s="10">
        <v>0.7</v>
      </c>
      <c r="E3359" s="10">
        <v>43</v>
      </c>
    </row>
    <row r="3360" spans="1:5">
      <c r="A3360" t="s">
        <v>5551</v>
      </c>
      <c r="B3360" t="s">
        <v>5552</v>
      </c>
      <c r="C3360" s="10">
        <v>6</v>
      </c>
      <c r="D3360" s="10">
        <v>0.7</v>
      </c>
      <c r="E3360" s="10">
        <v>43</v>
      </c>
    </row>
    <row r="3361" spans="1:5">
      <c r="A3361" t="s">
        <v>1601</v>
      </c>
      <c r="B3361" t="s">
        <v>1602</v>
      </c>
      <c r="C3361" s="10">
        <v>6</v>
      </c>
      <c r="D3361" s="10">
        <v>0.5</v>
      </c>
      <c r="E3361" s="10">
        <v>40</v>
      </c>
    </row>
    <row r="3362" spans="1:5">
      <c r="A3362" t="s">
        <v>1603</v>
      </c>
      <c r="B3362" t="s">
        <v>1604</v>
      </c>
      <c r="C3362" s="10">
        <v>6</v>
      </c>
      <c r="D3362" s="10">
        <v>0.5</v>
      </c>
      <c r="E3362" s="10">
        <v>40</v>
      </c>
    </row>
    <row r="3363" spans="1:5">
      <c r="A3363" t="s">
        <v>2745</v>
      </c>
      <c r="B3363" t="s">
        <v>2746</v>
      </c>
      <c r="C3363" s="10">
        <v>6</v>
      </c>
      <c r="D3363" s="10">
        <v>0.75</v>
      </c>
      <c r="E3363" s="10">
        <v>20</v>
      </c>
    </row>
    <row r="3364" spans="1:5">
      <c r="A3364" t="s">
        <v>2747</v>
      </c>
      <c r="B3364" t="s">
        <v>2748</v>
      </c>
      <c r="C3364" s="10">
        <v>6</v>
      </c>
      <c r="D3364" s="10">
        <v>0.75</v>
      </c>
      <c r="E3364" s="10">
        <v>20</v>
      </c>
    </row>
    <row r="3365" spans="1:5">
      <c r="A3365" t="s">
        <v>2749</v>
      </c>
      <c r="B3365" t="s">
        <v>2750</v>
      </c>
      <c r="C3365" s="10">
        <v>6</v>
      </c>
      <c r="D3365" s="10">
        <v>0.75</v>
      </c>
      <c r="E3365" s="10">
        <v>20</v>
      </c>
    </row>
    <row r="3366" spans="1:5">
      <c r="A3366" t="s">
        <v>2751</v>
      </c>
      <c r="B3366" t="s">
        <v>2752</v>
      </c>
      <c r="C3366" s="10">
        <v>6</v>
      </c>
      <c r="D3366" s="10">
        <v>0.75</v>
      </c>
      <c r="E3366" s="10">
        <v>19.5</v>
      </c>
    </row>
    <row r="3367" spans="1:5">
      <c r="A3367" t="s">
        <v>2753</v>
      </c>
      <c r="B3367" t="s">
        <v>2754</v>
      </c>
      <c r="C3367" s="10">
        <v>6</v>
      </c>
      <c r="D3367" s="10">
        <v>0.75</v>
      </c>
      <c r="E3367" s="10">
        <v>19.5</v>
      </c>
    </row>
    <row r="3368" spans="1:5">
      <c r="A3368" t="s">
        <v>2755</v>
      </c>
      <c r="B3368" t="s">
        <v>2756</v>
      </c>
      <c r="C3368" s="10">
        <v>6</v>
      </c>
      <c r="D3368" s="10">
        <v>0.75</v>
      </c>
      <c r="E3368" s="10">
        <v>19.5</v>
      </c>
    </row>
    <row r="3369" spans="1:5">
      <c r="A3369" t="s">
        <v>5837</v>
      </c>
      <c r="B3369" t="s">
        <v>1497</v>
      </c>
      <c r="C3369" s="10">
        <v>12</v>
      </c>
      <c r="D3369" s="10">
        <v>0.5</v>
      </c>
      <c r="E3369" s="10">
        <v>40</v>
      </c>
    </row>
    <row r="3370" spans="1:5">
      <c r="A3370" t="s">
        <v>5838</v>
      </c>
      <c r="B3370" t="s">
        <v>1497</v>
      </c>
      <c r="C3370" s="10">
        <v>12</v>
      </c>
      <c r="D3370" s="10">
        <v>0.7</v>
      </c>
      <c r="E3370" s="10">
        <v>40</v>
      </c>
    </row>
    <row r="3371" spans="1:5">
      <c r="A3371" t="s">
        <v>1496</v>
      </c>
      <c r="B3371" t="s">
        <v>1497</v>
      </c>
      <c r="C3371" s="10">
        <v>6</v>
      </c>
      <c r="D3371" s="10">
        <v>1</v>
      </c>
      <c r="E3371" s="10">
        <v>40</v>
      </c>
    </row>
    <row r="3372" spans="1:5">
      <c r="A3372" t="s">
        <v>4323</v>
      </c>
      <c r="B3372" t="s">
        <v>8962</v>
      </c>
      <c r="C3372" s="10">
        <v>6</v>
      </c>
      <c r="D3372" s="10">
        <v>0.7</v>
      </c>
      <c r="E3372" s="10">
        <v>37</v>
      </c>
    </row>
    <row r="3373" spans="1:5">
      <c r="A3373" t="s">
        <v>4324</v>
      </c>
      <c r="B3373" t="s">
        <v>8963</v>
      </c>
      <c r="C3373" s="10">
        <v>6</v>
      </c>
      <c r="D3373" s="10">
        <v>0.7</v>
      </c>
      <c r="E3373" s="10">
        <v>37</v>
      </c>
    </row>
    <row r="3374" spans="1:5">
      <c r="A3374" t="s">
        <v>4325</v>
      </c>
      <c r="B3374" t="s">
        <v>4326</v>
      </c>
      <c r="C3374" s="10">
        <v>6</v>
      </c>
      <c r="D3374" s="10">
        <v>0.7</v>
      </c>
      <c r="E3374" s="10">
        <v>47</v>
      </c>
    </row>
    <row r="3375" spans="1:5">
      <c r="A3375" t="s">
        <v>2757</v>
      </c>
      <c r="B3375" t="s">
        <v>2758</v>
      </c>
      <c r="C3375" s="10">
        <v>6</v>
      </c>
      <c r="D3375" s="10">
        <v>0.75</v>
      </c>
      <c r="E3375" s="10">
        <v>15</v>
      </c>
    </row>
    <row r="3376" spans="1:5">
      <c r="A3376" t="s">
        <v>2759</v>
      </c>
      <c r="B3376" t="s">
        <v>2760</v>
      </c>
      <c r="C3376" s="10">
        <v>6</v>
      </c>
      <c r="D3376" s="10">
        <v>0.75</v>
      </c>
      <c r="E3376" s="10">
        <v>18</v>
      </c>
    </row>
    <row r="3377" spans="1:5">
      <c r="A3377" t="s">
        <v>2761</v>
      </c>
      <c r="B3377" t="s">
        <v>2762</v>
      </c>
      <c r="C3377" s="10">
        <v>6</v>
      </c>
      <c r="D3377" s="10">
        <v>0.75</v>
      </c>
      <c r="E3377" s="10">
        <v>16</v>
      </c>
    </row>
    <row r="3378" spans="1:5">
      <c r="A3378" t="s">
        <v>4327</v>
      </c>
      <c r="B3378" t="s">
        <v>4328</v>
      </c>
      <c r="C3378" s="10">
        <v>6</v>
      </c>
      <c r="D3378" s="10">
        <v>0.7</v>
      </c>
      <c r="E3378" s="10">
        <v>50</v>
      </c>
    </row>
    <row r="3379" spans="1:5">
      <c r="A3379" t="s">
        <v>4329</v>
      </c>
      <c r="B3379" t="s">
        <v>4330</v>
      </c>
      <c r="C3379" s="10">
        <v>6</v>
      </c>
      <c r="D3379" s="10">
        <v>0.7</v>
      </c>
      <c r="E3379" s="10">
        <v>50</v>
      </c>
    </row>
    <row r="3380" spans="1:5">
      <c r="A3380" t="s">
        <v>4331</v>
      </c>
      <c r="B3380" t="s">
        <v>4332</v>
      </c>
      <c r="C3380" s="10">
        <v>6</v>
      </c>
      <c r="D3380" s="10">
        <v>0.7</v>
      </c>
      <c r="E3380" s="10">
        <v>50</v>
      </c>
    </row>
    <row r="3381" spans="1:5">
      <c r="A3381" t="s">
        <v>6727</v>
      </c>
      <c r="B3381" t="s">
        <v>2250</v>
      </c>
      <c r="C3381" s="10">
        <v>12</v>
      </c>
      <c r="D3381" s="10">
        <v>0.2</v>
      </c>
      <c r="E3381" s="10">
        <v>37.5</v>
      </c>
    </row>
    <row r="3382" spans="1:5">
      <c r="A3382" t="s">
        <v>4891</v>
      </c>
      <c r="B3382" t="s">
        <v>2250</v>
      </c>
      <c r="C3382" s="10">
        <v>6</v>
      </c>
      <c r="D3382" s="10">
        <v>0.7</v>
      </c>
      <c r="E3382" s="10">
        <v>37.5</v>
      </c>
    </row>
    <row r="3383" spans="1:5">
      <c r="A3383" t="s">
        <v>2249</v>
      </c>
      <c r="B3383" t="s">
        <v>2250</v>
      </c>
      <c r="C3383" s="10">
        <v>6</v>
      </c>
      <c r="D3383" s="10">
        <v>1</v>
      </c>
      <c r="E3383" s="10">
        <v>37.5</v>
      </c>
    </row>
    <row r="3384" spans="1:5">
      <c r="A3384" t="s">
        <v>6728</v>
      </c>
      <c r="B3384" t="s">
        <v>2252</v>
      </c>
      <c r="C3384" s="10">
        <v>12</v>
      </c>
      <c r="D3384" s="10">
        <v>0.2</v>
      </c>
      <c r="E3384" s="10">
        <v>37.5</v>
      </c>
    </row>
    <row r="3385" spans="1:5">
      <c r="A3385" t="s">
        <v>4892</v>
      </c>
      <c r="B3385" t="s">
        <v>2252</v>
      </c>
      <c r="C3385" s="10">
        <v>6</v>
      </c>
      <c r="D3385" s="10">
        <v>0.7</v>
      </c>
      <c r="E3385" s="10">
        <v>37.5</v>
      </c>
    </row>
    <row r="3386" spans="1:5">
      <c r="A3386" t="s">
        <v>2251</v>
      </c>
      <c r="B3386" t="s">
        <v>2252</v>
      </c>
      <c r="C3386" s="10">
        <v>6</v>
      </c>
      <c r="D3386" s="10">
        <v>1</v>
      </c>
      <c r="E3386" s="10">
        <v>37.5</v>
      </c>
    </row>
    <row r="3387" spans="1:5">
      <c r="A3387" t="s">
        <v>6380</v>
      </c>
      <c r="B3387" t="s">
        <v>6381</v>
      </c>
      <c r="C3387" s="10">
        <v>9</v>
      </c>
      <c r="D3387" s="10">
        <v>1</v>
      </c>
      <c r="E3387" s="10">
        <v>42.8</v>
      </c>
    </row>
    <row r="3388" spans="1:5">
      <c r="A3388" t="s">
        <v>4893</v>
      </c>
      <c r="B3388" t="s">
        <v>4894</v>
      </c>
      <c r="C3388" s="10">
        <v>6</v>
      </c>
      <c r="D3388" s="10">
        <v>0.7</v>
      </c>
      <c r="E3388" s="10">
        <v>37.5</v>
      </c>
    </row>
    <row r="3389" spans="1:5">
      <c r="A3389" t="s">
        <v>2253</v>
      </c>
      <c r="B3389" t="s">
        <v>8964</v>
      </c>
      <c r="C3389" s="10">
        <v>6</v>
      </c>
      <c r="D3389" s="10">
        <v>1</v>
      </c>
      <c r="E3389" s="10">
        <v>37.5</v>
      </c>
    </row>
    <row r="3390" spans="1:5">
      <c r="A3390" t="s">
        <v>10135</v>
      </c>
      <c r="B3390" t="s">
        <v>4895</v>
      </c>
      <c r="C3390" s="10">
        <v>6</v>
      </c>
      <c r="D3390" s="10">
        <v>0.7</v>
      </c>
      <c r="E3390" s="10">
        <v>37.5</v>
      </c>
    </row>
    <row r="3391" spans="1:5">
      <c r="A3391" t="s">
        <v>1498</v>
      </c>
      <c r="B3391" t="s">
        <v>1499</v>
      </c>
      <c r="C3391" s="10">
        <v>6</v>
      </c>
      <c r="D3391" s="10">
        <v>1</v>
      </c>
      <c r="E3391" s="10">
        <v>40</v>
      </c>
    </row>
    <row r="3392" spans="1:5">
      <c r="A3392" t="s">
        <v>1042</v>
      </c>
      <c r="B3392" t="s">
        <v>1043</v>
      </c>
      <c r="C3392" s="10">
        <v>6</v>
      </c>
      <c r="D3392" s="10">
        <v>0.7</v>
      </c>
      <c r="E3392" s="10">
        <v>40</v>
      </c>
    </row>
    <row r="3393" spans="1:5">
      <c r="A3393" t="s">
        <v>2254</v>
      </c>
      <c r="B3393" t="s">
        <v>2255</v>
      </c>
      <c r="C3393" s="10">
        <v>6</v>
      </c>
      <c r="D3393" s="10">
        <v>1</v>
      </c>
      <c r="E3393" s="10">
        <v>43</v>
      </c>
    </row>
    <row r="3394" spans="1:5">
      <c r="A3394" t="s">
        <v>5248</v>
      </c>
      <c r="B3394" t="s">
        <v>5249</v>
      </c>
      <c r="C3394" s="10">
        <v>6</v>
      </c>
      <c r="D3394" s="10">
        <v>0.7</v>
      </c>
      <c r="E3394" s="10">
        <v>46</v>
      </c>
    </row>
    <row r="3395" spans="1:5">
      <c r="A3395" t="s">
        <v>5250</v>
      </c>
      <c r="B3395" t="s">
        <v>5251</v>
      </c>
      <c r="C3395" s="10">
        <v>6</v>
      </c>
      <c r="D3395" s="10">
        <v>0.7</v>
      </c>
      <c r="E3395" s="10">
        <v>46</v>
      </c>
    </row>
    <row r="3396" spans="1:5">
      <c r="A3396" t="s">
        <v>5252</v>
      </c>
      <c r="B3396" t="s">
        <v>5253</v>
      </c>
      <c r="C3396" s="10">
        <v>6</v>
      </c>
      <c r="D3396" s="10">
        <v>0.7</v>
      </c>
      <c r="E3396" s="10">
        <v>46</v>
      </c>
    </row>
    <row r="3397" spans="1:5">
      <c r="A3397" t="s">
        <v>2256</v>
      </c>
      <c r="B3397" t="s">
        <v>2257</v>
      </c>
      <c r="C3397" s="10">
        <v>6</v>
      </c>
      <c r="D3397" s="10">
        <v>1</v>
      </c>
      <c r="E3397" s="10">
        <v>46</v>
      </c>
    </row>
    <row r="3398" spans="1:5">
      <c r="A3398" t="s">
        <v>10136</v>
      </c>
      <c r="B3398" t="s">
        <v>5254</v>
      </c>
      <c r="C3398" s="10">
        <v>6</v>
      </c>
      <c r="D3398" s="10">
        <v>0.7</v>
      </c>
      <c r="E3398" s="10">
        <v>46</v>
      </c>
    </row>
    <row r="3399" spans="1:5">
      <c r="A3399" t="s">
        <v>1888</v>
      </c>
      <c r="B3399" t="s">
        <v>1889</v>
      </c>
      <c r="C3399" s="10">
        <v>6</v>
      </c>
      <c r="D3399" s="10">
        <v>0.5</v>
      </c>
      <c r="E3399" s="10">
        <v>35</v>
      </c>
    </row>
    <row r="3400" spans="1:5">
      <c r="A3400" t="s">
        <v>1044</v>
      </c>
      <c r="B3400" t="s">
        <v>1045</v>
      </c>
      <c r="C3400" s="10">
        <v>6</v>
      </c>
      <c r="D3400" s="10">
        <v>0.7</v>
      </c>
      <c r="E3400" s="10">
        <v>40</v>
      </c>
    </row>
    <row r="3401" spans="1:5">
      <c r="A3401" t="s">
        <v>1046</v>
      </c>
      <c r="B3401" t="s">
        <v>1047</v>
      </c>
      <c r="C3401" s="10">
        <v>6</v>
      </c>
      <c r="D3401" s="10">
        <v>0.7</v>
      </c>
      <c r="E3401" s="10">
        <v>40</v>
      </c>
    </row>
    <row r="3402" spans="1:5">
      <c r="A3402" t="s">
        <v>1048</v>
      </c>
      <c r="B3402" t="s">
        <v>1049</v>
      </c>
      <c r="C3402" s="10">
        <v>6</v>
      </c>
      <c r="D3402" s="10">
        <v>0.7</v>
      </c>
      <c r="E3402" s="10">
        <v>40</v>
      </c>
    </row>
    <row r="3403" spans="1:5">
      <c r="A3403" t="s">
        <v>5947</v>
      </c>
      <c r="B3403" t="s">
        <v>5948</v>
      </c>
      <c r="C3403" s="10">
        <v>36</v>
      </c>
      <c r="D3403" s="10">
        <v>0.05</v>
      </c>
      <c r="E3403" s="10">
        <v>40</v>
      </c>
    </row>
    <row r="3404" spans="1:5">
      <c r="A3404" t="s">
        <v>10137</v>
      </c>
      <c r="B3404" t="s">
        <v>8965</v>
      </c>
      <c r="C3404" s="10">
        <v>12</v>
      </c>
      <c r="D3404" s="10">
        <v>0.15</v>
      </c>
      <c r="E3404" s="10">
        <v>40</v>
      </c>
    </row>
    <row r="3405" spans="1:5">
      <c r="A3405" t="s">
        <v>1050</v>
      </c>
      <c r="B3405" t="s">
        <v>1051</v>
      </c>
      <c r="C3405" s="10">
        <v>6</v>
      </c>
      <c r="D3405" s="10">
        <v>0.7</v>
      </c>
      <c r="E3405" s="10">
        <v>40</v>
      </c>
    </row>
    <row r="3406" spans="1:5">
      <c r="A3406" t="s">
        <v>5949</v>
      </c>
      <c r="B3406" t="s">
        <v>5950</v>
      </c>
      <c r="C3406" s="10">
        <v>36</v>
      </c>
      <c r="D3406" s="10">
        <v>0.05</v>
      </c>
      <c r="E3406" s="10">
        <v>40</v>
      </c>
    </row>
    <row r="3407" spans="1:5">
      <c r="A3407" t="s">
        <v>1052</v>
      </c>
      <c r="B3407" t="s">
        <v>1053</v>
      </c>
      <c r="C3407" s="10">
        <v>6</v>
      </c>
      <c r="D3407" s="10">
        <v>0.7</v>
      </c>
      <c r="E3407" s="10">
        <v>40</v>
      </c>
    </row>
    <row r="3408" spans="1:5">
      <c r="A3408" t="s">
        <v>5951</v>
      </c>
      <c r="B3408" t="s">
        <v>5952</v>
      </c>
      <c r="C3408" s="10">
        <v>36</v>
      </c>
      <c r="D3408" s="10">
        <v>0.05</v>
      </c>
      <c r="E3408" s="10">
        <v>40</v>
      </c>
    </row>
    <row r="3409" spans="1:5">
      <c r="A3409" t="s">
        <v>1054</v>
      </c>
      <c r="B3409" t="s">
        <v>1055</v>
      </c>
      <c r="C3409" s="10">
        <v>6</v>
      </c>
      <c r="D3409" s="10">
        <v>0.7</v>
      </c>
      <c r="E3409" s="10">
        <v>40</v>
      </c>
    </row>
    <row r="3410" spans="1:5">
      <c r="A3410" t="s">
        <v>10138</v>
      </c>
      <c r="B3410" t="s">
        <v>8966</v>
      </c>
      <c r="C3410" s="10">
        <v>6</v>
      </c>
      <c r="D3410" s="10">
        <v>0.7</v>
      </c>
      <c r="E3410" s="10">
        <v>40</v>
      </c>
    </row>
    <row r="3411" spans="1:5">
      <c r="A3411" t="s">
        <v>10139</v>
      </c>
      <c r="B3411" t="s">
        <v>8967</v>
      </c>
      <c r="C3411" s="10">
        <v>6</v>
      </c>
      <c r="D3411" s="10">
        <v>0.7</v>
      </c>
      <c r="E3411" s="10">
        <v>35</v>
      </c>
    </row>
    <row r="3412" spans="1:5">
      <c r="A3412" t="s">
        <v>6729</v>
      </c>
      <c r="B3412" t="s">
        <v>6730</v>
      </c>
      <c r="C3412" s="10">
        <v>12</v>
      </c>
      <c r="D3412" s="10">
        <v>0.5</v>
      </c>
      <c r="E3412" s="10">
        <v>20</v>
      </c>
    </row>
    <row r="3413" spans="1:5">
      <c r="A3413" t="s">
        <v>6731</v>
      </c>
      <c r="B3413" t="s">
        <v>6732</v>
      </c>
      <c r="C3413" s="10">
        <v>12</v>
      </c>
      <c r="D3413" s="10">
        <v>0.5</v>
      </c>
      <c r="E3413" s="10">
        <v>51.5</v>
      </c>
    </row>
    <row r="3414" spans="1:5">
      <c r="A3414" t="s">
        <v>6733</v>
      </c>
      <c r="B3414" t="s">
        <v>6734</v>
      </c>
      <c r="C3414" s="10">
        <v>12</v>
      </c>
      <c r="D3414" s="10">
        <v>0.5</v>
      </c>
      <c r="E3414" s="10">
        <v>50</v>
      </c>
    </row>
    <row r="3415" spans="1:5">
      <c r="A3415" t="s">
        <v>4333</v>
      </c>
      <c r="B3415" t="s">
        <v>4334</v>
      </c>
      <c r="C3415" s="10">
        <v>6</v>
      </c>
      <c r="D3415" s="10">
        <v>0.7</v>
      </c>
      <c r="E3415" s="10">
        <v>30</v>
      </c>
    </row>
    <row r="3416" spans="1:5">
      <c r="A3416" t="s">
        <v>4335</v>
      </c>
      <c r="B3416" t="s">
        <v>4336</v>
      </c>
      <c r="C3416" s="10">
        <v>6</v>
      </c>
      <c r="D3416" s="10">
        <v>0.7</v>
      </c>
      <c r="E3416" s="10">
        <v>30</v>
      </c>
    </row>
    <row r="3417" spans="1:5">
      <c r="A3417" t="s">
        <v>2258</v>
      </c>
      <c r="B3417" t="s">
        <v>2259</v>
      </c>
      <c r="C3417" s="10">
        <v>6</v>
      </c>
      <c r="D3417" s="10">
        <v>1</v>
      </c>
      <c r="E3417" s="10">
        <v>35</v>
      </c>
    </row>
    <row r="3418" spans="1:5">
      <c r="A3418" t="s">
        <v>6914</v>
      </c>
      <c r="B3418" t="s">
        <v>6915</v>
      </c>
      <c r="C3418" s="10">
        <v>6</v>
      </c>
      <c r="D3418" s="10">
        <v>0.5</v>
      </c>
      <c r="E3418" s="10">
        <v>40</v>
      </c>
    </row>
    <row r="3419" spans="1:5">
      <c r="A3419" t="s">
        <v>10140</v>
      </c>
      <c r="B3419" t="s">
        <v>8968</v>
      </c>
      <c r="C3419" s="10">
        <v>6</v>
      </c>
      <c r="D3419" s="10">
        <v>0.5</v>
      </c>
      <c r="E3419" s="10">
        <v>40</v>
      </c>
    </row>
    <row r="3420" spans="1:5">
      <c r="A3420" t="s">
        <v>5075</v>
      </c>
      <c r="B3420" t="s">
        <v>5076</v>
      </c>
      <c r="C3420" s="10">
        <v>6</v>
      </c>
      <c r="D3420" s="10">
        <v>0.7</v>
      </c>
      <c r="E3420" s="10">
        <v>38</v>
      </c>
    </row>
    <row r="3421" spans="1:5">
      <c r="A3421" t="s">
        <v>5077</v>
      </c>
      <c r="B3421" t="s">
        <v>5078</v>
      </c>
      <c r="C3421" s="10">
        <v>6</v>
      </c>
      <c r="D3421" s="10">
        <v>0.7</v>
      </c>
      <c r="E3421" s="10">
        <v>38</v>
      </c>
    </row>
    <row r="3422" spans="1:5">
      <c r="A3422" t="s">
        <v>4337</v>
      </c>
      <c r="B3422" t="s">
        <v>4338</v>
      </c>
      <c r="C3422" s="10">
        <v>6</v>
      </c>
      <c r="D3422" s="10">
        <v>0.7</v>
      </c>
      <c r="E3422" s="10">
        <v>35</v>
      </c>
    </row>
    <row r="3423" spans="1:5">
      <c r="A3423" t="s">
        <v>10141</v>
      </c>
      <c r="B3423" t="s">
        <v>4338</v>
      </c>
      <c r="C3423" s="10">
        <v>6</v>
      </c>
      <c r="D3423" s="10">
        <v>0.7</v>
      </c>
      <c r="E3423" s="10">
        <v>38</v>
      </c>
    </row>
    <row r="3424" spans="1:5">
      <c r="A3424" t="s">
        <v>4339</v>
      </c>
      <c r="B3424" t="s">
        <v>4340</v>
      </c>
      <c r="C3424" s="10">
        <v>6</v>
      </c>
      <c r="D3424" s="10">
        <v>0.7</v>
      </c>
      <c r="E3424" s="10">
        <v>35</v>
      </c>
    </row>
    <row r="3425" spans="1:5">
      <c r="A3425" t="s">
        <v>1056</v>
      </c>
      <c r="B3425" t="s">
        <v>1057</v>
      </c>
      <c r="C3425" s="10">
        <v>6</v>
      </c>
      <c r="D3425" s="10">
        <v>0.7</v>
      </c>
      <c r="E3425" s="10">
        <v>40</v>
      </c>
    </row>
    <row r="3426" spans="1:5">
      <c r="A3426" t="s">
        <v>1058</v>
      </c>
      <c r="B3426" t="s">
        <v>1059</v>
      </c>
      <c r="C3426" s="10">
        <v>6</v>
      </c>
      <c r="D3426" s="10">
        <v>0.7</v>
      </c>
      <c r="E3426" s="10">
        <v>40</v>
      </c>
    </row>
    <row r="3427" spans="1:5">
      <c r="A3427" t="s">
        <v>6382</v>
      </c>
      <c r="B3427" t="s">
        <v>6383</v>
      </c>
      <c r="C3427" s="10">
        <v>3</v>
      </c>
      <c r="D3427" s="10">
        <v>0.7</v>
      </c>
      <c r="E3427" s="10">
        <v>42.5</v>
      </c>
    </row>
    <row r="3428" spans="1:5">
      <c r="A3428" t="s">
        <v>1669</v>
      </c>
      <c r="B3428" t="s">
        <v>1670</v>
      </c>
      <c r="C3428" s="10">
        <v>6</v>
      </c>
      <c r="D3428" s="10">
        <v>0.15</v>
      </c>
      <c r="E3428" s="10">
        <v>43</v>
      </c>
    </row>
    <row r="3429" spans="1:5">
      <c r="A3429" t="s">
        <v>4341</v>
      </c>
      <c r="B3429" t="s">
        <v>2261</v>
      </c>
      <c r="C3429" s="10">
        <v>6</v>
      </c>
      <c r="D3429" s="10">
        <v>0.7</v>
      </c>
      <c r="E3429" s="10">
        <v>42.5</v>
      </c>
    </row>
    <row r="3430" spans="1:5">
      <c r="A3430" t="s">
        <v>2260</v>
      </c>
      <c r="B3430" t="s">
        <v>2261</v>
      </c>
      <c r="C3430" s="10">
        <v>6</v>
      </c>
      <c r="D3430" s="10">
        <v>1</v>
      </c>
      <c r="E3430" s="10">
        <v>42.5</v>
      </c>
    </row>
    <row r="3431" spans="1:5">
      <c r="A3431" t="s">
        <v>4342</v>
      </c>
      <c r="B3431" t="s">
        <v>4343</v>
      </c>
      <c r="C3431" s="10">
        <v>6</v>
      </c>
      <c r="D3431" s="10">
        <v>0.7</v>
      </c>
      <c r="E3431" s="10">
        <v>12</v>
      </c>
    </row>
    <row r="3432" spans="1:5">
      <c r="A3432" t="s">
        <v>6384</v>
      </c>
      <c r="B3432" t="s">
        <v>6385</v>
      </c>
      <c r="C3432" s="10">
        <v>160</v>
      </c>
      <c r="D3432" s="10">
        <v>0.02</v>
      </c>
      <c r="E3432" s="10">
        <v>12</v>
      </c>
    </row>
    <row r="3433" spans="1:5">
      <c r="A3433" t="s">
        <v>5079</v>
      </c>
      <c r="B3433" t="s">
        <v>5080</v>
      </c>
      <c r="C3433" s="10">
        <v>6</v>
      </c>
      <c r="D3433" s="10">
        <v>0.7</v>
      </c>
      <c r="E3433" s="10">
        <v>38</v>
      </c>
    </row>
    <row r="3434" spans="1:5">
      <c r="A3434" t="s">
        <v>6955</v>
      </c>
      <c r="B3434" t="s">
        <v>6956</v>
      </c>
      <c r="C3434" s="10">
        <v>6</v>
      </c>
      <c r="D3434" s="10">
        <v>0.7</v>
      </c>
      <c r="E3434" s="10">
        <v>43</v>
      </c>
    </row>
    <row r="3435" spans="1:5">
      <c r="A3435" t="s">
        <v>5081</v>
      </c>
      <c r="B3435" t="s">
        <v>5082</v>
      </c>
      <c r="C3435" s="10">
        <v>6</v>
      </c>
      <c r="D3435" s="10">
        <v>0.7</v>
      </c>
      <c r="E3435" s="10">
        <v>38</v>
      </c>
    </row>
    <row r="3436" spans="1:5">
      <c r="A3436" t="s">
        <v>5083</v>
      </c>
      <c r="B3436" t="s">
        <v>5084</v>
      </c>
      <c r="C3436" s="10">
        <v>6</v>
      </c>
      <c r="D3436" s="10">
        <v>0.7</v>
      </c>
      <c r="E3436" s="10">
        <v>38</v>
      </c>
    </row>
    <row r="3437" spans="1:5">
      <c r="A3437" t="s">
        <v>5085</v>
      </c>
      <c r="B3437" t="s">
        <v>5086</v>
      </c>
      <c r="C3437" s="10">
        <v>6</v>
      </c>
      <c r="D3437" s="10">
        <v>0.7</v>
      </c>
      <c r="E3437" s="10">
        <v>38</v>
      </c>
    </row>
    <row r="3438" spans="1:5">
      <c r="A3438" t="s">
        <v>5553</v>
      </c>
      <c r="B3438" t="s">
        <v>5554</v>
      </c>
      <c r="C3438" s="10">
        <v>6</v>
      </c>
      <c r="D3438" s="10">
        <v>0.7</v>
      </c>
      <c r="E3438" s="10">
        <v>43</v>
      </c>
    </row>
    <row r="3439" spans="1:5">
      <c r="A3439" t="s">
        <v>5555</v>
      </c>
      <c r="B3439" t="s">
        <v>5556</v>
      </c>
      <c r="C3439" s="10">
        <v>6</v>
      </c>
      <c r="D3439" s="10">
        <v>0.7</v>
      </c>
      <c r="E3439" s="10">
        <v>43</v>
      </c>
    </row>
    <row r="3440" spans="1:5">
      <c r="A3440" t="s">
        <v>2262</v>
      </c>
      <c r="B3440" t="s">
        <v>2263</v>
      </c>
      <c r="C3440" s="10">
        <v>6</v>
      </c>
      <c r="D3440" s="10">
        <v>1</v>
      </c>
      <c r="E3440" s="10">
        <v>37.5</v>
      </c>
    </row>
    <row r="3441" spans="1:5">
      <c r="A3441" t="s">
        <v>10142</v>
      </c>
      <c r="B3441" t="s">
        <v>8969</v>
      </c>
      <c r="C3441" s="10">
        <v>6</v>
      </c>
      <c r="D3441" s="10">
        <v>1</v>
      </c>
      <c r="E3441" s="10">
        <v>37.5</v>
      </c>
    </row>
    <row r="3442" spans="1:5">
      <c r="A3442" t="s">
        <v>6386</v>
      </c>
      <c r="B3442" t="s">
        <v>6387</v>
      </c>
      <c r="C3442" s="10">
        <v>160</v>
      </c>
      <c r="D3442" s="10">
        <v>0.02</v>
      </c>
      <c r="E3442" s="10">
        <v>14.9</v>
      </c>
    </row>
    <row r="3443" spans="1:5">
      <c r="A3443" t="s">
        <v>6388</v>
      </c>
      <c r="B3443" t="s">
        <v>8970</v>
      </c>
      <c r="C3443" s="10">
        <v>40</v>
      </c>
      <c r="D3443" s="10">
        <v>0.02</v>
      </c>
      <c r="E3443" s="10">
        <v>14.9</v>
      </c>
    </row>
    <row r="3444" spans="1:5">
      <c r="A3444" t="s">
        <v>10143</v>
      </c>
      <c r="B3444" t="s">
        <v>8971</v>
      </c>
      <c r="C3444" s="10">
        <v>6</v>
      </c>
      <c r="D3444" s="10">
        <v>0.7</v>
      </c>
      <c r="E3444" s="10">
        <v>40</v>
      </c>
    </row>
    <row r="3445" spans="1:5">
      <c r="A3445" t="s">
        <v>4344</v>
      </c>
      <c r="B3445" t="s">
        <v>4345</v>
      </c>
      <c r="C3445" s="10">
        <v>6</v>
      </c>
      <c r="D3445" s="10">
        <v>0.7</v>
      </c>
      <c r="E3445" s="10">
        <v>30</v>
      </c>
    </row>
    <row r="3446" spans="1:5">
      <c r="A3446" t="s">
        <v>10144</v>
      </c>
      <c r="B3446" t="s">
        <v>8972</v>
      </c>
      <c r="C3446" s="10">
        <v>12</v>
      </c>
      <c r="D3446" s="10">
        <v>1</v>
      </c>
      <c r="E3446" s="10">
        <v>36</v>
      </c>
    </row>
    <row r="3447" spans="1:5">
      <c r="A3447" t="s">
        <v>6735</v>
      </c>
      <c r="B3447" t="s">
        <v>6736</v>
      </c>
      <c r="C3447" s="10">
        <v>12</v>
      </c>
      <c r="D3447" s="10">
        <v>0.7</v>
      </c>
      <c r="E3447" s="10">
        <v>36</v>
      </c>
    </row>
    <row r="3448" spans="1:5">
      <c r="A3448" t="s">
        <v>2763</v>
      </c>
      <c r="B3448" t="s">
        <v>2764</v>
      </c>
      <c r="C3448" s="10">
        <v>6</v>
      </c>
      <c r="D3448" s="10">
        <v>0.75</v>
      </c>
      <c r="E3448" s="10">
        <v>17</v>
      </c>
    </row>
    <row r="3449" spans="1:5">
      <c r="A3449" t="s">
        <v>2765</v>
      </c>
      <c r="B3449" t="s">
        <v>2766</v>
      </c>
      <c r="C3449" s="10">
        <v>6</v>
      </c>
      <c r="D3449" s="10">
        <v>0.75</v>
      </c>
      <c r="E3449" s="10">
        <v>15</v>
      </c>
    </row>
    <row r="3450" spans="1:5">
      <c r="A3450" t="s">
        <v>2767</v>
      </c>
      <c r="B3450" t="s">
        <v>2768</v>
      </c>
      <c r="C3450" s="10">
        <v>6</v>
      </c>
      <c r="D3450" s="10">
        <v>0.75</v>
      </c>
      <c r="E3450" s="10">
        <v>15</v>
      </c>
    </row>
    <row r="3451" spans="1:5">
      <c r="A3451" t="s">
        <v>2264</v>
      </c>
      <c r="B3451" t="s">
        <v>2265</v>
      </c>
      <c r="C3451" s="10">
        <v>6</v>
      </c>
      <c r="D3451" s="10">
        <v>1</v>
      </c>
      <c r="E3451" s="10">
        <v>30</v>
      </c>
    </row>
    <row r="3452" spans="1:5">
      <c r="A3452" t="s">
        <v>1890</v>
      </c>
      <c r="B3452" t="s">
        <v>1891</v>
      </c>
      <c r="C3452" s="10">
        <v>6</v>
      </c>
      <c r="D3452" s="10">
        <v>0.5</v>
      </c>
      <c r="E3452" s="10">
        <v>45.8</v>
      </c>
    </row>
    <row r="3453" spans="1:5">
      <c r="A3453" t="s">
        <v>1060</v>
      </c>
      <c r="B3453" t="s">
        <v>1061</v>
      </c>
      <c r="C3453" s="10">
        <v>6</v>
      </c>
      <c r="D3453" s="10">
        <v>0.7</v>
      </c>
      <c r="E3453" s="10">
        <v>40</v>
      </c>
    </row>
    <row r="3454" spans="1:5">
      <c r="A3454" t="s">
        <v>1062</v>
      </c>
      <c r="B3454" t="s">
        <v>1063</v>
      </c>
      <c r="C3454" s="10">
        <v>6</v>
      </c>
      <c r="D3454" s="10">
        <v>0.7</v>
      </c>
      <c r="E3454" s="10">
        <v>40</v>
      </c>
    </row>
    <row r="3455" spans="1:5">
      <c r="A3455" t="s">
        <v>5087</v>
      </c>
      <c r="B3455" t="s">
        <v>5088</v>
      </c>
      <c r="C3455" s="10">
        <v>6</v>
      </c>
      <c r="D3455" s="10">
        <v>0.7</v>
      </c>
      <c r="E3455" s="10">
        <v>38</v>
      </c>
    </row>
    <row r="3456" spans="1:5">
      <c r="A3456" t="s">
        <v>5839</v>
      </c>
      <c r="B3456" t="s">
        <v>5088</v>
      </c>
      <c r="C3456" s="10">
        <v>12</v>
      </c>
      <c r="D3456" s="10">
        <v>0.7</v>
      </c>
      <c r="E3456" s="10">
        <v>40</v>
      </c>
    </row>
    <row r="3457" spans="1:5">
      <c r="A3457" t="s">
        <v>5742</v>
      </c>
      <c r="B3457" t="s">
        <v>5088</v>
      </c>
      <c r="C3457" s="10">
        <v>12</v>
      </c>
      <c r="D3457" s="10">
        <v>1</v>
      </c>
      <c r="E3457" s="10">
        <v>40</v>
      </c>
    </row>
    <row r="3458" spans="1:5">
      <c r="A3458" t="s">
        <v>10145</v>
      </c>
      <c r="B3458" t="s">
        <v>8973</v>
      </c>
      <c r="C3458" s="10">
        <v>12</v>
      </c>
      <c r="D3458" s="10">
        <v>1</v>
      </c>
      <c r="E3458" s="10">
        <v>40</v>
      </c>
    </row>
    <row r="3459" spans="1:5">
      <c r="A3459" t="s">
        <v>10146</v>
      </c>
      <c r="B3459" t="s">
        <v>8974</v>
      </c>
      <c r="C3459" s="10">
        <v>6</v>
      </c>
      <c r="D3459" s="10">
        <v>1</v>
      </c>
      <c r="E3459" s="10">
        <v>0</v>
      </c>
    </row>
    <row r="3460" spans="1:5">
      <c r="A3460" t="s">
        <v>4896</v>
      </c>
      <c r="B3460" t="s">
        <v>4897</v>
      </c>
      <c r="C3460" s="10">
        <v>6</v>
      </c>
      <c r="D3460" s="10">
        <v>0.7</v>
      </c>
      <c r="E3460" s="10">
        <v>37.5</v>
      </c>
    </row>
    <row r="3461" spans="1:5">
      <c r="A3461" t="s">
        <v>5743</v>
      </c>
      <c r="B3461" t="s">
        <v>5744</v>
      </c>
      <c r="C3461" s="10">
        <v>12</v>
      </c>
      <c r="D3461" s="10">
        <v>1</v>
      </c>
      <c r="E3461" s="10">
        <v>40</v>
      </c>
    </row>
    <row r="3462" spans="1:5">
      <c r="A3462" t="s">
        <v>1064</v>
      </c>
      <c r="B3462" t="s">
        <v>1065</v>
      </c>
      <c r="C3462" s="10">
        <v>6</v>
      </c>
      <c r="D3462" s="10">
        <v>0.7</v>
      </c>
      <c r="E3462" s="10">
        <v>40</v>
      </c>
    </row>
    <row r="3463" spans="1:5">
      <c r="A3463" t="s">
        <v>4346</v>
      </c>
      <c r="B3463" t="s">
        <v>4347</v>
      </c>
      <c r="C3463" s="10">
        <v>6</v>
      </c>
      <c r="D3463" s="10">
        <v>0.7</v>
      </c>
      <c r="E3463" s="10">
        <v>47</v>
      </c>
    </row>
    <row r="3464" spans="1:5">
      <c r="A3464" t="s">
        <v>10147</v>
      </c>
      <c r="B3464" t="s">
        <v>8975</v>
      </c>
      <c r="C3464" s="10">
        <v>6</v>
      </c>
      <c r="D3464" s="10">
        <v>1</v>
      </c>
      <c r="E3464" s="10">
        <v>25</v>
      </c>
    </row>
    <row r="3465" spans="1:5">
      <c r="A3465" t="s">
        <v>2266</v>
      </c>
      <c r="B3465" t="s">
        <v>2267</v>
      </c>
      <c r="C3465" s="10">
        <v>6</v>
      </c>
      <c r="D3465" s="10">
        <v>1</v>
      </c>
      <c r="E3465" s="10">
        <v>0</v>
      </c>
    </row>
    <row r="3466" spans="1:5">
      <c r="A3466" t="s">
        <v>1066</v>
      </c>
      <c r="B3466" t="s">
        <v>1067</v>
      </c>
      <c r="C3466" s="10">
        <v>6</v>
      </c>
      <c r="D3466" s="10">
        <v>0.7</v>
      </c>
      <c r="E3466" s="10">
        <v>40</v>
      </c>
    </row>
    <row r="3467" spans="1:5">
      <c r="A3467" t="s">
        <v>1500</v>
      </c>
      <c r="B3467" t="s">
        <v>1067</v>
      </c>
      <c r="C3467" s="10">
        <v>6</v>
      </c>
      <c r="D3467" s="10">
        <v>1</v>
      </c>
      <c r="E3467" s="10">
        <v>40</v>
      </c>
    </row>
    <row r="3468" spans="1:5">
      <c r="A3468" t="s">
        <v>1068</v>
      </c>
      <c r="B3468" t="s">
        <v>1069</v>
      </c>
      <c r="C3468" s="10">
        <v>6</v>
      </c>
      <c r="D3468" s="10">
        <v>0.7</v>
      </c>
      <c r="E3468" s="10">
        <v>40</v>
      </c>
    </row>
    <row r="3469" spans="1:5">
      <c r="A3469" t="s">
        <v>1070</v>
      </c>
      <c r="B3469" t="s">
        <v>1071</v>
      </c>
      <c r="C3469" s="10">
        <v>6</v>
      </c>
      <c r="D3469" s="10">
        <v>0.7</v>
      </c>
      <c r="E3469" s="10">
        <v>40</v>
      </c>
    </row>
    <row r="3470" spans="1:5">
      <c r="A3470" t="s">
        <v>1072</v>
      </c>
      <c r="B3470" t="s">
        <v>1073</v>
      </c>
      <c r="C3470" s="10">
        <v>6</v>
      </c>
      <c r="D3470" s="10">
        <v>0.7</v>
      </c>
      <c r="E3470" s="10">
        <v>40</v>
      </c>
    </row>
    <row r="3471" spans="1:5">
      <c r="A3471" t="s">
        <v>2769</v>
      </c>
      <c r="B3471" t="s">
        <v>2770</v>
      </c>
      <c r="C3471" s="10">
        <v>6</v>
      </c>
      <c r="D3471" s="10">
        <v>0.75</v>
      </c>
      <c r="E3471" s="10">
        <v>13.5</v>
      </c>
    </row>
    <row r="3472" spans="1:5">
      <c r="A3472" t="s">
        <v>2771</v>
      </c>
      <c r="B3472" t="s">
        <v>2772</v>
      </c>
      <c r="C3472" s="10">
        <v>6</v>
      </c>
      <c r="D3472" s="10">
        <v>0.75</v>
      </c>
      <c r="E3472" s="10">
        <v>13.5</v>
      </c>
    </row>
    <row r="3473" spans="1:5">
      <c r="A3473" t="s">
        <v>2773</v>
      </c>
      <c r="B3473" t="s">
        <v>2774</v>
      </c>
      <c r="C3473" s="10">
        <v>6</v>
      </c>
      <c r="D3473" s="10">
        <v>0.75</v>
      </c>
      <c r="E3473" s="10">
        <v>13.5</v>
      </c>
    </row>
    <row r="3474" spans="1:5">
      <c r="A3474" t="s">
        <v>1892</v>
      </c>
      <c r="B3474" t="s">
        <v>1893</v>
      </c>
      <c r="C3474" s="10">
        <v>6</v>
      </c>
      <c r="D3474" s="10">
        <v>0.5</v>
      </c>
      <c r="E3474" s="10">
        <v>26</v>
      </c>
    </row>
    <row r="3475" spans="1:5">
      <c r="A3475" t="s">
        <v>10148</v>
      </c>
      <c r="B3475" t="s">
        <v>8976</v>
      </c>
      <c r="C3475" s="10">
        <v>6</v>
      </c>
      <c r="D3475" s="10">
        <v>0.5</v>
      </c>
      <c r="E3475" s="10">
        <v>26</v>
      </c>
    </row>
    <row r="3476" spans="1:5">
      <c r="A3476" t="s">
        <v>10149</v>
      </c>
      <c r="B3476" t="s">
        <v>8977</v>
      </c>
      <c r="C3476" s="10">
        <v>6</v>
      </c>
      <c r="D3476" s="10">
        <v>0.35</v>
      </c>
      <c r="E3476" s="10">
        <v>15</v>
      </c>
    </row>
    <row r="3477" spans="1:5">
      <c r="A3477" t="s">
        <v>2775</v>
      </c>
      <c r="B3477" t="s">
        <v>2776</v>
      </c>
      <c r="C3477" s="10">
        <v>6</v>
      </c>
      <c r="D3477" s="10">
        <v>0.75</v>
      </c>
      <c r="E3477" s="10">
        <v>20</v>
      </c>
    </row>
    <row r="3478" spans="1:5">
      <c r="A3478" t="s">
        <v>4348</v>
      </c>
      <c r="B3478" t="s">
        <v>4349</v>
      </c>
      <c r="C3478" s="10">
        <v>6</v>
      </c>
      <c r="D3478" s="10">
        <v>0.7</v>
      </c>
      <c r="E3478" s="10">
        <v>15</v>
      </c>
    </row>
    <row r="3479" spans="1:5">
      <c r="A3479" t="s">
        <v>1074</v>
      </c>
      <c r="B3479" t="s">
        <v>1075</v>
      </c>
      <c r="C3479" s="10">
        <v>6</v>
      </c>
      <c r="D3479" s="10">
        <v>0.7</v>
      </c>
      <c r="E3479" s="10">
        <v>40</v>
      </c>
    </row>
    <row r="3480" spans="1:5">
      <c r="A3480" t="s">
        <v>1501</v>
      </c>
      <c r="B3480" t="s">
        <v>1075</v>
      </c>
      <c r="C3480" s="10">
        <v>6</v>
      </c>
      <c r="D3480" s="10">
        <v>1</v>
      </c>
      <c r="E3480" s="10">
        <v>40</v>
      </c>
    </row>
    <row r="3481" spans="1:5">
      <c r="A3481" t="s">
        <v>1076</v>
      </c>
      <c r="B3481" t="s">
        <v>1077</v>
      </c>
      <c r="C3481" s="10">
        <v>6</v>
      </c>
      <c r="D3481" s="10">
        <v>0.7</v>
      </c>
      <c r="E3481" s="10">
        <v>40</v>
      </c>
    </row>
    <row r="3482" spans="1:5">
      <c r="A3482" t="s">
        <v>1078</v>
      </c>
      <c r="B3482" t="s">
        <v>1079</v>
      </c>
      <c r="C3482" s="10">
        <v>6</v>
      </c>
      <c r="D3482" s="10">
        <v>0.7</v>
      </c>
      <c r="E3482" s="10">
        <v>40</v>
      </c>
    </row>
    <row r="3483" spans="1:5">
      <c r="A3483" t="s">
        <v>4898</v>
      </c>
      <c r="B3483" t="s">
        <v>2269</v>
      </c>
      <c r="C3483" s="10">
        <v>6</v>
      </c>
      <c r="D3483" s="10">
        <v>0.7</v>
      </c>
      <c r="E3483" s="10">
        <v>37.5</v>
      </c>
    </row>
    <row r="3484" spans="1:5">
      <c r="A3484" t="s">
        <v>2268</v>
      </c>
      <c r="B3484" t="s">
        <v>2269</v>
      </c>
      <c r="C3484" s="10">
        <v>6</v>
      </c>
      <c r="D3484" s="10">
        <v>1</v>
      </c>
      <c r="E3484" s="10">
        <v>37.5</v>
      </c>
    </row>
    <row r="3485" spans="1:5">
      <c r="A3485" t="s">
        <v>5840</v>
      </c>
      <c r="B3485" t="s">
        <v>1606</v>
      </c>
      <c r="C3485" s="10">
        <v>12</v>
      </c>
      <c r="D3485" s="10">
        <v>0.05</v>
      </c>
      <c r="E3485" s="10">
        <v>40</v>
      </c>
    </row>
    <row r="3486" spans="1:5">
      <c r="A3486" t="s">
        <v>1605</v>
      </c>
      <c r="B3486" t="s">
        <v>1606</v>
      </c>
      <c r="C3486" s="10">
        <v>6</v>
      </c>
      <c r="D3486" s="10">
        <v>0.5</v>
      </c>
      <c r="E3486" s="10">
        <v>40</v>
      </c>
    </row>
    <row r="3487" spans="1:5">
      <c r="A3487" t="s">
        <v>6056</v>
      </c>
      <c r="B3487" t="s">
        <v>6057</v>
      </c>
      <c r="C3487" s="10">
        <v>5</v>
      </c>
      <c r="D3487" s="10">
        <v>0.7</v>
      </c>
      <c r="E3487" s="10">
        <v>40</v>
      </c>
    </row>
    <row r="3488" spans="1:5">
      <c r="A3488" t="s">
        <v>10150</v>
      </c>
      <c r="B3488" t="s">
        <v>8978</v>
      </c>
      <c r="C3488" s="10">
        <v>6</v>
      </c>
      <c r="D3488" s="10">
        <v>0.5</v>
      </c>
      <c r="E3488" s="10">
        <v>45</v>
      </c>
    </row>
    <row r="3489" spans="1:5">
      <c r="A3489" t="s">
        <v>10151</v>
      </c>
      <c r="B3489" t="s">
        <v>8979</v>
      </c>
      <c r="C3489" s="10">
        <v>6</v>
      </c>
      <c r="D3489" s="10">
        <v>0.5</v>
      </c>
      <c r="E3489" s="10">
        <v>45</v>
      </c>
    </row>
    <row r="3490" spans="1:5">
      <c r="A3490" t="s">
        <v>10152</v>
      </c>
      <c r="B3490" t="s">
        <v>8980</v>
      </c>
      <c r="C3490" s="10">
        <v>6</v>
      </c>
      <c r="D3490" s="10">
        <v>0.5</v>
      </c>
      <c r="E3490" s="10">
        <v>40</v>
      </c>
    </row>
    <row r="3491" spans="1:5">
      <c r="A3491" t="s">
        <v>1080</v>
      </c>
      <c r="B3491" t="s">
        <v>1081</v>
      </c>
      <c r="C3491" s="10">
        <v>6</v>
      </c>
      <c r="D3491" s="10">
        <v>0.7</v>
      </c>
      <c r="E3491" s="10">
        <v>40</v>
      </c>
    </row>
    <row r="3492" spans="1:5">
      <c r="A3492" t="s">
        <v>2777</v>
      </c>
      <c r="B3492" t="s">
        <v>2778</v>
      </c>
      <c r="C3492" s="10">
        <v>6</v>
      </c>
      <c r="D3492" s="10">
        <v>0.75</v>
      </c>
      <c r="E3492" s="10">
        <v>14.5</v>
      </c>
    </row>
    <row r="3493" spans="1:5">
      <c r="A3493" t="s">
        <v>6737</v>
      </c>
      <c r="B3493" t="s">
        <v>2271</v>
      </c>
      <c r="C3493" s="10">
        <v>12</v>
      </c>
      <c r="D3493" s="10">
        <v>0.5</v>
      </c>
      <c r="E3493" s="10">
        <v>35</v>
      </c>
    </row>
    <row r="3494" spans="1:5">
      <c r="A3494" t="s">
        <v>2270</v>
      </c>
      <c r="B3494" t="s">
        <v>2271</v>
      </c>
      <c r="C3494" s="10">
        <v>6</v>
      </c>
      <c r="D3494" s="10">
        <v>1</v>
      </c>
      <c r="E3494" s="10">
        <v>35</v>
      </c>
    </row>
    <row r="3495" spans="1:5">
      <c r="A3495" t="s">
        <v>10153</v>
      </c>
      <c r="B3495" t="s">
        <v>8981</v>
      </c>
      <c r="C3495" s="10">
        <v>12</v>
      </c>
      <c r="D3495" s="10">
        <v>1</v>
      </c>
      <c r="E3495" s="10">
        <v>0</v>
      </c>
    </row>
    <row r="3496" spans="1:5">
      <c r="A3496" t="s">
        <v>2272</v>
      </c>
      <c r="B3496" t="s">
        <v>2273</v>
      </c>
      <c r="C3496" s="10">
        <v>6</v>
      </c>
      <c r="D3496" s="10">
        <v>1</v>
      </c>
      <c r="E3496" s="10">
        <v>0</v>
      </c>
    </row>
    <row r="3497" spans="1:5">
      <c r="A3497" t="s">
        <v>2779</v>
      </c>
      <c r="B3497" t="s">
        <v>2780</v>
      </c>
      <c r="C3497" s="10">
        <v>6</v>
      </c>
      <c r="D3497" s="10">
        <v>0.75</v>
      </c>
      <c r="E3497" s="10">
        <v>9.5</v>
      </c>
    </row>
    <row r="3498" spans="1:5">
      <c r="A3498" t="s">
        <v>4350</v>
      </c>
      <c r="B3498" t="s">
        <v>2275</v>
      </c>
      <c r="C3498" s="10">
        <v>6</v>
      </c>
      <c r="D3498" s="10">
        <v>0.7</v>
      </c>
      <c r="E3498" s="10">
        <v>17</v>
      </c>
    </row>
    <row r="3499" spans="1:5">
      <c r="A3499" t="s">
        <v>2274</v>
      </c>
      <c r="B3499" t="s">
        <v>2275</v>
      </c>
      <c r="C3499" s="10">
        <v>6</v>
      </c>
      <c r="D3499" s="10">
        <v>1</v>
      </c>
      <c r="E3499" s="10">
        <v>17</v>
      </c>
    </row>
    <row r="3500" spans="1:5">
      <c r="A3500" t="s">
        <v>4794</v>
      </c>
      <c r="B3500" t="s">
        <v>2277</v>
      </c>
      <c r="C3500" s="10">
        <v>6</v>
      </c>
      <c r="D3500" s="10">
        <v>0.7</v>
      </c>
      <c r="E3500" s="10">
        <v>45</v>
      </c>
    </row>
    <row r="3501" spans="1:5">
      <c r="A3501" t="s">
        <v>4795</v>
      </c>
      <c r="B3501" t="s">
        <v>2277</v>
      </c>
      <c r="C3501" s="10">
        <v>6</v>
      </c>
      <c r="D3501" s="10">
        <v>0.7</v>
      </c>
      <c r="E3501" s="10">
        <v>45</v>
      </c>
    </row>
    <row r="3502" spans="1:5">
      <c r="A3502" t="s">
        <v>2276</v>
      </c>
      <c r="B3502" t="s">
        <v>2277</v>
      </c>
      <c r="C3502" s="10">
        <v>6</v>
      </c>
      <c r="D3502" s="10">
        <v>1</v>
      </c>
      <c r="E3502" s="10">
        <v>45</v>
      </c>
    </row>
    <row r="3503" spans="1:5">
      <c r="A3503" t="s">
        <v>6879</v>
      </c>
      <c r="B3503" t="s">
        <v>2277</v>
      </c>
      <c r="C3503" s="10">
        <v>12</v>
      </c>
      <c r="D3503" s="10">
        <v>1</v>
      </c>
      <c r="E3503" s="10">
        <v>45</v>
      </c>
    </row>
    <row r="3504" spans="1:5">
      <c r="A3504" t="s">
        <v>6880</v>
      </c>
      <c r="B3504" t="s">
        <v>6881</v>
      </c>
      <c r="C3504" s="10">
        <v>12</v>
      </c>
      <c r="D3504" s="10">
        <v>1</v>
      </c>
      <c r="E3504" s="10">
        <v>45</v>
      </c>
    </row>
    <row r="3505" spans="1:5">
      <c r="A3505" t="s">
        <v>10154</v>
      </c>
      <c r="B3505" t="s">
        <v>8982</v>
      </c>
      <c r="C3505" s="10">
        <v>6</v>
      </c>
      <c r="D3505" s="10">
        <v>0.7</v>
      </c>
      <c r="E3505" s="10">
        <v>40</v>
      </c>
    </row>
    <row r="3506" spans="1:5">
      <c r="A3506" t="s">
        <v>1082</v>
      </c>
      <c r="B3506" t="s">
        <v>1083</v>
      </c>
      <c r="C3506" s="10">
        <v>6</v>
      </c>
      <c r="D3506" s="10">
        <v>0.7</v>
      </c>
      <c r="E3506" s="10">
        <v>40</v>
      </c>
    </row>
    <row r="3507" spans="1:5">
      <c r="A3507" t="s">
        <v>10155</v>
      </c>
      <c r="B3507" t="s">
        <v>8983</v>
      </c>
      <c r="C3507" s="10">
        <v>12</v>
      </c>
      <c r="D3507" s="10">
        <v>1</v>
      </c>
      <c r="E3507" s="10">
        <v>35</v>
      </c>
    </row>
    <row r="3508" spans="1:5">
      <c r="A3508" t="s">
        <v>1084</v>
      </c>
      <c r="B3508" t="s">
        <v>1085</v>
      </c>
      <c r="C3508" s="10">
        <v>6</v>
      </c>
      <c r="D3508" s="10">
        <v>0.7</v>
      </c>
      <c r="E3508" s="10">
        <v>40</v>
      </c>
    </row>
    <row r="3509" spans="1:5">
      <c r="A3509" t="s">
        <v>10156</v>
      </c>
      <c r="B3509" t="s">
        <v>8984</v>
      </c>
      <c r="C3509" s="10">
        <v>3</v>
      </c>
      <c r="D3509" s="10">
        <v>0.7</v>
      </c>
      <c r="E3509" s="10">
        <v>40</v>
      </c>
    </row>
    <row r="3510" spans="1:5">
      <c r="A3510" t="s">
        <v>6960</v>
      </c>
      <c r="B3510" t="s">
        <v>6961</v>
      </c>
      <c r="C3510" s="10">
        <v>4</v>
      </c>
      <c r="D3510" s="10">
        <v>0.7</v>
      </c>
      <c r="E3510" s="10">
        <v>40</v>
      </c>
    </row>
    <row r="3511" spans="1:5">
      <c r="A3511" t="s">
        <v>8305</v>
      </c>
      <c r="B3511" t="s">
        <v>8985</v>
      </c>
      <c r="C3511" s="10">
        <v>3</v>
      </c>
      <c r="D3511" s="10">
        <v>0.7</v>
      </c>
      <c r="E3511" s="10">
        <v>40</v>
      </c>
    </row>
    <row r="3512" spans="1:5">
      <c r="A3512" t="s">
        <v>1086</v>
      </c>
      <c r="B3512" t="s">
        <v>1087</v>
      </c>
      <c r="C3512" s="10">
        <v>6</v>
      </c>
      <c r="D3512" s="10">
        <v>0.7</v>
      </c>
      <c r="E3512" s="10">
        <v>40</v>
      </c>
    </row>
    <row r="3513" spans="1:5">
      <c r="A3513" t="s">
        <v>5953</v>
      </c>
      <c r="B3513" t="s">
        <v>1089</v>
      </c>
      <c r="C3513" s="10">
        <v>60</v>
      </c>
      <c r="D3513" s="10">
        <v>0.05</v>
      </c>
      <c r="E3513" s="10">
        <v>40</v>
      </c>
    </row>
    <row r="3514" spans="1:5">
      <c r="A3514" t="s">
        <v>1090</v>
      </c>
      <c r="B3514" t="s">
        <v>1091</v>
      </c>
      <c r="C3514" s="10">
        <v>6</v>
      </c>
      <c r="D3514" s="10">
        <v>0.7</v>
      </c>
      <c r="E3514" s="10">
        <v>40</v>
      </c>
    </row>
    <row r="3515" spans="1:5">
      <c r="A3515" t="s">
        <v>1502</v>
      </c>
      <c r="B3515" t="s">
        <v>1503</v>
      </c>
      <c r="C3515" s="10">
        <v>6</v>
      </c>
      <c r="D3515" s="10">
        <v>1</v>
      </c>
      <c r="E3515" s="10">
        <v>40</v>
      </c>
    </row>
    <row r="3516" spans="1:5">
      <c r="A3516" t="s">
        <v>10157</v>
      </c>
      <c r="B3516" t="s">
        <v>8986</v>
      </c>
      <c r="C3516" s="10">
        <v>6</v>
      </c>
      <c r="D3516" s="10">
        <v>0.7</v>
      </c>
      <c r="E3516" s="10">
        <v>40</v>
      </c>
    </row>
    <row r="3517" spans="1:5">
      <c r="A3517" t="s">
        <v>1088</v>
      </c>
      <c r="B3517" t="s">
        <v>8987</v>
      </c>
      <c r="C3517" s="10">
        <v>6</v>
      </c>
      <c r="D3517" s="10">
        <v>0.7</v>
      </c>
      <c r="E3517" s="10">
        <v>40</v>
      </c>
    </row>
    <row r="3518" spans="1:5">
      <c r="A3518" t="s">
        <v>5255</v>
      </c>
      <c r="B3518" t="s">
        <v>5256</v>
      </c>
      <c r="C3518" s="10">
        <v>6</v>
      </c>
      <c r="D3518" s="10">
        <v>0.7</v>
      </c>
      <c r="E3518" s="10">
        <v>46</v>
      </c>
    </row>
    <row r="3519" spans="1:5">
      <c r="A3519" t="s">
        <v>5257</v>
      </c>
      <c r="B3519" t="s">
        <v>5258</v>
      </c>
      <c r="C3519" s="10">
        <v>6</v>
      </c>
      <c r="D3519" s="10">
        <v>0.7</v>
      </c>
      <c r="E3519" s="10">
        <v>46</v>
      </c>
    </row>
    <row r="3520" spans="1:5">
      <c r="A3520" t="s">
        <v>1092</v>
      </c>
      <c r="B3520" t="s">
        <v>1093</v>
      </c>
      <c r="C3520" s="10">
        <v>6</v>
      </c>
      <c r="D3520" s="10">
        <v>0.7</v>
      </c>
      <c r="E3520" s="10">
        <v>40</v>
      </c>
    </row>
    <row r="3521" spans="1:5">
      <c r="A3521" t="s">
        <v>10158</v>
      </c>
      <c r="B3521" t="s">
        <v>8988</v>
      </c>
      <c r="C3521" s="10">
        <v>6</v>
      </c>
      <c r="D3521" s="10">
        <v>0.7</v>
      </c>
      <c r="E3521" s="10">
        <v>55.5</v>
      </c>
    </row>
    <row r="3522" spans="1:5">
      <c r="A3522" t="s">
        <v>4351</v>
      </c>
      <c r="B3522" t="s">
        <v>4352</v>
      </c>
      <c r="C3522" s="10">
        <v>6</v>
      </c>
      <c r="D3522" s="10">
        <v>0.7</v>
      </c>
      <c r="E3522" s="10">
        <v>55.2</v>
      </c>
    </row>
    <row r="3523" spans="1:5">
      <c r="A3523" t="s">
        <v>10159</v>
      </c>
      <c r="B3523" t="s">
        <v>8989</v>
      </c>
      <c r="C3523" s="10">
        <v>12</v>
      </c>
      <c r="D3523" s="10">
        <v>0.7</v>
      </c>
      <c r="E3523" s="10">
        <v>37.5</v>
      </c>
    </row>
    <row r="3524" spans="1:5">
      <c r="A3524" t="s">
        <v>5841</v>
      </c>
      <c r="B3524" t="s">
        <v>5842</v>
      </c>
      <c r="C3524" s="10">
        <v>12</v>
      </c>
      <c r="D3524" s="10">
        <v>0.05</v>
      </c>
      <c r="E3524" s="10">
        <v>40</v>
      </c>
    </row>
    <row r="3525" spans="1:5">
      <c r="A3525" t="s">
        <v>10160</v>
      </c>
      <c r="B3525" t="s">
        <v>8990</v>
      </c>
      <c r="C3525" s="10">
        <v>6</v>
      </c>
      <c r="D3525" s="10">
        <v>0.7</v>
      </c>
      <c r="E3525" s="10">
        <v>40</v>
      </c>
    </row>
    <row r="3526" spans="1:5">
      <c r="A3526" t="s">
        <v>4353</v>
      </c>
      <c r="B3526" t="s">
        <v>4354</v>
      </c>
      <c r="C3526" s="10">
        <v>6</v>
      </c>
      <c r="D3526" s="10">
        <v>0.7</v>
      </c>
      <c r="E3526" s="10">
        <v>50.6</v>
      </c>
    </row>
    <row r="3527" spans="1:5">
      <c r="A3527" t="s">
        <v>4355</v>
      </c>
      <c r="B3527" t="s">
        <v>4356</v>
      </c>
      <c r="C3527" s="10">
        <v>6</v>
      </c>
      <c r="D3527" s="10">
        <v>0.7</v>
      </c>
      <c r="E3527" s="10">
        <v>52.1</v>
      </c>
    </row>
    <row r="3528" spans="1:5">
      <c r="A3528" t="s">
        <v>4357</v>
      </c>
      <c r="B3528" t="s">
        <v>4358</v>
      </c>
      <c r="C3528" s="10">
        <v>6</v>
      </c>
      <c r="D3528" s="10">
        <v>0.7</v>
      </c>
      <c r="E3528" s="10">
        <v>54.1</v>
      </c>
    </row>
    <row r="3529" spans="1:5">
      <c r="A3529" t="s">
        <v>5259</v>
      </c>
      <c r="B3529" t="s">
        <v>5260</v>
      </c>
      <c r="C3529" s="10">
        <v>6</v>
      </c>
      <c r="D3529" s="10">
        <v>0.7</v>
      </c>
      <c r="E3529" s="10">
        <v>46</v>
      </c>
    </row>
    <row r="3530" spans="1:5">
      <c r="A3530" t="s">
        <v>2781</v>
      </c>
      <c r="B3530" t="s">
        <v>2782</v>
      </c>
      <c r="C3530" s="10">
        <v>6</v>
      </c>
      <c r="D3530" s="10">
        <v>0.75</v>
      </c>
      <c r="E3530" s="10">
        <v>15</v>
      </c>
    </row>
    <row r="3531" spans="1:5">
      <c r="A3531" t="s">
        <v>2783</v>
      </c>
      <c r="B3531" t="s">
        <v>2784</v>
      </c>
      <c r="C3531" s="10">
        <v>6</v>
      </c>
      <c r="D3531" s="10">
        <v>0.75</v>
      </c>
      <c r="E3531" s="10">
        <v>15</v>
      </c>
    </row>
    <row r="3532" spans="1:5">
      <c r="A3532" t="s">
        <v>2785</v>
      </c>
      <c r="B3532" t="s">
        <v>2786</v>
      </c>
      <c r="C3532" s="10">
        <v>6</v>
      </c>
      <c r="D3532" s="10">
        <v>0.75</v>
      </c>
      <c r="E3532" s="10">
        <v>15</v>
      </c>
    </row>
    <row r="3533" spans="1:5">
      <c r="A3533" t="s">
        <v>3184</v>
      </c>
      <c r="B3533" t="s">
        <v>3185</v>
      </c>
      <c r="C3533" s="10">
        <v>6</v>
      </c>
      <c r="D3533" s="10">
        <v>0.75</v>
      </c>
      <c r="E3533" s="10">
        <v>12.5</v>
      </c>
    </row>
    <row r="3534" spans="1:5">
      <c r="A3534" t="s">
        <v>3186</v>
      </c>
      <c r="B3534" t="s">
        <v>3187</v>
      </c>
      <c r="C3534" s="10">
        <v>6</v>
      </c>
      <c r="D3534" s="10">
        <v>0.75</v>
      </c>
      <c r="E3534" s="10">
        <v>12.5</v>
      </c>
    </row>
    <row r="3535" spans="1:5">
      <c r="A3535" t="s">
        <v>2787</v>
      </c>
      <c r="B3535" t="s">
        <v>2788</v>
      </c>
      <c r="C3535" s="10">
        <v>6</v>
      </c>
      <c r="D3535" s="10">
        <v>0.75</v>
      </c>
      <c r="E3535" s="10">
        <v>17</v>
      </c>
    </row>
    <row r="3536" spans="1:5">
      <c r="A3536" t="s">
        <v>10161</v>
      </c>
      <c r="B3536" t="s">
        <v>8991</v>
      </c>
      <c r="C3536" s="10">
        <v>6</v>
      </c>
      <c r="D3536" s="10">
        <v>0.7</v>
      </c>
      <c r="E3536" s="10">
        <v>46</v>
      </c>
    </row>
    <row r="3537" spans="1:5">
      <c r="A3537" t="s">
        <v>10162</v>
      </c>
      <c r="B3537" t="s">
        <v>8992</v>
      </c>
      <c r="C3537" s="10">
        <v>6</v>
      </c>
      <c r="D3537" s="10">
        <v>0.7</v>
      </c>
      <c r="E3537" s="10">
        <v>41</v>
      </c>
    </row>
    <row r="3538" spans="1:5">
      <c r="A3538" t="s">
        <v>10163</v>
      </c>
      <c r="B3538" t="s">
        <v>8993</v>
      </c>
      <c r="C3538" s="10">
        <v>6</v>
      </c>
      <c r="D3538" s="10">
        <v>0.7</v>
      </c>
      <c r="E3538" s="10">
        <v>46</v>
      </c>
    </row>
    <row r="3539" spans="1:5">
      <c r="A3539" t="s">
        <v>10164</v>
      </c>
      <c r="B3539" t="s">
        <v>8994</v>
      </c>
      <c r="C3539" s="10">
        <v>6</v>
      </c>
      <c r="D3539" s="10">
        <v>0.7</v>
      </c>
      <c r="E3539" s="10">
        <v>46</v>
      </c>
    </row>
    <row r="3540" spans="1:5">
      <c r="A3540" t="s">
        <v>10165</v>
      </c>
      <c r="B3540" t="s">
        <v>8995</v>
      </c>
      <c r="C3540" s="10">
        <v>6</v>
      </c>
      <c r="D3540" s="10">
        <v>0.7</v>
      </c>
      <c r="E3540" s="10">
        <v>46</v>
      </c>
    </row>
    <row r="3541" spans="1:5">
      <c r="A3541" t="s">
        <v>10166</v>
      </c>
      <c r="B3541" t="s">
        <v>8996</v>
      </c>
      <c r="C3541" s="10">
        <v>6</v>
      </c>
      <c r="D3541" s="10">
        <v>0.7</v>
      </c>
      <c r="E3541" s="10">
        <v>46</v>
      </c>
    </row>
    <row r="3542" spans="1:5">
      <c r="A3542" t="s">
        <v>10167</v>
      </c>
      <c r="B3542" t="s">
        <v>8997</v>
      </c>
      <c r="C3542" s="10">
        <v>6</v>
      </c>
      <c r="D3542" s="10">
        <v>0.7</v>
      </c>
      <c r="E3542" s="10">
        <v>46</v>
      </c>
    </row>
    <row r="3543" spans="1:5">
      <c r="A3543" t="s">
        <v>1094</v>
      </c>
      <c r="B3543" t="s">
        <v>1095</v>
      </c>
      <c r="C3543" s="10">
        <v>6</v>
      </c>
      <c r="D3543" s="10">
        <v>0.7</v>
      </c>
      <c r="E3543" s="10">
        <v>40</v>
      </c>
    </row>
    <row r="3544" spans="1:5">
      <c r="A3544" t="s">
        <v>5954</v>
      </c>
      <c r="B3544" t="s">
        <v>5955</v>
      </c>
      <c r="C3544" s="10">
        <v>1</v>
      </c>
      <c r="D3544" s="10">
        <v>1</v>
      </c>
      <c r="E3544" s="10">
        <v>40</v>
      </c>
    </row>
    <row r="3545" spans="1:5">
      <c r="A3545" t="s">
        <v>1096</v>
      </c>
      <c r="B3545" t="s">
        <v>1097</v>
      </c>
      <c r="C3545" s="10">
        <v>6</v>
      </c>
      <c r="D3545" s="10">
        <v>0.7</v>
      </c>
      <c r="E3545" s="10">
        <v>40</v>
      </c>
    </row>
    <row r="3546" spans="1:5">
      <c r="A3546" t="s">
        <v>10168</v>
      </c>
      <c r="B3546" t="s">
        <v>8998</v>
      </c>
      <c r="C3546" s="10">
        <v>6</v>
      </c>
      <c r="D3546" s="10">
        <v>0.7</v>
      </c>
      <c r="E3546" s="10">
        <v>40</v>
      </c>
    </row>
    <row r="3547" spans="1:5">
      <c r="A3547" t="s">
        <v>1098</v>
      </c>
      <c r="B3547" t="s">
        <v>1099</v>
      </c>
      <c r="C3547" s="10">
        <v>6</v>
      </c>
      <c r="D3547" s="10">
        <v>0.7</v>
      </c>
      <c r="E3547" s="10">
        <v>40</v>
      </c>
    </row>
    <row r="3548" spans="1:5">
      <c r="A3548" t="s">
        <v>1100</v>
      </c>
      <c r="B3548" t="s">
        <v>1101</v>
      </c>
      <c r="C3548" s="10">
        <v>6</v>
      </c>
      <c r="D3548" s="10">
        <v>0.7</v>
      </c>
      <c r="E3548" s="10">
        <v>40</v>
      </c>
    </row>
    <row r="3549" spans="1:5">
      <c r="A3549" t="s">
        <v>1102</v>
      </c>
      <c r="B3549" t="s">
        <v>1103</v>
      </c>
      <c r="C3549" s="10">
        <v>6</v>
      </c>
      <c r="D3549" s="10">
        <v>0.7</v>
      </c>
      <c r="E3549" s="10">
        <v>40</v>
      </c>
    </row>
    <row r="3550" spans="1:5">
      <c r="A3550" t="s">
        <v>5745</v>
      </c>
      <c r="B3550" t="s">
        <v>1103</v>
      </c>
      <c r="C3550" s="10">
        <v>12</v>
      </c>
      <c r="D3550" s="10">
        <v>1</v>
      </c>
      <c r="E3550" s="10">
        <v>40</v>
      </c>
    </row>
    <row r="3551" spans="1:5">
      <c r="A3551" t="s">
        <v>4359</v>
      </c>
      <c r="B3551" t="s">
        <v>4360</v>
      </c>
      <c r="C3551" s="10">
        <v>6</v>
      </c>
      <c r="D3551" s="10">
        <v>0.7</v>
      </c>
      <c r="E3551" s="10">
        <v>68</v>
      </c>
    </row>
    <row r="3552" spans="1:5">
      <c r="A3552" t="s">
        <v>10169</v>
      </c>
      <c r="B3552" t="s">
        <v>6389</v>
      </c>
      <c r="C3552" s="10">
        <v>24</v>
      </c>
      <c r="D3552" s="10">
        <v>0.33</v>
      </c>
      <c r="E3552" s="10">
        <v>5</v>
      </c>
    </row>
    <row r="3553" spans="1:5">
      <c r="A3553" t="s">
        <v>6390</v>
      </c>
      <c r="B3553" t="s">
        <v>6391</v>
      </c>
      <c r="C3553" s="10">
        <v>24</v>
      </c>
      <c r="D3553" s="10">
        <v>0.33</v>
      </c>
      <c r="E3553" s="10">
        <v>4.7</v>
      </c>
    </row>
    <row r="3554" spans="1:5">
      <c r="A3554" t="s">
        <v>3188</v>
      </c>
      <c r="B3554" t="s">
        <v>3189</v>
      </c>
      <c r="C3554" s="10">
        <v>6</v>
      </c>
      <c r="D3554" s="10">
        <v>0.75</v>
      </c>
      <c r="E3554" s="10">
        <v>12.5</v>
      </c>
    </row>
    <row r="3555" spans="1:5">
      <c r="A3555" t="s">
        <v>10170</v>
      </c>
      <c r="B3555" t="s">
        <v>8999</v>
      </c>
      <c r="C3555" s="10">
        <v>6</v>
      </c>
      <c r="D3555" s="10">
        <v>0.75</v>
      </c>
      <c r="E3555" s="10">
        <v>12.5</v>
      </c>
    </row>
    <row r="3556" spans="1:5">
      <c r="A3556" t="s">
        <v>10171</v>
      </c>
      <c r="B3556" t="s">
        <v>9000</v>
      </c>
      <c r="C3556" s="10">
        <v>6</v>
      </c>
      <c r="D3556" s="10">
        <v>0.75</v>
      </c>
      <c r="E3556" s="10">
        <v>12.5</v>
      </c>
    </row>
    <row r="3557" spans="1:5">
      <c r="A3557" t="s">
        <v>10172</v>
      </c>
      <c r="B3557" t="s">
        <v>9001</v>
      </c>
      <c r="C3557" s="10">
        <v>6</v>
      </c>
      <c r="D3557" s="10">
        <v>0.75</v>
      </c>
      <c r="E3557" s="10">
        <v>12</v>
      </c>
    </row>
    <row r="3558" spans="1:5">
      <c r="A3558" t="s">
        <v>3190</v>
      </c>
      <c r="B3558" t="s">
        <v>3079</v>
      </c>
      <c r="C3558" s="10">
        <v>6</v>
      </c>
      <c r="D3558" s="10">
        <v>0.75</v>
      </c>
      <c r="E3558" s="10">
        <v>12.5</v>
      </c>
    </row>
    <row r="3559" spans="1:5">
      <c r="A3559" t="s">
        <v>10173</v>
      </c>
      <c r="B3559" t="s">
        <v>3079</v>
      </c>
      <c r="C3559" s="10">
        <v>6</v>
      </c>
      <c r="D3559" s="10">
        <v>0.75</v>
      </c>
      <c r="E3559" s="10">
        <v>12</v>
      </c>
    </row>
    <row r="3560" spans="1:5">
      <c r="A3560" t="s">
        <v>10174</v>
      </c>
      <c r="B3560" t="s">
        <v>9002</v>
      </c>
      <c r="C3560" s="10">
        <v>6</v>
      </c>
      <c r="D3560" s="10">
        <v>0.75</v>
      </c>
      <c r="E3560" s="10">
        <v>12.5</v>
      </c>
    </row>
    <row r="3561" spans="1:5">
      <c r="A3561" t="s">
        <v>10175</v>
      </c>
      <c r="B3561" t="s">
        <v>9002</v>
      </c>
      <c r="C3561" s="10">
        <v>6</v>
      </c>
      <c r="D3561" s="10">
        <v>0.75</v>
      </c>
      <c r="E3561" s="10">
        <v>12</v>
      </c>
    </row>
    <row r="3562" spans="1:5">
      <c r="A3562" t="s">
        <v>10176</v>
      </c>
      <c r="B3562" t="s">
        <v>9003</v>
      </c>
      <c r="C3562" s="10">
        <v>6</v>
      </c>
      <c r="D3562" s="10">
        <v>0.75</v>
      </c>
      <c r="E3562" s="10">
        <v>12</v>
      </c>
    </row>
    <row r="3563" spans="1:5">
      <c r="A3563" t="s">
        <v>10177</v>
      </c>
      <c r="B3563" t="s">
        <v>9004</v>
      </c>
      <c r="C3563" s="10">
        <v>6</v>
      </c>
      <c r="D3563" s="10">
        <v>0.7</v>
      </c>
      <c r="E3563" s="10">
        <v>45</v>
      </c>
    </row>
    <row r="3564" spans="1:5">
      <c r="A3564" t="s">
        <v>10178</v>
      </c>
      <c r="B3564" t="s">
        <v>9005</v>
      </c>
      <c r="C3564" s="10">
        <v>6</v>
      </c>
      <c r="D3564" s="10">
        <v>0.7</v>
      </c>
      <c r="E3564" s="10">
        <v>45</v>
      </c>
    </row>
    <row r="3565" spans="1:5">
      <c r="A3565" t="s">
        <v>6392</v>
      </c>
      <c r="B3565" t="s">
        <v>6393</v>
      </c>
      <c r="C3565" s="10">
        <v>36</v>
      </c>
      <c r="D3565" s="10">
        <v>0.02</v>
      </c>
      <c r="E3565" s="10">
        <v>45</v>
      </c>
    </row>
    <row r="3566" spans="1:5">
      <c r="A3566" t="s">
        <v>6738</v>
      </c>
      <c r="B3566" t="s">
        <v>6739</v>
      </c>
      <c r="C3566" s="10">
        <v>12</v>
      </c>
      <c r="D3566" s="10">
        <v>148</v>
      </c>
      <c r="E3566" s="10">
        <v>35</v>
      </c>
    </row>
    <row r="3567" spans="1:5">
      <c r="A3567" t="s">
        <v>3191</v>
      </c>
      <c r="B3567" t="s">
        <v>3192</v>
      </c>
      <c r="C3567" s="10">
        <v>6</v>
      </c>
      <c r="D3567" s="10">
        <v>0.75</v>
      </c>
      <c r="E3567" s="10">
        <v>12.5</v>
      </c>
    </row>
    <row r="3568" spans="1:5">
      <c r="A3568" t="s">
        <v>10179</v>
      </c>
      <c r="B3568" t="s">
        <v>9006</v>
      </c>
      <c r="C3568" s="10">
        <v>6</v>
      </c>
      <c r="D3568" s="10">
        <v>0.5</v>
      </c>
      <c r="E3568" s="10">
        <v>40</v>
      </c>
    </row>
    <row r="3569" spans="1:5">
      <c r="A3569" t="s">
        <v>10180</v>
      </c>
      <c r="B3569" t="s">
        <v>9007</v>
      </c>
      <c r="C3569" s="10">
        <v>11</v>
      </c>
      <c r="D3569" s="10">
        <v>0.3</v>
      </c>
      <c r="E3569" s="10">
        <v>37.5</v>
      </c>
    </row>
    <row r="3570" spans="1:5">
      <c r="A3570" t="s">
        <v>4361</v>
      </c>
      <c r="B3570" t="s">
        <v>4362</v>
      </c>
      <c r="C3570" s="10">
        <v>6</v>
      </c>
      <c r="D3570" s="10">
        <v>0.7</v>
      </c>
      <c r="E3570" s="10">
        <v>42</v>
      </c>
    </row>
    <row r="3571" spans="1:5">
      <c r="A3571" t="s">
        <v>4363</v>
      </c>
      <c r="B3571" t="s">
        <v>4364</v>
      </c>
      <c r="C3571" s="10">
        <v>6</v>
      </c>
      <c r="D3571" s="10">
        <v>0.7</v>
      </c>
      <c r="E3571" s="10">
        <v>42</v>
      </c>
    </row>
    <row r="3572" spans="1:5">
      <c r="A3572" t="s">
        <v>4365</v>
      </c>
      <c r="B3572" t="s">
        <v>4364</v>
      </c>
      <c r="C3572" s="10">
        <v>6</v>
      </c>
      <c r="D3572" s="10">
        <v>0.7</v>
      </c>
      <c r="E3572" s="10">
        <v>42</v>
      </c>
    </row>
    <row r="3573" spans="1:5">
      <c r="A3573" t="s">
        <v>4366</v>
      </c>
      <c r="B3573" t="s">
        <v>4367</v>
      </c>
      <c r="C3573" s="10">
        <v>6</v>
      </c>
      <c r="D3573" s="10">
        <v>0.7</v>
      </c>
      <c r="E3573" s="10">
        <v>57.1</v>
      </c>
    </row>
    <row r="3574" spans="1:5">
      <c r="A3574" t="s">
        <v>4368</v>
      </c>
      <c r="B3574" t="s">
        <v>4369</v>
      </c>
      <c r="C3574" s="10">
        <v>6</v>
      </c>
      <c r="D3574" s="10">
        <v>0.7</v>
      </c>
      <c r="E3574" s="10">
        <v>42</v>
      </c>
    </row>
    <row r="3575" spans="1:5">
      <c r="A3575" t="s">
        <v>1894</v>
      </c>
      <c r="B3575" t="s">
        <v>1895</v>
      </c>
      <c r="C3575" s="10">
        <v>6</v>
      </c>
      <c r="D3575" s="10">
        <v>0.5</v>
      </c>
      <c r="E3575" s="10">
        <v>29</v>
      </c>
    </row>
    <row r="3576" spans="1:5">
      <c r="A3576" t="s">
        <v>2278</v>
      </c>
      <c r="B3576" t="s">
        <v>2279</v>
      </c>
      <c r="C3576" s="10">
        <v>6</v>
      </c>
      <c r="D3576" s="10">
        <v>1</v>
      </c>
      <c r="E3576" s="10">
        <v>21</v>
      </c>
    </row>
    <row r="3577" spans="1:5">
      <c r="A3577" t="s">
        <v>2280</v>
      </c>
      <c r="B3577" t="s">
        <v>2281</v>
      </c>
      <c r="C3577" s="10">
        <v>6</v>
      </c>
      <c r="D3577" s="10">
        <v>1</v>
      </c>
      <c r="E3577" s="10">
        <v>18</v>
      </c>
    </row>
    <row r="3578" spans="1:5">
      <c r="A3578" t="s">
        <v>2282</v>
      </c>
      <c r="B3578" t="s">
        <v>2283</v>
      </c>
      <c r="C3578" s="10">
        <v>6</v>
      </c>
      <c r="D3578" s="10">
        <v>1</v>
      </c>
      <c r="E3578" s="10">
        <v>18</v>
      </c>
    </row>
    <row r="3579" spans="1:5">
      <c r="A3579" t="s">
        <v>1104</v>
      </c>
      <c r="B3579" t="s">
        <v>1105</v>
      </c>
      <c r="C3579" s="10">
        <v>6</v>
      </c>
      <c r="D3579" s="10">
        <v>0.7</v>
      </c>
      <c r="E3579" s="10">
        <v>40</v>
      </c>
    </row>
    <row r="3580" spans="1:5">
      <c r="A3580" t="s">
        <v>1106</v>
      </c>
      <c r="B3580" t="s">
        <v>1107</v>
      </c>
      <c r="C3580" s="10">
        <v>6</v>
      </c>
      <c r="D3580" s="10">
        <v>0.7</v>
      </c>
      <c r="E3580" s="10">
        <v>40</v>
      </c>
    </row>
    <row r="3581" spans="1:5">
      <c r="A3581" t="s">
        <v>6394</v>
      </c>
      <c r="B3581" t="s">
        <v>6395</v>
      </c>
      <c r="C3581" s="10">
        <v>20</v>
      </c>
      <c r="D3581" s="10">
        <v>0.25</v>
      </c>
      <c r="E3581" s="10">
        <v>0</v>
      </c>
    </row>
    <row r="3582" spans="1:5">
      <c r="A3582" t="s">
        <v>4370</v>
      </c>
      <c r="B3582" t="s">
        <v>2285</v>
      </c>
      <c r="C3582" s="10">
        <v>6</v>
      </c>
      <c r="D3582" s="10">
        <v>0.7</v>
      </c>
      <c r="E3582" s="10">
        <v>25</v>
      </c>
    </row>
    <row r="3583" spans="1:5">
      <c r="A3583" t="s">
        <v>6882</v>
      </c>
      <c r="B3583" t="s">
        <v>2285</v>
      </c>
      <c r="C3583" s="10">
        <v>12</v>
      </c>
      <c r="D3583" s="10">
        <v>1</v>
      </c>
      <c r="E3583" s="10">
        <v>25</v>
      </c>
    </row>
    <row r="3584" spans="1:5">
      <c r="A3584" t="s">
        <v>2284</v>
      </c>
      <c r="B3584" t="s">
        <v>2285</v>
      </c>
      <c r="C3584" s="10">
        <v>6</v>
      </c>
      <c r="D3584" s="10">
        <v>1</v>
      </c>
      <c r="E3584" s="10">
        <v>25</v>
      </c>
    </row>
    <row r="3585" spans="1:5">
      <c r="A3585" t="s">
        <v>6396</v>
      </c>
      <c r="B3585" t="s">
        <v>2287</v>
      </c>
      <c r="C3585" s="10">
        <v>48</v>
      </c>
      <c r="D3585" s="10">
        <v>0.05</v>
      </c>
      <c r="E3585" s="10">
        <v>17</v>
      </c>
    </row>
    <row r="3586" spans="1:5">
      <c r="A3586" t="s">
        <v>2286</v>
      </c>
      <c r="B3586" t="s">
        <v>2287</v>
      </c>
      <c r="C3586" s="10">
        <v>6</v>
      </c>
      <c r="D3586" s="10">
        <v>1</v>
      </c>
      <c r="E3586" s="10">
        <v>17</v>
      </c>
    </row>
    <row r="3587" spans="1:5">
      <c r="A3587" t="s">
        <v>6397</v>
      </c>
      <c r="B3587" t="s">
        <v>2289</v>
      </c>
      <c r="C3587" s="10">
        <v>48</v>
      </c>
      <c r="D3587" s="10">
        <v>0.05</v>
      </c>
      <c r="E3587" s="10">
        <v>17</v>
      </c>
    </row>
    <row r="3588" spans="1:5">
      <c r="A3588" t="s">
        <v>2288</v>
      </c>
      <c r="B3588" t="s">
        <v>2289</v>
      </c>
      <c r="C3588" s="10">
        <v>6</v>
      </c>
      <c r="D3588" s="10">
        <v>1</v>
      </c>
      <c r="E3588" s="10">
        <v>17</v>
      </c>
    </row>
    <row r="3589" spans="1:5">
      <c r="A3589" t="s">
        <v>6398</v>
      </c>
      <c r="B3589" t="s">
        <v>2291</v>
      </c>
      <c r="C3589" s="10">
        <v>48</v>
      </c>
      <c r="D3589" s="10">
        <v>0.05</v>
      </c>
      <c r="E3589" s="10">
        <v>17</v>
      </c>
    </row>
    <row r="3590" spans="1:5">
      <c r="A3590" t="s">
        <v>2290</v>
      </c>
      <c r="B3590" t="s">
        <v>2291</v>
      </c>
      <c r="C3590" s="10">
        <v>6</v>
      </c>
      <c r="D3590" s="10">
        <v>1</v>
      </c>
      <c r="E3590" s="10">
        <v>17</v>
      </c>
    </row>
    <row r="3591" spans="1:5">
      <c r="A3591" t="s">
        <v>2292</v>
      </c>
      <c r="B3591" t="s">
        <v>2293</v>
      </c>
      <c r="C3591" s="10">
        <v>6</v>
      </c>
      <c r="D3591" s="10">
        <v>1</v>
      </c>
      <c r="E3591" s="10">
        <v>17</v>
      </c>
    </row>
    <row r="3592" spans="1:5">
      <c r="A3592" t="s">
        <v>6399</v>
      </c>
      <c r="B3592" t="s">
        <v>2295</v>
      </c>
      <c r="C3592" s="10">
        <v>48</v>
      </c>
      <c r="D3592" s="10">
        <v>0.05</v>
      </c>
      <c r="E3592" s="10">
        <v>17</v>
      </c>
    </row>
    <row r="3593" spans="1:5">
      <c r="A3593" t="s">
        <v>2294</v>
      </c>
      <c r="B3593" t="s">
        <v>2295</v>
      </c>
      <c r="C3593" s="10">
        <v>6</v>
      </c>
      <c r="D3593" s="10">
        <v>1</v>
      </c>
      <c r="E3593" s="10">
        <v>17</v>
      </c>
    </row>
    <row r="3594" spans="1:5">
      <c r="A3594" t="s">
        <v>2789</v>
      </c>
      <c r="B3594" t="s">
        <v>2790</v>
      </c>
      <c r="C3594" s="10">
        <v>6</v>
      </c>
      <c r="D3594" s="10">
        <v>0.75</v>
      </c>
      <c r="E3594" s="10">
        <v>17</v>
      </c>
    </row>
    <row r="3595" spans="1:5">
      <c r="A3595" t="s">
        <v>2791</v>
      </c>
      <c r="B3595" t="s">
        <v>2792</v>
      </c>
      <c r="C3595" s="10">
        <v>6</v>
      </c>
      <c r="D3595" s="10">
        <v>0.75</v>
      </c>
      <c r="E3595" s="10">
        <v>17</v>
      </c>
    </row>
    <row r="3596" spans="1:5">
      <c r="A3596" t="s">
        <v>4371</v>
      </c>
      <c r="B3596" t="s">
        <v>4372</v>
      </c>
      <c r="C3596" s="10">
        <v>6</v>
      </c>
      <c r="D3596" s="10">
        <v>0.7</v>
      </c>
      <c r="E3596" s="10">
        <v>47</v>
      </c>
    </row>
    <row r="3597" spans="1:5">
      <c r="A3597" t="s">
        <v>1108</v>
      </c>
      <c r="B3597" t="s">
        <v>1109</v>
      </c>
      <c r="C3597" s="10">
        <v>6</v>
      </c>
      <c r="D3597" s="10">
        <v>0.7</v>
      </c>
      <c r="E3597" s="10">
        <v>40</v>
      </c>
    </row>
    <row r="3598" spans="1:5">
      <c r="A3598" t="s">
        <v>3080</v>
      </c>
      <c r="B3598" t="s">
        <v>3081</v>
      </c>
      <c r="C3598" s="10">
        <v>6</v>
      </c>
      <c r="D3598" s="10">
        <v>0.75</v>
      </c>
      <c r="E3598" s="10">
        <v>12</v>
      </c>
    </row>
    <row r="3599" spans="1:5">
      <c r="A3599" t="s">
        <v>3082</v>
      </c>
      <c r="B3599" t="s">
        <v>3083</v>
      </c>
      <c r="C3599" s="10">
        <v>6</v>
      </c>
      <c r="D3599" s="10">
        <v>0.75</v>
      </c>
      <c r="E3599" s="10">
        <v>12</v>
      </c>
    </row>
    <row r="3600" spans="1:5">
      <c r="A3600" t="s">
        <v>3084</v>
      </c>
      <c r="B3600" t="s">
        <v>3085</v>
      </c>
      <c r="C3600" s="10">
        <v>6</v>
      </c>
      <c r="D3600" s="10">
        <v>0.75</v>
      </c>
      <c r="E3600" s="10">
        <v>12</v>
      </c>
    </row>
    <row r="3601" spans="1:5">
      <c r="A3601" t="s">
        <v>10181</v>
      </c>
      <c r="B3601" t="s">
        <v>9008</v>
      </c>
      <c r="C3601" s="10">
        <v>6</v>
      </c>
      <c r="D3601" s="10">
        <v>0.75</v>
      </c>
      <c r="E3601" s="10">
        <v>12</v>
      </c>
    </row>
    <row r="3602" spans="1:5">
      <c r="A3602" t="s">
        <v>10182</v>
      </c>
      <c r="B3602" t="s">
        <v>9009</v>
      </c>
      <c r="C3602" s="10">
        <v>6</v>
      </c>
      <c r="D3602" s="10">
        <v>0.75</v>
      </c>
      <c r="E3602" s="10">
        <v>12</v>
      </c>
    </row>
    <row r="3603" spans="1:5">
      <c r="A3603" t="s">
        <v>3086</v>
      </c>
      <c r="B3603" t="s">
        <v>3087</v>
      </c>
      <c r="C3603" s="10">
        <v>6</v>
      </c>
      <c r="D3603" s="10">
        <v>0.75</v>
      </c>
      <c r="E3603" s="10">
        <v>12</v>
      </c>
    </row>
    <row r="3604" spans="1:5">
      <c r="A3604" t="s">
        <v>10183</v>
      </c>
      <c r="B3604" t="s">
        <v>9010</v>
      </c>
      <c r="C3604" s="10">
        <v>12</v>
      </c>
      <c r="D3604" s="10">
        <v>0.7</v>
      </c>
      <c r="E3604" s="10">
        <v>40</v>
      </c>
    </row>
    <row r="3605" spans="1:5">
      <c r="A3605" t="s">
        <v>4899</v>
      </c>
      <c r="B3605" t="s">
        <v>4900</v>
      </c>
      <c r="C3605" s="10">
        <v>6</v>
      </c>
      <c r="D3605" s="10">
        <v>0.7</v>
      </c>
      <c r="E3605" s="10">
        <v>37.5</v>
      </c>
    </row>
    <row r="3606" spans="1:5">
      <c r="A3606" t="s">
        <v>10184</v>
      </c>
      <c r="B3606" t="s">
        <v>9011</v>
      </c>
      <c r="C3606" s="10">
        <v>6</v>
      </c>
      <c r="D3606" s="10">
        <v>0.7</v>
      </c>
      <c r="E3606" s="10">
        <v>40</v>
      </c>
    </row>
    <row r="3607" spans="1:5">
      <c r="A3607" t="s">
        <v>4901</v>
      </c>
      <c r="B3607" t="s">
        <v>4902</v>
      </c>
      <c r="C3607" s="10">
        <v>6</v>
      </c>
      <c r="D3607" s="10">
        <v>0.7</v>
      </c>
      <c r="E3607" s="10">
        <v>37.5</v>
      </c>
    </row>
    <row r="3608" spans="1:5">
      <c r="A3608" t="s">
        <v>10185</v>
      </c>
      <c r="B3608" t="s">
        <v>9012</v>
      </c>
      <c r="C3608" s="10">
        <v>4</v>
      </c>
      <c r="D3608" s="10">
        <v>0.7</v>
      </c>
      <c r="E3608" s="10">
        <v>40</v>
      </c>
    </row>
    <row r="3609" spans="1:5">
      <c r="A3609" t="s">
        <v>4903</v>
      </c>
      <c r="B3609" t="s">
        <v>4904</v>
      </c>
      <c r="C3609" s="10">
        <v>6</v>
      </c>
      <c r="D3609" s="10">
        <v>0.7</v>
      </c>
      <c r="E3609" s="10">
        <v>37.5</v>
      </c>
    </row>
    <row r="3610" spans="1:5">
      <c r="A3610" t="s">
        <v>10186</v>
      </c>
      <c r="B3610" t="s">
        <v>9013</v>
      </c>
      <c r="C3610" s="10">
        <v>6</v>
      </c>
      <c r="D3610" s="10">
        <v>0.7</v>
      </c>
      <c r="E3610" s="10">
        <v>37.5</v>
      </c>
    </row>
    <row r="3611" spans="1:5">
      <c r="A3611" t="s">
        <v>10187</v>
      </c>
      <c r="B3611" t="s">
        <v>9014</v>
      </c>
      <c r="C3611" s="10">
        <v>4</v>
      </c>
      <c r="D3611" s="10">
        <v>0.7</v>
      </c>
      <c r="E3611" s="10">
        <v>37.5</v>
      </c>
    </row>
    <row r="3612" spans="1:5">
      <c r="A3612" t="s">
        <v>4373</v>
      </c>
      <c r="B3612" t="s">
        <v>2297</v>
      </c>
      <c r="C3612" s="10">
        <v>6</v>
      </c>
      <c r="D3612" s="10">
        <v>0.7</v>
      </c>
      <c r="E3612" s="10">
        <v>17</v>
      </c>
    </row>
    <row r="3613" spans="1:5">
      <c r="A3613" t="s">
        <v>2296</v>
      </c>
      <c r="B3613" t="s">
        <v>2297</v>
      </c>
      <c r="C3613" s="10">
        <v>6</v>
      </c>
      <c r="D3613" s="10">
        <v>1</v>
      </c>
      <c r="E3613" s="10">
        <v>17</v>
      </c>
    </row>
    <row r="3614" spans="1:5">
      <c r="A3614" t="s">
        <v>10188</v>
      </c>
      <c r="B3614" t="s">
        <v>9015</v>
      </c>
      <c r="C3614" s="10">
        <v>6</v>
      </c>
      <c r="D3614" s="10">
        <v>0.7</v>
      </c>
      <c r="E3614" s="10">
        <v>20</v>
      </c>
    </row>
    <row r="3615" spans="1:5">
      <c r="A3615" t="s">
        <v>4374</v>
      </c>
      <c r="B3615" t="s">
        <v>4375</v>
      </c>
      <c r="C3615" s="10">
        <v>6</v>
      </c>
      <c r="D3615" s="10">
        <v>0.7</v>
      </c>
      <c r="E3615" s="10">
        <v>35</v>
      </c>
    </row>
    <row r="3616" spans="1:5">
      <c r="A3616" t="s">
        <v>10189</v>
      </c>
      <c r="B3616" t="s">
        <v>9016</v>
      </c>
      <c r="C3616" s="10">
        <v>12</v>
      </c>
      <c r="D3616" s="10">
        <v>0.7</v>
      </c>
      <c r="E3616" s="10">
        <v>12</v>
      </c>
    </row>
    <row r="3617" spans="1:5">
      <c r="A3617" t="s">
        <v>6740</v>
      </c>
      <c r="B3617" t="s">
        <v>6741</v>
      </c>
      <c r="C3617" s="10">
        <v>12</v>
      </c>
      <c r="D3617" s="10">
        <v>0.7</v>
      </c>
      <c r="E3617" s="10">
        <v>14</v>
      </c>
    </row>
    <row r="3618" spans="1:5">
      <c r="A3618" t="s">
        <v>5089</v>
      </c>
      <c r="B3618" t="s">
        <v>2299</v>
      </c>
      <c r="C3618" s="10">
        <v>6</v>
      </c>
      <c r="D3618" s="10">
        <v>0.7</v>
      </c>
      <c r="E3618" s="10">
        <v>38</v>
      </c>
    </row>
    <row r="3619" spans="1:5">
      <c r="A3619" t="s">
        <v>2298</v>
      </c>
      <c r="B3619" t="s">
        <v>2299</v>
      </c>
      <c r="C3619" s="10">
        <v>6</v>
      </c>
      <c r="D3619" s="10">
        <v>1</v>
      </c>
      <c r="E3619" s="10">
        <v>38</v>
      </c>
    </row>
    <row r="3620" spans="1:5">
      <c r="A3620" t="s">
        <v>4376</v>
      </c>
      <c r="B3620" t="s">
        <v>4377</v>
      </c>
      <c r="C3620" s="10">
        <v>6</v>
      </c>
      <c r="D3620" s="10">
        <v>0.7</v>
      </c>
      <c r="E3620" s="10">
        <v>41.2</v>
      </c>
    </row>
    <row r="3621" spans="1:5">
      <c r="A3621" t="s">
        <v>1110</v>
      </c>
      <c r="B3621" t="s">
        <v>1111</v>
      </c>
      <c r="C3621" s="10">
        <v>6</v>
      </c>
      <c r="D3621" s="10">
        <v>0.7</v>
      </c>
      <c r="E3621" s="10">
        <v>40</v>
      </c>
    </row>
    <row r="3622" spans="1:5">
      <c r="A3622" t="s">
        <v>10190</v>
      </c>
      <c r="B3622" t="s">
        <v>9017</v>
      </c>
      <c r="C3622" s="10">
        <v>6</v>
      </c>
      <c r="D3622" s="10">
        <v>0.6</v>
      </c>
      <c r="E3622" s="10">
        <v>41.03</v>
      </c>
    </row>
    <row r="3623" spans="1:5">
      <c r="A3623" t="s">
        <v>4378</v>
      </c>
      <c r="B3623" t="s">
        <v>4379</v>
      </c>
      <c r="C3623" s="10">
        <v>6</v>
      </c>
      <c r="D3623" s="10">
        <v>0.7</v>
      </c>
      <c r="E3623" s="10">
        <v>42</v>
      </c>
    </row>
    <row r="3624" spans="1:5">
      <c r="A3624" t="s">
        <v>4380</v>
      </c>
      <c r="B3624" t="s">
        <v>4379</v>
      </c>
      <c r="C3624" s="10">
        <v>6</v>
      </c>
      <c r="D3624" s="10">
        <v>0.7</v>
      </c>
      <c r="E3624" s="10">
        <v>42</v>
      </c>
    </row>
    <row r="3625" spans="1:5">
      <c r="A3625" t="s">
        <v>1112</v>
      </c>
      <c r="B3625" t="s">
        <v>1113</v>
      </c>
      <c r="C3625" s="10">
        <v>6</v>
      </c>
      <c r="D3625" s="10">
        <v>0.7</v>
      </c>
      <c r="E3625" s="10">
        <v>40</v>
      </c>
    </row>
    <row r="3626" spans="1:5">
      <c r="A3626" t="s">
        <v>1114</v>
      </c>
      <c r="B3626" t="s">
        <v>1115</v>
      </c>
      <c r="C3626" s="10">
        <v>6</v>
      </c>
      <c r="D3626" s="10">
        <v>0.7</v>
      </c>
      <c r="E3626" s="10">
        <v>40</v>
      </c>
    </row>
    <row r="3627" spans="1:5">
      <c r="A3627" t="s">
        <v>1116</v>
      </c>
      <c r="B3627" t="s">
        <v>1117</v>
      </c>
      <c r="C3627" s="10">
        <v>6</v>
      </c>
      <c r="D3627" s="10">
        <v>0.7</v>
      </c>
      <c r="E3627" s="10">
        <v>40</v>
      </c>
    </row>
    <row r="3628" spans="1:5">
      <c r="A3628" t="s">
        <v>4381</v>
      </c>
      <c r="B3628" t="s">
        <v>4382</v>
      </c>
      <c r="C3628" s="10">
        <v>6</v>
      </c>
      <c r="D3628" s="10">
        <v>0.7</v>
      </c>
      <c r="E3628" s="10">
        <v>69</v>
      </c>
    </row>
    <row r="3629" spans="1:5">
      <c r="A3629" t="s">
        <v>1118</v>
      </c>
      <c r="B3629" t="s">
        <v>1119</v>
      </c>
      <c r="C3629" s="10">
        <v>6</v>
      </c>
      <c r="D3629" s="10">
        <v>0.7</v>
      </c>
      <c r="E3629" s="10">
        <v>40</v>
      </c>
    </row>
    <row r="3630" spans="1:5">
      <c r="A3630" t="s">
        <v>1120</v>
      </c>
      <c r="B3630" t="s">
        <v>1121</v>
      </c>
      <c r="C3630" s="10">
        <v>6</v>
      </c>
      <c r="D3630" s="10">
        <v>0.7</v>
      </c>
      <c r="E3630" s="10">
        <v>40</v>
      </c>
    </row>
    <row r="3631" spans="1:5">
      <c r="A3631" t="s">
        <v>1122</v>
      </c>
      <c r="B3631" t="s">
        <v>1123</v>
      </c>
      <c r="C3631" s="10">
        <v>6</v>
      </c>
      <c r="D3631" s="10">
        <v>0.7</v>
      </c>
      <c r="E3631" s="10">
        <v>40</v>
      </c>
    </row>
    <row r="3632" spans="1:5">
      <c r="A3632" t="s">
        <v>5557</v>
      </c>
      <c r="B3632" t="s">
        <v>5558</v>
      </c>
      <c r="C3632" s="10">
        <v>6</v>
      </c>
      <c r="D3632" s="10">
        <v>0.7</v>
      </c>
      <c r="E3632" s="10">
        <v>43</v>
      </c>
    </row>
    <row r="3633" spans="1:5">
      <c r="A3633" t="s">
        <v>6058</v>
      </c>
      <c r="B3633" t="s">
        <v>6059</v>
      </c>
      <c r="C3633" s="10">
        <v>5</v>
      </c>
      <c r="D3633" s="10">
        <v>0.7</v>
      </c>
      <c r="E3633" s="10">
        <v>40</v>
      </c>
    </row>
    <row r="3634" spans="1:5">
      <c r="A3634" t="s">
        <v>1124</v>
      </c>
      <c r="B3634" t="s">
        <v>1125</v>
      </c>
      <c r="C3634" s="10">
        <v>6</v>
      </c>
      <c r="D3634" s="10">
        <v>0.7</v>
      </c>
      <c r="E3634" s="10">
        <v>40</v>
      </c>
    </row>
    <row r="3635" spans="1:5">
      <c r="A3635" t="s">
        <v>2300</v>
      </c>
      <c r="B3635" t="s">
        <v>2301</v>
      </c>
      <c r="C3635" s="10">
        <v>6</v>
      </c>
      <c r="D3635" s="10">
        <v>1</v>
      </c>
      <c r="E3635" s="10">
        <v>35</v>
      </c>
    </row>
    <row r="3636" spans="1:5">
      <c r="A3636" t="s">
        <v>1126</v>
      </c>
      <c r="B3636" t="s">
        <v>1127</v>
      </c>
      <c r="C3636" s="10">
        <v>6</v>
      </c>
      <c r="D3636" s="10">
        <v>0.7</v>
      </c>
      <c r="E3636" s="10">
        <v>40</v>
      </c>
    </row>
    <row r="3637" spans="1:5">
      <c r="A3637" t="s">
        <v>4383</v>
      </c>
      <c r="B3637" t="s">
        <v>4384</v>
      </c>
      <c r="C3637" s="10">
        <v>6</v>
      </c>
      <c r="D3637" s="10">
        <v>0.7</v>
      </c>
      <c r="E3637" s="10">
        <v>57</v>
      </c>
    </row>
    <row r="3638" spans="1:5">
      <c r="A3638" t="s">
        <v>10191</v>
      </c>
      <c r="B3638" t="s">
        <v>9018</v>
      </c>
      <c r="C3638" s="10">
        <v>6</v>
      </c>
      <c r="D3638" s="10">
        <v>0.7</v>
      </c>
      <c r="E3638" s="10">
        <v>41.2</v>
      </c>
    </row>
    <row r="3639" spans="1:5">
      <c r="A3639" t="s">
        <v>10192</v>
      </c>
      <c r="B3639" t="s">
        <v>9019</v>
      </c>
      <c r="C3639" s="10">
        <v>6</v>
      </c>
      <c r="D3639" s="10">
        <v>0.7</v>
      </c>
      <c r="E3639" s="10">
        <v>26</v>
      </c>
    </row>
    <row r="3640" spans="1:5">
      <c r="A3640" t="s">
        <v>3194</v>
      </c>
      <c r="B3640" t="s">
        <v>3193</v>
      </c>
      <c r="C3640" s="10">
        <v>6</v>
      </c>
      <c r="D3640" s="10">
        <v>0.75</v>
      </c>
      <c r="E3640" s="10">
        <v>12.5</v>
      </c>
    </row>
    <row r="3641" spans="1:5">
      <c r="A3641" t="s">
        <v>10193</v>
      </c>
      <c r="B3641" t="s">
        <v>3193</v>
      </c>
      <c r="C3641" s="10">
        <v>6</v>
      </c>
      <c r="D3641" s="10">
        <v>0.75</v>
      </c>
      <c r="E3641" s="10">
        <v>12.5</v>
      </c>
    </row>
    <row r="3642" spans="1:5">
      <c r="A3642" t="s">
        <v>2302</v>
      </c>
      <c r="B3642" t="s">
        <v>2303</v>
      </c>
      <c r="C3642" s="10">
        <v>6</v>
      </c>
      <c r="D3642" s="10">
        <v>1</v>
      </c>
      <c r="E3642" s="10">
        <v>15</v>
      </c>
    </row>
    <row r="3643" spans="1:5">
      <c r="A3643" t="s">
        <v>10194</v>
      </c>
      <c r="B3643" t="s">
        <v>9020</v>
      </c>
      <c r="C3643" s="10">
        <v>6</v>
      </c>
      <c r="D3643" s="10">
        <v>0.7</v>
      </c>
      <c r="E3643" s="10">
        <v>40</v>
      </c>
    </row>
    <row r="3644" spans="1:5">
      <c r="A3644" t="s">
        <v>6400</v>
      </c>
      <c r="B3644" t="s">
        <v>1672</v>
      </c>
      <c r="C3644" s="10">
        <v>36</v>
      </c>
      <c r="D3644" s="10">
        <v>0.2</v>
      </c>
      <c r="E3644" s="10">
        <v>37.5</v>
      </c>
    </row>
    <row r="3645" spans="1:5">
      <c r="A3645" t="s">
        <v>4905</v>
      </c>
      <c r="B3645" t="s">
        <v>1672</v>
      </c>
      <c r="C3645" s="10">
        <v>6</v>
      </c>
      <c r="D3645" s="10">
        <v>0.7</v>
      </c>
      <c r="E3645" s="10">
        <v>37.5</v>
      </c>
    </row>
    <row r="3646" spans="1:5">
      <c r="A3646" t="s">
        <v>2304</v>
      </c>
      <c r="B3646" t="s">
        <v>1672</v>
      </c>
      <c r="C3646" s="10">
        <v>6</v>
      </c>
      <c r="D3646" s="10">
        <v>1</v>
      </c>
      <c r="E3646" s="10">
        <v>37.5</v>
      </c>
    </row>
    <row r="3647" spans="1:5">
      <c r="A3647" t="s">
        <v>1671</v>
      </c>
      <c r="B3647" t="s">
        <v>1672</v>
      </c>
      <c r="C3647" s="10">
        <v>6</v>
      </c>
      <c r="D3647" s="10">
        <v>1.5</v>
      </c>
      <c r="E3647" s="10">
        <v>37.5</v>
      </c>
    </row>
    <row r="3648" spans="1:5">
      <c r="A3648" t="s">
        <v>6742</v>
      </c>
      <c r="B3648" t="s">
        <v>6743</v>
      </c>
      <c r="C3648" s="10">
        <v>12</v>
      </c>
      <c r="D3648" s="10">
        <v>0.5</v>
      </c>
      <c r="E3648" s="10">
        <v>8</v>
      </c>
    </row>
    <row r="3649" spans="1:5">
      <c r="A3649" t="s">
        <v>3195</v>
      </c>
      <c r="B3649" t="s">
        <v>3196</v>
      </c>
      <c r="C3649" s="10">
        <v>6</v>
      </c>
      <c r="D3649" s="10">
        <v>0.75</v>
      </c>
      <c r="E3649" s="10">
        <v>12.5</v>
      </c>
    </row>
    <row r="3650" spans="1:5">
      <c r="A3650" t="s">
        <v>3197</v>
      </c>
      <c r="B3650" t="s">
        <v>3198</v>
      </c>
      <c r="C3650" s="10">
        <v>6</v>
      </c>
      <c r="D3650" s="10">
        <v>0.75</v>
      </c>
      <c r="E3650" s="10">
        <v>12.5</v>
      </c>
    </row>
    <row r="3651" spans="1:5">
      <c r="A3651" t="s">
        <v>3199</v>
      </c>
      <c r="B3651" t="s">
        <v>3198</v>
      </c>
      <c r="C3651" s="10">
        <v>6</v>
      </c>
      <c r="D3651" s="10">
        <v>0.75</v>
      </c>
      <c r="E3651" s="10">
        <v>12.5</v>
      </c>
    </row>
    <row r="3652" spans="1:5">
      <c r="A3652" t="s">
        <v>4385</v>
      </c>
      <c r="B3652" t="s">
        <v>4386</v>
      </c>
      <c r="C3652" s="10">
        <v>6</v>
      </c>
      <c r="D3652" s="10">
        <v>0.7</v>
      </c>
      <c r="E3652" s="10">
        <v>25</v>
      </c>
    </row>
    <row r="3653" spans="1:5">
      <c r="A3653" t="s">
        <v>6744</v>
      </c>
      <c r="B3653" t="s">
        <v>6745</v>
      </c>
      <c r="C3653" s="10">
        <v>12</v>
      </c>
      <c r="D3653" s="10">
        <v>0.7</v>
      </c>
      <c r="E3653" s="10">
        <v>10</v>
      </c>
    </row>
    <row r="3654" spans="1:5">
      <c r="A3654" t="s">
        <v>6746</v>
      </c>
      <c r="B3654" t="s">
        <v>6747</v>
      </c>
      <c r="C3654" s="10">
        <v>12</v>
      </c>
      <c r="D3654" s="10">
        <v>0.7</v>
      </c>
      <c r="E3654" s="10">
        <v>10</v>
      </c>
    </row>
    <row r="3655" spans="1:5">
      <c r="A3655" t="s">
        <v>4387</v>
      </c>
      <c r="B3655" t="s">
        <v>4388</v>
      </c>
      <c r="C3655" s="10">
        <v>6</v>
      </c>
      <c r="D3655" s="10">
        <v>0.7</v>
      </c>
      <c r="E3655" s="10">
        <v>9</v>
      </c>
    </row>
    <row r="3656" spans="1:5">
      <c r="A3656" t="s">
        <v>10195</v>
      </c>
      <c r="B3656" t="s">
        <v>9021</v>
      </c>
      <c r="C3656" s="10">
        <v>6</v>
      </c>
      <c r="D3656" s="10">
        <v>0.7</v>
      </c>
      <c r="E3656" s="10">
        <v>30</v>
      </c>
    </row>
    <row r="3657" spans="1:5">
      <c r="A3657" t="s">
        <v>10196</v>
      </c>
      <c r="B3657" t="s">
        <v>9022</v>
      </c>
      <c r="C3657" s="10">
        <v>6</v>
      </c>
      <c r="D3657" s="10">
        <v>0.7</v>
      </c>
      <c r="E3657" s="10">
        <v>30</v>
      </c>
    </row>
    <row r="3658" spans="1:5">
      <c r="A3658" t="s">
        <v>4389</v>
      </c>
      <c r="B3658" t="s">
        <v>4390</v>
      </c>
      <c r="C3658" s="10">
        <v>6</v>
      </c>
      <c r="D3658" s="10">
        <v>0.7</v>
      </c>
      <c r="E3658" s="10">
        <v>30</v>
      </c>
    </row>
    <row r="3659" spans="1:5">
      <c r="A3659" t="s">
        <v>10197</v>
      </c>
      <c r="B3659" t="s">
        <v>9023</v>
      </c>
      <c r="C3659" s="10">
        <v>6</v>
      </c>
      <c r="D3659" s="10">
        <v>0.7</v>
      </c>
      <c r="E3659" s="10">
        <v>57.1</v>
      </c>
    </row>
    <row r="3660" spans="1:5">
      <c r="A3660" t="s">
        <v>8307</v>
      </c>
      <c r="B3660" t="s">
        <v>9024</v>
      </c>
      <c r="C3660" s="10">
        <v>6</v>
      </c>
      <c r="D3660" s="10">
        <v>0.7</v>
      </c>
      <c r="E3660" s="10">
        <v>45.8</v>
      </c>
    </row>
    <row r="3661" spans="1:5">
      <c r="A3661" t="s">
        <v>4391</v>
      </c>
      <c r="B3661" t="s">
        <v>4392</v>
      </c>
      <c r="C3661" s="10">
        <v>6</v>
      </c>
      <c r="D3661" s="10">
        <v>0.7</v>
      </c>
      <c r="E3661" s="10">
        <v>45.8</v>
      </c>
    </row>
    <row r="3662" spans="1:5">
      <c r="A3662" t="s">
        <v>4393</v>
      </c>
      <c r="B3662" t="s">
        <v>4394</v>
      </c>
      <c r="C3662" s="10">
        <v>6</v>
      </c>
      <c r="D3662" s="10">
        <v>0.7</v>
      </c>
      <c r="E3662" s="10">
        <v>41.5</v>
      </c>
    </row>
    <row r="3663" spans="1:5">
      <c r="A3663" t="s">
        <v>1128</v>
      </c>
      <c r="B3663" t="s">
        <v>1129</v>
      </c>
      <c r="C3663" s="10">
        <v>6</v>
      </c>
      <c r="D3663" s="10">
        <v>0.7</v>
      </c>
      <c r="E3663" s="10">
        <v>40</v>
      </c>
    </row>
    <row r="3664" spans="1:5">
      <c r="A3664" t="s">
        <v>10198</v>
      </c>
      <c r="B3664" t="s">
        <v>9025</v>
      </c>
      <c r="C3664" s="10">
        <v>6</v>
      </c>
      <c r="D3664" s="10">
        <v>0.7</v>
      </c>
      <c r="E3664" s="10">
        <v>40</v>
      </c>
    </row>
    <row r="3665" spans="1:5">
      <c r="A3665" t="s">
        <v>10199</v>
      </c>
      <c r="B3665" t="s">
        <v>9026</v>
      </c>
      <c r="C3665" s="10">
        <v>6</v>
      </c>
      <c r="D3665" s="10">
        <v>0.7</v>
      </c>
      <c r="E3665" s="10">
        <v>42</v>
      </c>
    </row>
    <row r="3666" spans="1:5">
      <c r="A3666" t="s">
        <v>1896</v>
      </c>
      <c r="B3666" t="s">
        <v>1897</v>
      </c>
      <c r="C3666" s="10">
        <v>6</v>
      </c>
      <c r="D3666" s="10">
        <v>0.5</v>
      </c>
      <c r="E3666" s="10">
        <v>43</v>
      </c>
    </row>
    <row r="3667" spans="1:5">
      <c r="A3667" t="s">
        <v>5843</v>
      </c>
      <c r="B3667" t="s">
        <v>1131</v>
      </c>
      <c r="C3667" s="10">
        <v>12</v>
      </c>
      <c r="D3667" s="10">
        <v>0.05</v>
      </c>
      <c r="E3667" s="10">
        <v>40</v>
      </c>
    </row>
    <row r="3668" spans="1:5">
      <c r="A3668" t="s">
        <v>1130</v>
      </c>
      <c r="B3668" t="s">
        <v>1131</v>
      </c>
      <c r="C3668" s="10">
        <v>6</v>
      </c>
      <c r="D3668" s="10">
        <v>0.7</v>
      </c>
      <c r="E3668" s="10">
        <v>40</v>
      </c>
    </row>
    <row r="3669" spans="1:5">
      <c r="A3669" t="s">
        <v>2305</v>
      </c>
      <c r="B3669" t="s">
        <v>2306</v>
      </c>
      <c r="C3669" s="10">
        <v>6</v>
      </c>
      <c r="D3669" s="10">
        <v>1</v>
      </c>
      <c r="E3669" s="10">
        <v>54</v>
      </c>
    </row>
    <row r="3670" spans="1:5">
      <c r="A3670" t="s">
        <v>1132</v>
      </c>
      <c r="B3670" t="s">
        <v>1133</v>
      </c>
      <c r="C3670" s="10">
        <v>6</v>
      </c>
      <c r="D3670" s="10">
        <v>0.7</v>
      </c>
      <c r="E3670" s="10">
        <v>40</v>
      </c>
    </row>
    <row r="3671" spans="1:5">
      <c r="A3671" t="s">
        <v>1504</v>
      </c>
      <c r="B3671" t="s">
        <v>1133</v>
      </c>
      <c r="C3671" s="10">
        <v>6</v>
      </c>
      <c r="D3671" s="10">
        <v>1</v>
      </c>
      <c r="E3671" s="10">
        <v>40</v>
      </c>
    </row>
    <row r="3672" spans="1:5">
      <c r="A3672" t="s">
        <v>5956</v>
      </c>
      <c r="B3672" t="s">
        <v>1133</v>
      </c>
      <c r="C3672" s="10">
        <v>3</v>
      </c>
      <c r="D3672" s="10">
        <v>1.75</v>
      </c>
      <c r="E3672" s="10">
        <v>40</v>
      </c>
    </row>
    <row r="3673" spans="1:5">
      <c r="A3673" t="s">
        <v>10200</v>
      </c>
      <c r="B3673" t="s">
        <v>9027</v>
      </c>
      <c r="C3673" s="10">
        <v>6</v>
      </c>
      <c r="D3673" s="10">
        <v>0.7</v>
      </c>
      <c r="E3673" s="10">
        <v>37.5</v>
      </c>
    </row>
    <row r="3674" spans="1:5">
      <c r="A3674" t="s">
        <v>4906</v>
      </c>
      <c r="B3674" t="s">
        <v>4907</v>
      </c>
      <c r="C3674" s="10">
        <v>6</v>
      </c>
      <c r="D3674" s="10">
        <v>0.7</v>
      </c>
      <c r="E3674" s="10">
        <v>37.5</v>
      </c>
    </row>
    <row r="3675" spans="1:5">
      <c r="A3675" t="s">
        <v>10201</v>
      </c>
      <c r="B3675" t="s">
        <v>9028</v>
      </c>
      <c r="C3675" s="10">
        <v>6</v>
      </c>
      <c r="D3675" s="10">
        <v>0.7</v>
      </c>
      <c r="E3675" s="10">
        <v>37.5</v>
      </c>
    </row>
    <row r="3676" spans="1:5">
      <c r="A3676" t="s">
        <v>4908</v>
      </c>
      <c r="B3676" t="s">
        <v>4909</v>
      </c>
      <c r="C3676" s="10">
        <v>6</v>
      </c>
      <c r="D3676" s="10">
        <v>0.7</v>
      </c>
      <c r="E3676" s="10">
        <v>37.5</v>
      </c>
    </row>
    <row r="3677" spans="1:5">
      <c r="A3677" t="s">
        <v>4910</v>
      </c>
      <c r="B3677" t="s">
        <v>4911</v>
      </c>
      <c r="C3677" s="10">
        <v>6</v>
      </c>
      <c r="D3677" s="10">
        <v>0.7</v>
      </c>
      <c r="E3677" s="10">
        <v>37.5</v>
      </c>
    </row>
    <row r="3678" spans="1:5">
      <c r="A3678" t="s">
        <v>4912</v>
      </c>
      <c r="B3678" t="s">
        <v>4913</v>
      </c>
      <c r="C3678" s="10">
        <v>6</v>
      </c>
      <c r="D3678" s="10">
        <v>0.7</v>
      </c>
      <c r="E3678" s="10">
        <v>37.5</v>
      </c>
    </row>
    <row r="3679" spans="1:5">
      <c r="A3679" t="s">
        <v>10202</v>
      </c>
      <c r="B3679" t="s">
        <v>9029</v>
      </c>
      <c r="C3679" s="10">
        <v>6</v>
      </c>
      <c r="D3679" s="10">
        <v>0.7</v>
      </c>
      <c r="E3679" s="10">
        <v>37.5</v>
      </c>
    </row>
    <row r="3680" spans="1:5">
      <c r="A3680" t="s">
        <v>10203</v>
      </c>
      <c r="B3680" t="s">
        <v>9030</v>
      </c>
      <c r="C3680" s="10">
        <v>6</v>
      </c>
      <c r="D3680" s="10">
        <v>0.7</v>
      </c>
      <c r="E3680" s="10">
        <v>37.5</v>
      </c>
    </row>
    <row r="3681" spans="1:5">
      <c r="A3681" t="s">
        <v>1134</v>
      </c>
      <c r="B3681" t="s">
        <v>1135</v>
      </c>
      <c r="C3681" s="10">
        <v>6</v>
      </c>
      <c r="D3681" s="10">
        <v>0.7</v>
      </c>
      <c r="E3681" s="10">
        <v>40</v>
      </c>
    </row>
    <row r="3682" spans="1:5">
      <c r="A3682" t="s">
        <v>5957</v>
      </c>
      <c r="B3682" t="s">
        <v>5958</v>
      </c>
      <c r="C3682" s="10">
        <v>40</v>
      </c>
      <c r="D3682" s="10">
        <v>0.05</v>
      </c>
      <c r="E3682" s="10">
        <v>40</v>
      </c>
    </row>
    <row r="3683" spans="1:5">
      <c r="A3683" t="s">
        <v>1136</v>
      </c>
      <c r="B3683" t="s">
        <v>1137</v>
      </c>
      <c r="C3683" s="10">
        <v>6</v>
      </c>
      <c r="D3683" s="10">
        <v>0.7</v>
      </c>
      <c r="E3683" s="10">
        <v>40</v>
      </c>
    </row>
    <row r="3684" spans="1:5">
      <c r="A3684" t="s">
        <v>10204</v>
      </c>
      <c r="B3684" t="s">
        <v>1137</v>
      </c>
      <c r="C3684" s="10">
        <v>6</v>
      </c>
      <c r="D3684" s="10">
        <v>0.7</v>
      </c>
      <c r="E3684" s="10">
        <v>40</v>
      </c>
    </row>
    <row r="3685" spans="1:5">
      <c r="A3685" t="s">
        <v>1139</v>
      </c>
      <c r="B3685" t="s">
        <v>1138</v>
      </c>
      <c r="C3685" s="10">
        <v>6</v>
      </c>
      <c r="D3685" s="10">
        <v>0.7</v>
      </c>
      <c r="E3685" s="10">
        <v>40</v>
      </c>
    </row>
    <row r="3686" spans="1:5">
      <c r="A3686" t="s">
        <v>1140</v>
      </c>
      <c r="B3686" t="s">
        <v>1141</v>
      </c>
      <c r="C3686" s="10">
        <v>6</v>
      </c>
      <c r="D3686" s="10">
        <v>0.7</v>
      </c>
      <c r="E3686" s="10">
        <v>40</v>
      </c>
    </row>
    <row r="3687" spans="1:5">
      <c r="A3687" t="s">
        <v>10205</v>
      </c>
      <c r="B3687" t="s">
        <v>1141</v>
      </c>
      <c r="C3687" s="10">
        <v>6</v>
      </c>
      <c r="D3687" s="10">
        <v>0.7</v>
      </c>
      <c r="E3687" s="10">
        <v>40</v>
      </c>
    </row>
    <row r="3688" spans="1:5">
      <c r="A3688" t="s">
        <v>1142</v>
      </c>
      <c r="B3688" t="s">
        <v>1143</v>
      </c>
      <c r="C3688" s="10">
        <v>6</v>
      </c>
      <c r="D3688" s="10">
        <v>0.7</v>
      </c>
      <c r="E3688" s="10">
        <v>40</v>
      </c>
    </row>
    <row r="3689" spans="1:5">
      <c r="A3689" t="s">
        <v>10206</v>
      </c>
      <c r="B3689" t="s">
        <v>9031</v>
      </c>
      <c r="C3689" s="10">
        <v>6</v>
      </c>
      <c r="D3689" s="10">
        <v>0.7</v>
      </c>
      <c r="E3689" s="10">
        <v>40.700000000000003</v>
      </c>
    </row>
    <row r="3690" spans="1:5">
      <c r="A3690" t="s">
        <v>1144</v>
      </c>
      <c r="B3690" t="s">
        <v>1145</v>
      </c>
      <c r="C3690" s="10">
        <v>6</v>
      </c>
      <c r="D3690" s="10">
        <v>0.7</v>
      </c>
      <c r="E3690" s="10">
        <v>40</v>
      </c>
    </row>
    <row r="3691" spans="1:5">
      <c r="A3691" t="s">
        <v>1505</v>
      </c>
      <c r="B3691" t="s">
        <v>1145</v>
      </c>
      <c r="C3691" s="10">
        <v>6</v>
      </c>
      <c r="D3691" s="10">
        <v>1</v>
      </c>
      <c r="E3691" s="10">
        <v>40</v>
      </c>
    </row>
    <row r="3692" spans="1:5">
      <c r="A3692" t="s">
        <v>1506</v>
      </c>
      <c r="B3692" t="s">
        <v>1507</v>
      </c>
      <c r="C3692" s="10">
        <v>6</v>
      </c>
      <c r="D3692" s="10">
        <v>1</v>
      </c>
      <c r="E3692" s="10">
        <v>40</v>
      </c>
    </row>
    <row r="3693" spans="1:5">
      <c r="A3693" t="s">
        <v>4914</v>
      </c>
      <c r="B3693" t="s">
        <v>2308</v>
      </c>
      <c r="C3693" s="10">
        <v>6</v>
      </c>
      <c r="D3693" s="10">
        <v>0.7</v>
      </c>
      <c r="E3693" s="10">
        <v>37.5</v>
      </c>
    </row>
    <row r="3694" spans="1:5">
      <c r="A3694" t="s">
        <v>2307</v>
      </c>
      <c r="B3694" t="s">
        <v>2308</v>
      </c>
      <c r="C3694" s="10">
        <v>6</v>
      </c>
      <c r="D3694" s="10">
        <v>1</v>
      </c>
      <c r="E3694" s="10">
        <v>37.5</v>
      </c>
    </row>
    <row r="3695" spans="1:5">
      <c r="A3695" t="s">
        <v>10207</v>
      </c>
      <c r="B3695" t="s">
        <v>9032</v>
      </c>
      <c r="C3695" s="10">
        <v>6</v>
      </c>
      <c r="D3695" s="10">
        <v>0.7</v>
      </c>
      <c r="E3695" s="10">
        <v>37.5</v>
      </c>
    </row>
    <row r="3696" spans="1:5">
      <c r="A3696" t="s">
        <v>2793</v>
      </c>
      <c r="B3696" t="s">
        <v>2794</v>
      </c>
      <c r="C3696" s="10">
        <v>6</v>
      </c>
      <c r="D3696" s="10">
        <v>0.75</v>
      </c>
      <c r="E3696" s="10">
        <v>16</v>
      </c>
    </row>
    <row r="3697" spans="1:5">
      <c r="A3697" t="s">
        <v>2309</v>
      </c>
      <c r="B3697" t="s">
        <v>2310</v>
      </c>
      <c r="C3697" s="10">
        <v>6</v>
      </c>
      <c r="D3697" s="10">
        <v>1</v>
      </c>
      <c r="E3697" s="10">
        <v>37.5</v>
      </c>
    </row>
    <row r="3698" spans="1:5">
      <c r="A3698" t="s">
        <v>4395</v>
      </c>
      <c r="B3698" t="s">
        <v>2312</v>
      </c>
      <c r="C3698" s="10">
        <v>6</v>
      </c>
      <c r="D3698" s="10">
        <v>0.7</v>
      </c>
      <c r="E3698" s="10">
        <v>16.600000000000001</v>
      </c>
    </row>
    <row r="3699" spans="1:5">
      <c r="A3699" t="s">
        <v>2311</v>
      </c>
      <c r="B3699" t="s">
        <v>2312</v>
      </c>
      <c r="C3699" s="10">
        <v>6</v>
      </c>
      <c r="D3699" s="10">
        <v>1</v>
      </c>
      <c r="E3699" s="10">
        <v>16.600000000000001</v>
      </c>
    </row>
    <row r="3700" spans="1:5">
      <c r="A3700" t="s">
        <v>4396</v>
      </c>
      <c r="B3700" t="s">
        <v>4397</v>
      </c>
      <c r="C3700" s="10">
        <v>6</v>
      </c>
      <c r="D3700" s="10">
        <v>0.7</v>
      </c>
      <c r="E3700" s="10">
        <v>17.5</v>
      </c>
    </row>
    <row r="3701" spans="1:5">
      <c r="A3701" t="s">
        <v>4398</v>
      </c>
      <c r="B3701" t="s">
        <v>4399</v>
      </c>
      <c r="C3701" s="10">
        <v>6</v>
      </c>
      <c r="D3701" s="10">
        <v>0.7</v>
      </c>
      <c r="E3701" s="10">
        <v>15</v>
      </c>
    </row>
    <row r="3702" spans="1:5">
      <c r="A3702" t="s">
        <v>4400</v>
      </c>
      <c r="B3702" t="s">
        <v>2314</v>
      </c>
      <c r="C3702" s="10">
        <v>6</v>
      </c>
      <c r="D3702" s="10">
        <v>0.7</v>
      </c>
      <c r="E3702" s="10">
        <v>17.5</v>
      </c>
    </row>
    <row r="3703" spans="1:5">
      <c r="A3703" t="s">
        <v>2313</v>
      </c>
      <c r="B3703" t="s">
        <v>2314</v>
      </c>
      <c r="C3703" s="10">
        <v>6</v>
      </c>
      <c r="D3703" s="10">
        <v>1</v>
      </c>
      <c r="E3703" s="10">
        <v>17.5</v>
      </c>
    </row>
    <row r="3704" spans="1:5">
      <c r="A3704" t="s">
        <v>4401</v>
      </c>
      <c r="B3704" t="s">
        <v>4402</v>
      </c>
      <c r="C3704" s="10">
        <v>6</v>
      </c>
      <c r="D3704" s="10">
        <v>0.7</v>
      </c>
      <c r="E3704" s="10">
        <v>17.7</v>
      </c>
    </row>
    <row r="3705" spans="1:5">
      <c r="A3705" t="s">
        <v>4915</v>
      </c>
      <c r="B3705" t="s">
        <v>2316</v>
      </c>
      <c r="C3705" s="10">
        <v>6</v>
      </c>
      <c r="D3705" s="10">
        <v>0.7</v>
      </c>
      <c r="E3705" s="10">
        <v>37.5</v>
      </c>
    </row>
    <row r="3706" spans="1:5">
      <c r="A3706" t="s">
        <v>2315</v>
      </c>
      <c r="B3706" t="s">
        <v>2316</v>
      </c>
      <c r="C3706" s="10">
        <v>6</v>
      </c>
      <c r="D3706" s="10">
        <v>1</v>
      </c>
      <c r="E3706" s="10">
        <v>37.5</v>
      </c>
    </row>
    <row r="3707" spans="1:5">
      <c r="A3707" t="s">
        <v>4403</v>
      </c>
      <c r="B3707" t="s">
        <v>4404</v>
      </c>
      <c r="C3707" s="10">
        <v>6</v>
      </c>
      <c r="D3707" s="10">
        <v>0.7</v>
      </c>
      <c r="E3707" s="10">
        <v>17.5</v>
      </c>
    </row>
    <row r="3708" spans="1:5">
      <c r="A3708" t="s">
        <v>4405</v>
      </c>
      <c r="B3708" t="s">
        <v>4406</v>
      </c>
      <c r="C3708" s="10">
        <v>6</v>
      </c>
      <c r="D3708" s="10">
        <v>0.7</v>
      </c>
      <c r="E3708" s="10">
        <v>17.5</v>
      </c>
    </row>
    <row r="3709" spans="1:5">
      <c r="A3709" t="s">
        <v>10208</v>
      </c>
      <c r="B3709" t="s">
        <v>9033</v>
      </c>
      <c r="C3709" s="10">
        <v>6</v>
      </c>
      <c r="D3709" s="10">
        <v>0.7</v>
      </c>
      <c r="E3709" s="10">
        <v>54.5</v>
      </c>
    </row>
    <row r="3710" spans="1:5">
      <c r="A3710" t="s">
        <v>1146</v>
      </c>
      <c r="B3710" t="s">
        <v>1147</v>
      </c>
      <c r="C3710" s="10">
        <v>6</v>
      </c>
      <c r="D3710" s="10">
        <v>0.7</v>
      </c>
      <c r="E3710" s="10">
        <v>40</v>
      </c>
    </row>
    <row r="3711" spans="1:5">
      <c r="A3711" t="s">
        <v>4407</v>
      </c>
      <c r="B3711" t="s">
        <v>4408</v>
      </c>
      <c r="C3711" s="10">
        <v>6</v>
      </c>
      <c r="D3711" s="10">
        <v>0.7</v>
      </c>
      <c r="E3711" s="10">
        <v>54.5</v>
      </c>
    </row>
    <row r="3712" spans="1:5">
      <c r="A3712" t="s">
        <v>4409</v>
      </c>
      <c r="B3712" t="s">
        <v>4410</v>
      </c>
      <c r="C3712" s="10">
        <v>6</v>
      </c>
      <c r="D3712" s="10">
        <v>0.7</v>
      </c>
      <c r="E3712" s="10">
        <v>54.5</v>
      </c>
    </row>
    <row r="3713" spans="1:5">
      <c r="A3713" t="s">
        <v>4411</v>
      </c>
      <c r="B3713" t="s">
        <v>4412</v>
      </c>
      <c r="C3713" s="10">
        <v>6</v>
      </c>
      <c r="D3713" s="10">
        <v>0.7</v>
      </c>
      <c r="E3713" s="10">
        <v>54.5</v>
      </c>
    </row>
    <row r="3714" spans="1:5">
      <c r="A3714" t="s">
        <v>1148</v>
      </c>
      <c r="B3714" t="s">
        <v>1149</v>
      </c>
      <c r="C3714" s="10">
        <v>6</v>
      </c>
      <c r="D3714" s="10">
        <v>0.7</v>
      </c>
      <c r="E3714" s="10">
        <v>40</v>
      </c>
    </row>
    <row r="3715" spans="1:5">
      <c r="A3715" t="s">
        <v>4413</v>
      </c>
      <c r="B3715" t="s">
        <v>4414</v>
      </c>
      <c r="C3715" s="10">
        <v>6</v>
      </c>
      <c r="D3715" s="10">
        <v>0.7</v>
      </c>
      <c r="E3715" s="10">
        <v>75.5</v>
      </c>
    </row>
    <row r="3716" spans="1:5">
      <c r="A3716" t="s">
        <v>1150</v>
      </c>
      <c r="B3716" t="s">
        <v>1151</v>
      </c>
      <c r="C3716" s="10">
        <v>6</v>
      </c>
      <c r="D3716" s="10">
        <v>0.7</v>
      </c>
      <c r="E3716" s="10">
        <v>40</v>
      </c>
    </row>
    <row r="3717" spans="1:5">
      <c r="A3717" t="s">
        <v>1152</v>
      </c>
      <c r="B3717" t="s">
        <v>1153</v>
      </c>
      <c r="C3717" s="10">
        <v>6</v>
      </c>
      <c r="D3717" s="10">
        <v>0.7</v>
      </c>
      <c r="E3717" s="10">
        <v>40</v>
      </c>
    </row>
    <row r="3718" spans="1:5">
      <c r="A3718" t="s">
        <v>5261</v>
      </c>
      <c r="B3718" t="s">
        <v>5262</v>
      </c>
      <c r="C3718" s="10">
        <v>6</v>
      </c>
      <c r="D3718" s="10">
        <v>0.7</v>
      </c>
      <c r="E3718" s="10">
        <v>46</v>
      </c>
    </row>
    <row r="3719" spans="1:5">
      <c r="A3719" t="s">
        <v>6748</v>
      </c>
      <c r="B3719" t="s">
        <v>4797</v>
      </c>
      <c r="C3719" s="10">
        <v>12</v>
      </c>
      <c r="D3719" s="10">
        <v>0.35</v>
      </c>
      <c r="E3719" s="10">
        <v>45</v>
      </c>
    </row>
    <row r="3720" spans="1:5">
      <c r="A3720" t="s">
        <v>4796</v>
      </c>
      <c r="B3720" t="s">
        <v>4797</v>
      </c>
      <c r="C3720" s="10">
        <v>6</v>
      </c>
      <c r="D3720" s="10">
        <v>0.7</v>
      </c>
      <c r="E3720" s="10">
        <v>45</v>
      </c>
    </row>
    <row r="3721" spans="1:5">
      <c r="A3721" t="s">
        <v>10209</v>
      </c>
      <c r="B3721" t="s">
        <v>9034</v>
      </c>
      <c r="C3721" s="10">
        <v>6</v>
      </c>
      <c r="D3721" s="10">
        <v>0.7</v>
      </c>
      <c r="E3721" s="10">
        <v>47.5</v>
      </c>
    </row>
    <row r="3722" spans="1:5">
      <c r="A3722" t="s">
        <v>4415</v>
      </c>
      <c r="B3722" t="s">
        <v>4416</v>
      </c>
      <c r="C3722" s="10">
        <v>6</v>
      </c>
      <c r="D3722" s="10">
        <v>0.7</v>
      </c>
      <c r="E3722" s="10">
        <v>47.5</v>
      </c>
    </row>
    <row r="3723" spans="1:5">
      <c r="A3723" t="s">
        <v>6749</v>
      </c>
      <c r="B3723" t="s">
        <v>4799</v>
      </c>
      <c r="C3723" s="10">
        <v>12</v>
      </c>
      <c r="D3723" s="10">
        <v>0.35</v>
      </c>
      <c r="E3723" s="10">
        <v>45</v>
      </c>
    </row>
    <row r="3724" spans="1:5">
      <c r="A3724" t="s">
        <v>4798</v>
      </c>
      <c r="B3724" t="s">
        <v>4799</v>
      </c>
      <c r="C3724" s="10">
        <v>6</v>
      </c>
      <c r="D3724" s="10">
        <v>0.7</v>
      </c>
      <c r="E3724" s="10">
        <v>45</v>
      </c>
    </row>
    <row r="3725" spans="1:5">
      <c r="A3725" t="s">
        <v>4800</v>
      </c>
      <c r="B3725" t="s">
        <v>4801</v>
      </c>
      <c r="C3725" s="10">
        <v>6</v>
      </c>
      <c r="D3725" s="10">
        <v>0.7</v>
      </c>
      <c r="E3725" s="10">
        <v>45</v>
      </c>
    </row>
    <row r="3726" spans="1:5">
      <c r="A3726" t="s">
        <v>6401</v>
      </c>
      <c r="B3726" t="s">
        <v>4418</v>
      </c>
      <c r="C3726" s="10">
        <v>8</v>
      </c>
      <c r="D3726" s="10">
        <v>0.35</v>
      </c>
      <c r="E3726" s="10">
        <v>47</v>
      </c>
    </row>
    <row r="3727" spans="1:5">
      <c r="A3727" t="s">
        <v>4417</v>
      </c>
      <c r="B3727" t="s">
        <v>4418</v>
      </c>
      <c r="C3727" s="10">
        <v>6</v>
      </c>
      <c r="D3727" s="10">
        <v>0.7</v>
      </c>
      <c r="E3727" s="10">
        <v>47</v>
      </c>
    </row>
    <row r="3728" spans="1:5">
      <c r="A3728" t="s">
        <v>4802</v>
      </c>
      <c r="B3728" t="s">
        <v>2318</v>
      </c>
      <c r="C3728" s="10">
        <v>6</v>
      </c>
      <c r="D3728" s="10">
        <v>0.7</v>
      </c>
      <c r="E3728" s="10">
        <v>45</v>
      </c>
    </row>
    <row r="3729" spans="1:5">
      <c r="A3729" t="s">
        <v>2317</v>
      </c>
      <c r="B3729" t="s">
        <v>2318</v>
      </c>
      <c r="C3729" s="10">
        <v>6</v>
      </c>
      <c r="D3729" s="10">
        <v>1</v>
      </c>
      <c r="E3729" s="10">
        <v>45</v>
      </c>
    </row>
    <row r="3730" spans="1:5">
      <c r="A3730" t="s">
        <v>4803</v>
      </c>
      <c r="B3730" t="s">
        <v>4804</v>
      </c>
      <c r="C3730" s="10">
        <v>6</v>
      </c>
      <c r="D3730" s="10">
        <v>0.7</v>
      </c>
      <c r="E3730" s="10">
        <v>45</v>
      </c>
    </row>
    <row r="3731" spans="1:5">
      <c r="A3731" t="s">
        <v>4419</v>
      </c>
      <c r="B3731" t="s">
        <v>2320</v>
      </c>
      <c r="C3731" s="10">
        <v>6</v>
      </c>
      <c r="D3731" s="10">
        <v>0.7</v>
      </c>
      <c r="E3731" s="10">
        <v>30</v>
      </c>
    </row>
    <row r="3732" spans="1:5">
      <c r="A3732" t="s">
        <v>2319</v>
      </c>
      <c r="B3732" t="s">
        <v>2320</v>
      </c>
      <c r="C3732" s="10">
        <v>6</v>
      </c>
      <c r="D3732" s="10">
        <v>1</v>
      </c>
      <c r="E3732" s="10">
        <v>30</v>
      </c>
    </row>
    <row r="3733" spans="1:5">
      <c r="A3733" t="s">
        <v>4420</v>
      </c>
      <c r="B3733" t="s">
        <v>4421</v>
      </c>
      <c r="C3733" s="10">
        <v>6</v>
      </c>
      <c r="D3733" s="10">
        <v>0.7</v>
      </c>
      <c r="E3733" s="10">
        <v>17</v>
      </c>
    </row>
    <row r="3734" spans="1:5">
      <c r="A3734" t="s">
        <v>5090</v>
      </c>
      <c r="B3734" t="s">
        <v>5091</v>
      </c>
      <c r="C3734" s="10">
        <v>6</v>
      </c>
      <c r="D3734" s="10">
        <v>0.7</v>
      </c>
      <c r="E3734" s="10">
        <v>38</v>
      </c>
    </row>
    <row r="3735" spans="1:5">
      <c r="A3735" t="s">
        <v>10210</v>
      </c>
      <c r="B3735" t="s">
        <v>9035</v>
      </c>
      <c r="C3735" s="10">
        <v>6</v>
      </c>
      <c r="D3735" s="10">
        <v>0.7</v>
      </c>
      <c r="E3735" s="10">
        <v>38</v>
      </c>
    </row>
    <row r="3736" spans="1:5">
      <c r="A3736" t="s">
        <v>1154</v>
      </c>
      <c r="B3736" t="s">
        <v>1155</v>
      </c>
      <c r="C3736" s="10">
        <v>6</v>
      </c>
      <c r="D3736" s="10">
        <v>0.7</v>
      </c>
      <c r="E3736" s="10">
        <v>40</v>
      </c>
    </row>
    <row r="3737" spans="1:5">
      <c r="A3737" t="s">
        <v>1898</v>
      </c>
      <c r="B3737" t="s">
        <v>1899</v>
      </c>
      <c r="C3737" s="10">
        <v>6</v>
      </c>
      <c r="D3737" s="10">
        <v>0.5</v>
      </c>
      <c r="E3737" s="10">
        <v>57</v>
      </c>
    </row>
    <row r="3738" spans="1:5">
      <c r="A3738" t="s">
        <v>10211</v>
      </c>
      <c r="B3738" t="s">
        <v>9036</v>
      </c>
      <c r="C3738" s="10">
        <v>20</v>
      </c>
      <c r="D3738" s="10">
        <v>235</v>
      </c>
      <c r="E3738" s="10">
        <v>0</v>
      </c>
    </row>
    <row r="3739" spans="1:5">
      <c r="A3739" t="s">
        <v>5092</v>
      </c>
      <c r="B3739" t="s">
        <v>5093</v>
      </c>
      <c r="C3739" s="10">
        <v>6</v>
      </c>
      <c r="D3739" s="10">
        <v>0.7</v>
      </c>
      <c r="E3739" s="10">
        <v>38</v>
      </c>
    </row>
    <row r="3740" spans="1:5">
      <c r="A3740" t="s">
        <v>10212</v>
      </c>
      <c r="B3740" t="s">
        <v>9037</v>
      </c>
      <c r="C3740" s="10">
        <v>6</v>
      </c>
      <c r="D3740" s="10">
        <v>0.75</v>
      </c>
      <c r="E3740" s="10">
        <v>13</v>
      </c>
    </row>
    <row r="3741" spans="1:5">
      <c r="A3741" t="s">
        <v>10213</v>
      </c>
      <c r="B3741" t="s">
        <v>9038</v>
      </c>
      <c r="C3741" s="10">
        <v>6</v>
      </c>
      <c r="D3741" s="10">
        <v>0.75</v>
      </c>
      <c r="E3741" s="10">
        <v>13.5</v>
      </c>
    </row>
    <row r="3742" spans="1:5">
      <c r="A3742" t="s">
        <v>1156</v>
      </c>
      <c r="B3742" t="s">
        <v>1157</v>
      </c>
      <c r="C3742" s="10">
        <v>6</v>
      </c>
      <c r="D3742" s="10">
        <v>0.7</v>
      </c>
      <c r="E3742" s="10">
        <v>40</v>
      </c>
    </row>
    <row r="3743" spans="1:5">
      <c r="A3743" t="s">
        <v>5959</v>
      </c>
      <c r="B3743" t="s">
        <v>1157</v>
      </c>
      <c r="C3743" s="10">
        <v>1</v>
      </c>
      <c r="D3743" s="10">
        <v>4.5</v>
      </c>
      <c r="E3743" s="10">
        <v>40</v>
      </c>
    </row>
    <row r="3744" spans="1:5">
      <c r="A3744" t="s">
        <v>5263</v>
      </c>
      <c r="B3744" t="s">
        <v>5264</v>
      </c>
      <c r="C3744" s="10">
        <v>6</v>
      </c>
      <c r="D3744" s="10">
        <v>0.7</v>
      </c>
      <c r="E3744" s="10">
        <v>46</v>
      </c>
    </row>
    <row r="3745" spans="1:5">
      <c r="A3745" t="s">
        <v>5265</v>
      </c>
      <c r="B3745" t="s">
        <v>5266</v>
      </c>
      <c r="C3745" s="10">
        <v>6</v>
      </c>
      <c r="D3745" s="10">
        <v>0.7</v>
      </c>
      <c r="E3745" s="10">
        <v>46</v>
      </c>
    </row>
    <row r="3746" spans="1:5">
      <c r="A3746" t="s">
        <v>4422</v>
      </c>
      <c r="B3746" t="s">
        <v>4423</v>
      </c>
      <c r="C3746" s="10">
        <v>6</v>
      </c>
      <c r="D3746" s="10">
        <v>0.7</v>
      </c>
      <c r="E3746" s="10">
        <v>27</v>
      </c>
    </row>
    <row r="3747" spans="1:5">
      <c r="A3747" t="s">
        <v>5094</v>
      </c>
      <c r="B3747" t="s">
        <v>5095</v>
      </c>
      <c r="C3747" s="10">
        <v>6</v>
      </c>
      <c r="D3747" s="10">
        <v>0.7</v>
      </c>
      <c r="E3747" s="10">
        <v>38</v>
      </c>
    </row>
    <row r="3748" spans="1:5">
      <c r="A3748" t="s">
        <v>1158</v>
      </c>
      <c r="B3748" t="s">
        <v>1159</v>
      </c>
      <c r="C3748" s="10">
        <v>6</v>
      </c>
      <c r="D3748" s="10">
        <v>0.7</v>
      </c>
      <c r="E3748" s="10">
        <v>40</v>
      </c>
    </row>
    <row r="3749" spans="1:5">
      <c r="A3749" t="s">
        <v>1160</v>
      </c>
      <c r="B3749" t="s">
        <v>1161</v>
      </c>
      <c r="C3749" s="10">
        <v>6</v>
      </c>
      <c r="D3749" s="10">
        <v>0.7</v>
      </c>
      <c r="E3749" s="10">
        <v>40</v>
      </c>
    </row>
    <row r="3750" spans="1:5">
      <c r="A3750" t="s">
        <v>1162</v>
      </c>
      <c r="B3750" t="s">
        <v>1163</v>
      </c>
      <c r="C3750" s="10">
        <v>6</v>
      </c>
      <c r="D3750" s="10">
        <v>0.7</v>
      </c>
      <c r="E3750" s="10">
        <v>40</v>
      </c>
    </row>
    <row r="3751" spans="1:5">
      <c r="A3751" t="s">
        <v>5559</v>
      </c>
      <c r="B3751" t="s">
        <v>5560</v>
      </c>
      <c r="C3751" s="10">
        <v>6</v>
      </c>
      <c r="D3751" s="10">
        <v>0.7</v>
      </c>
      <c r="E3751" s="10">
        <v>43</v>
      </c>
    </row>
    <row r="3752" spans="1:5">
      <c r="A3752" t="s">
        <v>1900</v>
      </c>
      <c r="B3752" t="s">
        <v>1901</v>
      </c>
      <c r="C3752" s="10">
        <v>6</v>
      </c>
      <c r="D3752" s="10">
        <v>0.5</v>
      </c>
      <c r="E3752" s="10">
        <v>4.9000000000000004</v>
      </c>
    </row>
    <row r="3753" spans="1:5">
      <c r="A3753" t="s">
        <v>1164</v>
      </c>
      <c r="B3753" t="s">
        <v>1165</v>
      </c>
      <c r="C3753" s="10">
        <v>6</v>
      </c>
      <c r="D3753" s="10">
        <v>0.7</v>
      </c>
      <c r="E3753" s="10">
        <v>40</v>
      </c>
    </row>
    <row r="3754" spans="1:5">
      <c r="A3754" t="s">
        <v>10214</v>
      </c>
      <c r="B3754" t="s">
        <v>9039</v>
      </c>
      <c r="C3754" s="10">
        <v>6</v>
      </c>
      <c r="D3754" s="10">
        <v>0.7</v>
      </c>
      <c r="E3754" s="10">
        <v>40</v>
      </c>
    </row>
    <row r="3755" spans="1:5">
      <c r="A3755" t="s">
        <v>4424</v>
      </c>
      <c r="B3755" t="s">
        <v>4425</v>
      </c>
      <c r="C3755" s="10">
        <v>6</v>
      </c>
      <c r="D3755" s="10">
        <v>0.7</v>
      </c>
      <c r="E3755" s="10">
        <v>45.3</v>
      </c>
    </row>
    <row r="3756" spans="1:5">
      <c r="A3756" t="s">
        <v>10215</v>
      </c>
      <c r="B3756" t="s">
        <v>9040</v>
      </c>
      <c r="C3756" s="10">
        <v>24</v>
      </c>
      <c r="D3756" s="10">
        <v>0.25</v>
      </c>
      <c r="E3756" s="10">
        <v>0</v>
      </c>
    </row>
    <row r="3757" spans="1:5">
      <c r="A3757" t="s">
        <v>6402</v>
      </c>
      <c r="B3757" t="s">
        <v>6403</v>
      </c>
      <c r="C3757" s="10">
        <v>24</v>
      </c>
      <c r="D3757" s="10">
        <v>0.25</v>
      </c>
      <c r="E3757" s="10">
        <v>0</v>
      </c>
    </row>
    <row r="3758" spans="1:5">
      <c r="A3758" t="s">
        <v>4426</v>
      </c>
      <c r="B3758" t="s">
        <v>4427</v>
      </c>
      <c r="C3758" s="10">
        <v>6</v>
      </c>
      <c r="D3758" s="10">
        <v>0.7</v>
      </c>
      <c r="E3758" s="10">
        <v>58.4</v>
      </c>
    </row>
    <row r="3759" spans="1:5">
      <c r="A3759" t="s">
        <v>6060</v>
      </c>
      <c r="B3759" t="s">
        <v>6061</v>
      </c>
      <c r="C3759" s="10">
        <v>3</v>
      </c>
      <c r="D3759" s="10">
        <v>0.7</v>
      </c>
      <c r="E3759" s="10">
        <v>40</v>
      </c>
    </row>
    <row r="3760" spans="1:5">
      <c r="A3760" t="s">
        <v>10216</v>
      </c>
      <c r="B3760" t="s">
        <v>9041</v>
      </c>
      <c r="C3760" s="10">
        <v>3</v>
      </c>
      <c r="D3760" s="10">
        <v>0.7</v>
      </c>
      <c r="E3760" s="10">
        <v>40</v>
      </c>
    </row>
    <row r="3761" spans="1:5">
      <c r="A3761" t="s">
        <v>10217</v>
      </c>
      <c r="B3761" t="s">
        <v>9042</v>
      </c>
      <c r="C3761" s="10">
        <v>3</v>
      </c>
      <c r="D3761" s="10">
        <v>0.7</v>
      </c>
      <c r="E3761" s="10">
        <v>58.1</v>
      </c>
    </row>
    <row r="3762" spans="1:5">
      <c r="A3762" t="s">
        <v>6404</v>
      </c>
      <c r="B3762" t="s">
        <v>6405</v>
      </c>
      <c r="C3762" s="10">
        <v>3</v>
      </c>
      <c r="D3762" s="10">
        <v>0.7</v>
      </c>
      <c r="E3762" s="10">
        <v>46</v>
      </c>
    </row>
    <row r="3763" spans="1:5">
      <c r="A3763" t="s">
        <v>6406</v>
      </c>
      <c r="B3763" t="s">
        <v>6407</v>
      </c>
      <c r="C3763" s="10">
        <v>3</v>
      </c>
      <c r="D3763" s="10">
        <v>0.7</v>
      </c>
      <c r="E3763" s="10">
        <v>46</v>
      </c>
    </row>
    <row r="3764" spans="1:5">
      <c r="A3764" t="s">
        <v>10218</v>
      </c>
      <c r="B3764" t="s">
        <v>9043</v>
      </c>
      <c r="C3764" s="10">
        <v>3</v>
      </c>
      <c r="D3764" s="10">
        <v>0.7</v>
      </c>
      <c r="E3764" s="10">
        <v>53.6</v>
      </c>
    </row>
    <row r="3765" spans="1:5">
      <c r="A3765" t="s">
        <v>10219</v>
      </c>
      <c r="B3765" t="s">
        <v>9044</v>
      </c>
      <c r="C3765" s="10">
        <v>3</v>
      </c>
      <c r="D3765" s="10">
        <v>0.7</v>
      </c>
      <c r="E3765" s="10">
        <v>53.5</v>
      </c>
    </row>
    <row r="3766" spans="1:5">
      <c r="A3766" t="s">
        <v>6408</v>
      </c>
      <c r="B3766" t="s">
        <v>6409</v>
      </c>
      <c r="C3766" s="10">
        <v>3</v>
      </c>
      <c r="D3766" s="10">
        <v>0.7</v>
      </c>
      <c r="E3766" s="10">
        <v>46</v>
      </c>
    </row>
    <row r="3767" spans="1:5">
      <c r="A3767" t="s">
        <v>10220</v>
      </c>
      <c r="B3767" t="s">
        <v>9045</v>
      </c>
      <c r="C3767" s="10">
        <v>48</v>
      </c>
      <c r="D3767" s="10">
        <v>0.05</v>
      </c>
      <c r="E3767" s="10">
        <v>40</v>
      </c>
    </row>
    <row r="3768" spans="1:5">
      <c r="A3768" t="s">
        <v>6062</v>
      </c>
      <c r="B3768" t="s">
        <v>6063</v>
      </c>
      <c r="C3768" s="10">
        <v>4</v>
      </c>
      <c r="D3768" s="10">
        <v>0.7</v>
      </c>
      <c r="E3768" s="10">
        <v>40</v>
      </c>
    </row>
    <row r="3769" spans="1:5">
      <c r="A3769" t="s">
        <v>6064</v>
      </c>
      <c r="B3769" t="s">
        <v>6065</v>
      </c>
      <c r="C3769" s="10">
        <v>4</v>
      </c>
      <c r="D3769" s="10">
        <v>0.7</v>
      </c>
      <c r="E3769" s="10">
        <v>40</v>
      </c>
    </row>
    <row r="3770" spans="1:5">
      <c r="A3770" t="s">
        <v>6066</v>
      </c>
      <c r="B3770" t="s">
        <v>6067</v>
      </c>
      <c r="C3770" s="10">
        <v>4</v>
      </c>
      <c r="D3770" s="10">
        <v>0.7</v>
      </c>
      <c r="E3770" s="10">
        <v>40</v>
      </c>
    </row>
    <row r="3771" spans="1:5">
      <c r="A3771" t="s">
        <v>1166</v>
      </c>
      <c r="B3771" t="s">
        <v>1167</v>
      </c>
      <c r="C3771" s="10">
        <v>6</v>
      </c>
      <c r="D3771" s="10">
        <v>0.7</v>
      </c>
      <c r="E3771" s="10">
        <v>40</v>
      </c>
    </row>
    <row r="3772" spans="1:5">
      <c r="A3772" t="s">
        <v>6068</v>
      </c>
      <c r="B3772" t="s">
        <v>5960</v>
      </c>
      <c r="C3772" s="10">
        <v>1</v>
      </c>
      <c r="D3772" s="10">
        <v>0.7</v>
      </c>
      <c r="E3772" s="10">
        <v>40</v>
      </c>
    </row>
    <row r="3773" spans="1:5">
      <c r="A3773" t="s">
        <v>10221</v>
      </c>
      <c r="B3773" t="s">
        <v>9046</v>
      </c>
      <c r="C3773" s="10">
        <v>1</v>
      </c>
      <c r="D3773" s="10">
        <v>1.5</v>
      </c>
      <c r="E3773" s="10">
        <v>40</v>
      </c>
    </row>
    <row r="3774" spans="1:5">
      <c r="A3774" t="s">
        <v>10222</v>
      </c>
      <c r="B3774" t="s">
        <v>9047</v>
      </c>
      <c r="C3774" s="10">
        <v>6</v>
      </c>
      <c r="D3774" s="10">
        <v>0.7</v>
      </c>
      <c r="E3774" s="10">
        <v>42</v>
      </c>
    </row>
    <row r="3775" spans="1:5">
      <c r="A3775" t="s">
        <v>5844</v>
      </c>
      <c r="B3775" t="s">
        <v>1169</v>
      </c>
      <c r="C3775" s="10">
        <v>12</v>
      </c>
      <c r="D3775" s="10">
        <v>0.7</v>
      </c>
      <c r="E3775" s="10">
        <v>40</v>
      </c>
    </row>
    <row r="3776" spans="1:5">
      <c r="A3776" t="s">
        <v>1168</v>
      </c>
      <c r="B3776" t="s">
        <v>1169</v>
      </c>
      <c r="C3776" s="10">
        <v>6</v>
      </c>
      <c r="D3776" s="10">
        <v>0.7</v>
      </c>
      <c r="E3776" s="10">
        <v>40</v>
      </c>
    </row>
    <row r="3777" spans="1:5">
      <c r="A3777" t="s">
        <v>5746</v>
      </c>
      <c r="B3777" t="s">
        <v>1169</v>
      </c>
      <c r="C3777" s="10">
        <v>12</v>
      </c>
      <c r="D3777" s="10">
        <v>1</v>
      </c>
      <c r="E3777" s="10">
        <v>40</v>
      </c>
    </row>
    <row r="3778" spans="1:5">
      <c r="A3778" t="s">
        <v>5747</v>
      </c>
      <c r="B3778" t="s">
        <v>5748</v>
      </c>
      <c r="C3778" s="10">
        <v>12</v>
      </c>
      <c r="D3778" s="10">
        <v>1</v>
      </c>
      <c r="E3778" s="10">
        <v>40</v>
      </c>
    </row>
    <row r="3779" spans="1:5">
      <c r="A3779" t="s">
        <v>10223</v>
      </c>
      <c r="B3779" t="s">
        <v>9048</v>
      </c>
      <c r="C3779" s="10">
        <v>6</v>
      </c>
      <c r="D3779" s="10">
        <v>0.7</v>
      </c>
      <c r="E3779" s="10">
        <v>40</v>
      </c>
    </row>
    <row r="3780" spans="1:5">
      <c r="A3780" t="s">
        <v>1170</v>
      </c>
      <c r="B3780" t="s">
        <v>1171</v>
      </c>
      <c r="C3780" s="10">
        <v>6</v>
      </c>
      <c r="D3780" s="10">
        <v>0.7</v>
      </c>
      <c r="E3780" s="10">
        <v>40</v>
      </c>
    </row>
    <row r="3781" spans="1:5">
      <c r="A3781" t="s">
        <v>5845</v>
      </c>
      <c r="B3781" t="s">
        <v>1171</v>
      </c>
      <c r="C3781" s="10">
        <v>12</v>
      </c>
      <c r="D3781" s="10">
        <v>0.7</v>
      </c>
      <c r="E3781" s="10">
        <v>40</v>
      </c>
    </row>
    <row r="3782" spans="1:5">
      <c r="A3782" t="s">
        <v>5846</v>
      </c>
      <c r="B3782" t="s">
        <v>5847</v>
      </c>
      <c r="C3782" s="10">
        <v>12</v>
      </c>
      <c r="D3782" s="10">
        <v>0.7</v>
      </c>
      <c r="E3782" s="10">
        <v>40</v>
      </c>
    </row>
    <row r="3783" spans="1:5">
      <c r="A3783" t="s">
        <v>4805</v>
      </c>
      <c r="B3783" t="s">
        <v>2322</v>
      </c>
      <c r="C3783" s="10">
        <v>6</v>
      </c>
      <c r="D3783" s="10">
        <v>0.7</v>
      </c>
      <c r="E3783" s="10">
        <v>45</v>
      </c>
    </row>
    <row r="3784" spans="1:5">
      <c r="A3784" t="s">
        <v>2321</v>
      </c>
      <c r="B3784" t="s">
        <v>2322</v>
      </c>
      <c r="C3784" s="10">
        <v>6</v>
      </c>
      <c r="D3784" s="10">
        <v>1</v>
      </c>
      <c r="E3784" s="10">
        <v>45</v>
      </c>
    </row>
    <row r="3785" spans="1:5">
      <c r="A3785" t="s">
        <v>6883</v>
      </c>
      <c r="B3785" t="s">
        <v>2322</v>
      </c>
      <c r="C3785" s="10">
        <v>12</v>
      </c>
      <c r="D3785" s="10">
        <v>1</v>
      </c>
      <c r="E3785" s="10">
        <v>45</v>
      </c>
    </row>
    <row r="3786" spans="1:5">
      <c r="A3786" t="s">
        <v>2795</v>
      </c>
      <c r="B3786" t="s">
        <v>2796</v>
      </c>
      <c r="C3786" s="10">
        <v>6</v>
      </c>
      <c r="D3786" s="10">
        <v>0.75</v>
      </c>
      <c r="E3786" s="10">
        <v>46.85</v>
      </c>
    </row>
    <row r="3787" spans="1:5">
      <c r="A3787" t="s">
        <v>2965</v>
      </c>
      <c r="B3787" t="s">
        <v>2966</v>
      </c>
      <c r="C3787" s="10">
        <v>6</v>
      </c>
      <c r="D3787" s="10">
        <v>0.75</v>
      </c>
      <c r="E3787" s="10">
        <v>13</v>
      </c>
    </row>
    <row r="3788" spans="1:5">
      <c r="A3788" t="s">
        <v>2797</v>
      </c>
      <c r="B3788" t="s">
        <v>2798</v>
      </c>
      <c r="C3788" s="10">
        <v>6</v>
      </c>
      <c r="D3788" s="10">
        <v>0.75</v>
      </c>
      <c r="E3788" s="10">
        <v>14</v>
      </c>
    </row>
    <row r="3789" spans="1:5">
      <c r="A3789" t="s">
        <v>2799</v>
      </c>
      <c r="B3789" t="s">
        <v>2800</v>
      </c>
      <c r="C3789" s="10">
        <v>6</v>
      </c>
      <c r="D3789" s="10">
        <v>0.75</v>
      </c>
      <c r="E3789" s="10">
        <v>14</v>
      </c>
    </row>
    <row r="3790" spans="1:5">
      <c r="A3790" t="s">
        <v>10224</v>
      </c>
      <c r="B3790" t="s">
        <v>9049</v>
      </c>
      <c r="C3790" s="10">
        <v>12</v>
      </c>
      <c r="D3790" s="10">
        <v>0.5</v>
      </c>
      <c r="E3790" s="10">
        <v>30</v>
      </c>
    </row>
    <row r="3791" spans="1:5">
      <c r="A3791" t="s">
        <v>6750</v>
      </c>
      <c r="B3791" t="s">
        <v>6751</v>
      </c>
      <c r="C3791" s="10">
        <v>12</v>
      </c>
      <c r="D3791" s="10">
        <v>0.5</v>
      </c>
      <c r="E3791" s="10">
        <v>45</v>
      </c>
    </row>
    <row r="3792" spans="1:5">
      <c r="A3792" t="s">
        <v>6752</v>
      </c>
      <c r="B3792" t="s">
        <v>6753</v>
      </c>
      <c r="C3792" s="10">
        <v>12</v>
      </c>
      <c r="D3792" s="10">
        <v>0.5</v>
      </c>
      <c r="E3792" s="10">
        <v>30</v>
      </c>
    </row>
    <row r="3793" spans="1:5">
      <c r="A3793" t="s">
        <v>4428</v>
      </c>
      <c r="B3793" t="s">
        <v>4429</v>
      </c>
      <c r="C3793" s="10">
        <v>6</v>
      </c>
      <c r="D3793" s="10">
        <v>0.7</v>
      </c>
      <c r="E3793" s="10">
        <v>50</v>
      </c>
    </row>
    <row r="3794" spans="1:5">
      <c r="A3794" t="s">
        <v>1172</v>
      </c>
      <c r="B3794" t="s">
        <v>1173</v>
      </c>
      <c r="C3794" s="10">
        <v>6</v>
      </c>
      <c r="D3794" s="10">
        <v>0.7</v>
      </c>
      <c r="E3794" s="10">
        <v>40</v>
      </c>
    </row>
    <row r="3795" spans="1:5">
      <c r="A3795" t="s">
        <v>1508</v>
      </c>
      <c r="B3795" t="s">
        <v>1509</v>
      </c>
      <c r="C3795" s="10">
        <v>6</v>
      </c>
      <c r="D3795" s="10">
        <v>1</v>
      </c>
      <c r="E3795" s="10">
        <v>40</v>
      </c>
    </row>
    <row r="3796" spans="1:5">
      <c r="A3796" t="s">
        <v>1510</v>
      </c>
      <c r="B3796" t="s">
        <v>1511</v>
      </c>
      <c r="C3796" s="10">
        <v>6</v>
      </c>
      <c r="D3796" s="10">
        <v>1</v>
      </c>
      <c r="E3796" s="10">
        <v>40</v>
      </c>
    </row>
    <row r="3797" spans="1:5">
      <c r="A3797" t="s">
        <v>1174</v>
      </c>
      <c r="B3797" t="s">
        <v>1175</v>
      </c>
      <c r="C3797" s="10">
        <v>6</v>
      </c>
      <c r="D3797" s="10">
        <v>0.7</v>
      </c>
      <c r="E3797" s="10">
        <v>40</v>
      </c>
    </row>
    <row r="3798" spans="1:5">
      <c r="A3798" t="s">
        <v>1176</v>
      </c>
      <c r="B3798" t="s">
        <v>1177</v>
      </c>
      <c r="C3798" s="10">
        <v>6</v>
      </c>
      <c r="D3798" s="10">
        <v>0.7</v>
      </c>
      <c r="E3798" s="10">
        <v>40</v>
      </c>
    </row>
    <row r="3799" spans="1:5">
      <c r="A3799" t="s">
        <v>4430</v>
      </c>
      <c r="B3799" t="s">
        <v>4431</v>
      </c>
      <c r="C3799" s="10">
        <v>6</v>
      </c>
      <c r="D3799" s="10">
        <v>0.7</v>
      </c>
      <c r="E3799" s="10">
        <v>14</v>
      </c>
    </row>
    <row r="3800" spans="1:5">
      <c r="A3800" t="s">
        <v>4432</v>
      </c>
      <c r="B3800" t="s">
        <v>4433</v>
      </c>
      <c r="C3800" s="10">
        <v>6</v>
      </c>
      <c r="D3800" s="10">
        <v>0.7</v>
      </c>
      <c r="E3800" s="10">
        <v>14.7</v>
      </c>
    </row>
    <row r="3801" spans="1:5">
      <c r="A3801" t="s">
        <v>4434</v>
      </c>
      <c r="B3801" t="s">
        <v>4435</v>
      </c>
      <c r="C3801" s="10">
        <v>6</v>
      </c>
      <c r="D3801" s="10">
        <v>0.7</v>
      </c>
      <c r="E3801" s="10">
        <v>17</v>
      </c>
    </row>
    <row r="3802" spans="1:5">
      <c r="A3802" t="s">
        <v>4436</v>
      </c>
      <c r="B3802" t="s">
        <v>4437</v>
      </c>
      <c r="C3802" s="10">
        <v>6</v>
      </c>
      <c r="D3802" s="10">
        <v>0.7</v>
      </c>
      <c r="E3802" s="10">
        <v>14.9</v>
      </c>
    </row>
    <row r="3803" spans="1:5">
      <c r="A3803" t="s">
        <v>6918</v>
      </c>
      <c r="B3803" t="s">
        <v>6919</v>
      </c>
      <c r="C3803" s="10">
        <v>6</v>
      </c>
      <c r="D3803" s="10">
        <v>0.5</v>
      </c>
      <c r="E3803" s="10">
        <v>56</v>
      </c>
    </row>
    <row r="3804" spans="1:5">
      <c r="A3804" t="s">
        <v>10225</v>
      </c>
      <c r="B3804" t="s">
        <v>9050</v>
      </c>
      <c r="C3804" s="10">
        <v>6</v>
      </c>
      <c r="D3804" s="10">
        <v>0.5</v>
      </c>
      <c r="E3804" s="10">
        <v>38</v>
      </c>
    </row>
    <row r="3805" spans="1:5">
      <c r="A3805" t="s">
        <v>10226</v>
      </c>
      <c r="B3805" t="s">
        <v>9051</v>
      </c>
      <c r="C3805" s="10">
        <v>6</v>
      </c>
      <c r="D3805" s="10">
        <v>0.5</v>
      </c>
      <c r="E3805" s="10">
        <v>38</v>
      </c>
    </row>
    <row r="3806" spans="1:5">
      <c r="A3806" t="s">
        <v>10227</v>
      </c>
      <c r="B3806" t="s">
        <v>9052</v>
      </c>
      <c r="C3806" s="10">
        <v>6</v>
      </c>
      <c r="D3806" s="10">
        <v>0.5</v>
      </c>
      <c r="E3806" s="10">
        <v>38</v>
      </c>
    </row>
    <row r="3807" spans="1:5">
      <c r="A3807" t="s">
        <v>4438</v>
      </c>
      <c r="B3807" t="s">
        <v>4439</v>
      </c>
      <c r="C3807" s="10">
        <v>6</v>
      </c>
      <c r="D3807" s="10">
        <v>0.7</v>
      </c>
      <c r="E3807" s="10">
        <v>70</v>
      </c>
    </row>
    <row r="3808" spans="1:5">
      <c r="A3808" t="s">
        <v>4806</v>
      </c>
      <c r="B3808" t="s">
        <v>4807</v>
      </c>
      <c r="C3808" s="10">
        <v>6</v>
      </c>
      <c r="D3808" s="10">
        <v>0.7</v>
      </c>
      <c r="E3808" s="10">
        <v>45</v>
      </c>
    </row>
    <row r="3809" spans="1:5">
      <c r="A3809" t="s">
        <v>4916</v>
      </c>
      <c r="B3809" t="s">
        <v>2324</v>
      </c>
      <c r="C3809" s="10">
        <v>6</v>
      </c>
      <c r="D3809" s="10">
        <v>0.7</v>
      </c>
      <c r="E3809" s="10">
        <v>37.5</v>
      </c>
    </row>
    <row r="3810" spans="1:5">
      <c r="A3810" t="s">
        <v>2323</v>
      </c>
      <c r="B3810" t="s">
        <v>2324</v>
      </c>
      <c r="C3810" s="10">
        <v>6</v>
      </c>
      <c r="D3810" s="10">
        <v>1</v>
      </c>
      <c r="E3810" s="10">
        <v>37.5</v>
      </c>
    </row>
    <row r="3811" spans="1:5">
      <c r="A3811" t="s">
        <v>2325</v>
      </c>
      <c r="B3811" t="s">
        <v>2326</v>
      </c>
      <c r="C3811" s="10">
        <v>6</v>
      </c>
      <c r="D3811" s="10">
        <v>1</v>
      </c>
      <c r="E3811" s="10">
        <v>37.5</v>
      </c>
    </row>
    <row r="3812" spans="1:5">
      <c r="A3812" t="s">
        <v>10228</v>
      </c>
      <c r="B3812" t="s">
        <v>9053</v>
      </c>
      <c r="C3812" s="10">
        <v>4</v>
      </c>
      <c r="D3812" s="10">
        <v>0.7</v>
      </c>
      <c r="E3812" s="10">
        <v>40</v>
      </c>
    </row>
    <row r="3813" spans="1:5">
      <c r="A3813" t="s">
        <v>10229</v>
      </c>
      <c r="B3813" t="s">
        <v>9054</v>
      </c>
      <c r="C3813" s="10">
        <v>12</v>
      </c>
      <c r="D3813" s="10">
        <v>0.05</v>
      </c>
      <c r="E3813" s="10">
        <v>40</v>
      </c>
    </row>
    <row r="3814" spans="1:5">
      <c r="A3814" t="s">
        <v>10230</v>
      </c>
      <c r="B3814" t="s">
        <v>9055</v>
      </c>
      <c r="C3814" s="10">
        <v>6</v>
      </c>
      <c r="D3814" s="10">
        <v>0.5</v>
      </c>
      <c r="E3814" s="10">
        <v>57.5</v>
      </c>
    </row>
    <row r="3815" spans="1:5">
      <c r="A3815" t="s">
        <v>10231</v>
      </c>
      <c r="B3815" t="s">
        <v>9056</v>
      </c>
      <c r="C3815" s="10">
        <v>6</v>
      </c>
      <c r="D3815" s="10">
        <v>0.5</v>
      </c>
      <c r="E3815" s="10">
        <v>65</v>
      </c>
    </row>
    <row r="3816" spans="1:5">
      <c r="A3816" t="s">
        <v>1178</v>
      </c>
      <c r="B3816" t="s">
        <v>1179</v>
      </c>
      <c r="C3816" s="10">
        <v>6</v>
      </c>
      <c r="D3816" s="10">
        <v>0.7</v>
      </c>
      <c r="E3816" s="10">
        <v>40</v>
      </c>
    </row>
    <row r="3817" spans="1:5">
      <c r="A3817" t="s">
        <v>4440</v>
      </c>
      <c r="B3817" t="s">
        <v>4441</v>
      </c>
      <c r="C3817" s="10">
        <v>6</v>
      </c>
      <c r="D3817" s="10">
        <v>0.7</v>
      </c>
      <c r="E3817" s="10">
        <v>55.5</v>
      </c>
    </row>
    <row r="3818" spans="1:5">
      <c r="A3818" t="s">
        <v>1180</v>
      </c>
      <c r="B3818" t="s">
        <v>1181</v>
      </c>
      <c r="C3818" s="10">
        <v>6</v>
      </c>
      <c r="D3818" s="10">
        <v>0.7</v>
      </c>
      <c r="E3818" s="10">
        <v>40</v>
      </c>
    </row>
    <row r="3819" spans="1:5">
      <c r="A3819" t="s">
        <v>1182</v>
      </c>
      <c r="B3819" t="s">
        <v>1183</v>
      </c>
      <c r="C3819" s="10">
        <v>6</v>
      </c>
      <c r="D3819" s="10">
        <v>0.7</v>
      </c>
      <c r="E3819" s="10">
        <v>40</v>
      </c>
    </row>
    <row r="3820" spans="1:5">
      <c r="A3820" t="s">
        <v>4442</v>
      </c>
      <c r="B3820" t="s">
        <v>4443</v>
      </c>
      <c r="C3820" s="10">
        <v>6</v>
      </c>
      <c r="D3820" s="10">
        <v>0.7</v>
      </c>
      <c r="E3820" s="10">
        <v>20</v>
      </c>
    </row>
    <row r="3821" spans="1:5">
      <c r="A3821" t="s">
        <v>10232</v>
      </c>
      <c r="B3821" t="s">
        <v>9057</v>
      </c>
      <c r="C3821" s="10">
        <v>6</v>
      </c>
      <c r="D3821" s="10">
        <v>0.7</v>
      </c>
      <c r="E3821" s="10">
        <v>20</v>
      </c>
    </row>
    <row r="3822" spans="1:5">
      <c r="A3822" t="s">
        <v>4444</v>
      </c>
      <c r="B3822" t="s">
        <v>4445</v>
      </c>
      <c r="C3822" s="10">
        <v>6</v>
      </c>
      <c r="D3822" s="10">
        <v>0.7</v>
      </c>
      <c r="E3822" s="10">
        <v>20</v>
      </c>
    </row>
    <row r="3823" spans="1:5">
      <c r="A3823" t="s">
        <v>10233</v>
      </c>
      <c r="B3823" t="s">
        <v>6410</v>
      </c>
      <c r="C3823" s="10">
        <v>25</v>
      </c>
      <c r="D3823" s="10">
        <v>0.04</v>
      </c>
      <c r="E3823" s="10">
        <v>22</v>
      </c>
    </row>
    <row r="3824" spans="1:5">
      <c r="A3824" t="s">
        <v>6754</v>
      </c>
      <c r="B3824" t="s">
        <v>6410</v>
      </c>
      <c r="C3824" s="10">
        <v>12</v>
      </c>
      <c r="D3824" s="10">
        <v>0.2</v>
      </c>
      <c r="E3824" s="10">
        <v>22</v>
      </c>
    </row>
    <row r="3825" spans="1:5">
      <c r="A3825" t="s">
        <v>10234</v>
      </c>
      <c r="B3825" t="s">
        <v>6410</v>
      </c>
      <c r="C3825" s="10">
        <v>12</v>
      </c>
      <c r="D3825" s="10">
        <v>0.2</v>
      </c>
      <c r="E3825" s="10">
        <v>22</v>
      </c>
    </row>
    <row r="3826" spans="1:5">
      <c r="A3826" t="s">
        <v>2327</v>
      </c>
      <c r="B3826" t="s">
        <v>2328</v>
      </c>
      <c r="C3826" s="10">
        <v>6</v>
      </c>
      <c r="D3826" s="10">
        <v>1</v>
      </c>
      <c r="E3826" s="10">
        <v>22</v>
      </c>
    </row>
    <row r="3827" spans="1:5">
      <c r="A3827" t="s">
        <v>10235</v>
      </c>
      <c r="B3827" t="s">
        <v>9058</v>
      </c>
      <c r="C3827" s="10">
        <v>6</v>
      </c>
      <c r="D3827" s="10">
        <v>0.7</v>
      </c>
      <c r="E3827" s="10">
        <v>40</v>
      </c>
    </row>
    <row r="3828" spans="1:5">
      <c r="A3828" t="s">
        <v>10236</v>
      </c>
      <c r="B3828" t="s">
        <v>9059</v>
      </c>
      <c r="C3828" s="10">
        <v>6</v>
      </c>
      <c r="D3828" s="10">
        <v>0.7</v>
      </c>
      <c r="E3828" s="10">
        <v>40</v>
      </c>
    </row>
    <row r="3829" spans="1:5">
      <c r="A3829" t="s">
        <v>1184</v>
      </c>
      <c r="B3829" t="s">
        <v>1185</v>
      </c>
      <c r="C3829" s="10">
        <v>6</v>
      </c>
      <c r="D3829" s="10">
        <v>0.7</v>
      </c>
      <c r="E3829" s="10">
        <v>40</v>
      </c>
    </row>
    <row r="3830" spans="1:5">
      <c r="A3830" t="s">
        <v>1607</v>
      </c>
      <c r="B3830" t="s">
        <v>1608</v>
      </c>
      <c r="C3830" s="10">
        <v>6</v>
      </c>
      <c r="D3830" s="10">
        <v>0.5</v>
      </c>
      <c r="E3830" s="10">
        <v>40</v>
      </c>
    </row>
    <row r="3831" spans="1:5">
      <c r="A3831" t="s">
        <v>10237</v>
      </c>
      <c r="B3831" t="s">
        <v>9060</v>
      </c>
      <c r="C3831" s="10">
        <v>6</v>
      </c>
      <c r="D3831" s="10">
        <v>0.7</v>
      </c>
      <c r="E3831" s="10">
        <v>40</v>
      </c>
    </row>
    <row r="3832" spans="1:5">
      <c r="A3832" t="s">
        <v>10238</v>
      </c>
      <c r="B3832" t="s">
        <v>9061</v>
      </c>
      <c r="C3832" s="10">
        <v>12</v>
      </c>
      <c r="D3832" s="10">
        <v>0.7</v>
      </c>
      <c r="E3832" s="10">
        <v>38</v>
      </c>
    </row>
    <row r="3833" spans="1:5">
      <c r="A3833" t="s">
        <v>10239</v>
      </c>
      <c r="B3833" t="s">
        <v>9062</v>
      </c>
      <c r="C3833" s="10">
        <v>6</v>
      </c>
      <c r="D3833" s="10">
        <v>0.7</v>
      </c>
      <c r="E3833" s="10">
        <v>38</v>
      </c>
    </row>
    <row r="3834" spans="1:5">
      <c r="A3834" t="s">
        <v>10240</v>
      </c>
      <c r="B3834" t="s">
        <v>9063</v>
      </c>
      <c r="C3834" s="10">
        <v>6</v>
      </c>
      <c r="D3834" s="10">
        <v>0.7</v>
      </c>
      <c r="E3834" s="10">
        <v>40</v>
      </c>
    </row>
    <row r="3835" spans="1:5">
      <c r="A3835" t="s">
        <v>10241</v>
      </c>
      <c r="B3835" t="s">
        <v>9064</v>
      </c>
      <c r="C3835" s="10">
        <v>6</v>
      </c>
      <c r="D3835" s="10">
        <v>0.7</v>
      </c>
      <c r="E3835" s="10">
        <v>38</v>
      </c>
    </row>
    <row r="3836" spans="1:5">
      <c r="A3836" t="s">
        <v>5096</v>
      </c>
      <c r="B3836" t="s">
        <v>5097</v>
      </c>
      <c r="C3836" s="10">
        <v>6</v>
      </c>
      <c r="D3836" s="10">
        <v>0.7</v>
      </c>
      <c r="E3836" s="10">
        <v>38</v>
      </c>
    </row>
    <row r="3837" spans="1:5">
      <c r="A3837" t="s">
        <v>2801</v>
      </c>
      <c r="B3837" t="s">
        <v>2802</v>
      </c>
      <c r="C3837" s="10">
        <v>6</v>
      </c>
      <c r="D3837" s="10">
        <v>0.75</v>
      </c>
      <c r="E3837" s="10">
        <v>14.5</v>
      </c>
    </row>
    <row r="3838" spans="1:5">
      <c r="A3838" t="s">
        <v>10242</v>
      </c>
      <c r="B3838" t="s">
        <v>9065</v>
      </c>
      <c r="C3838" s="10">
        <v>6</v>
      </c>
      <c r="D3838" s="10">
        <v>0.7</v>
      </c>
      <c r="E3838" s="10">
        <v>40</v>
      </c>
    </row>
    <row r="3839" spans="1:5">
      <c r="A3839" t="s">
        <v>5267</v>
      </c>
      <c r="B3839" t="s">
        <v>9066</v>
      </c>
      <c r="C3839" s="10">
        <v>6</v>
      </c>
      <c r="D3839" s="10">
        <v>0.7</v>
      </c>
      <c r="E3839" s="10">
        <v>46</v>
      </c>
    </row>
    <row r="3840" spans="1:5">
      <c r="A3840" t="s">
        <v>5268</v>
      </c>
      <c r="B3840" t="s">
        <v>5269</v>
      </c>
      <c r="C3840" s="10">
        <v>6</v>
      </c>
      <c r="D3840" s="10">
        <v>0.7</v>
      </c>
      <c r="E3840" s="10">
        <v>46</v>
      </c>
    </row>
    <row r="3841" spans="1:5">
      <c r="A3841" t="s">
        <v>10243</v>
      </c>
      <c r="B3841" t="s">
        <v>9067</v>
      </c>
      <c r="C3841" s="10">
        <v>6</v>
      </c>
      <c r="D3841" s="10">
        <v>0.7</v>
      </c>
      <c r="E3841" s="10">
        <v>40</v>
      </c>
    </row>
    <row r="3842" spans="1:5">
      <c r="A3842" t="s">
        <v>1186</v>
      </c>
      <c r="B3842" t="s">
        <v>1187</v>
      </c>
      <c r="C3842" s="10">
        <v>6</v>
      </c>
      <c r="D3842" s="10">
        <v>0.7</v>
      </c>
      <c r="E3842" s="10">
        <v>40</v>
      </c>
    </row>
    <row r="3843" spans="1:5">
      <c r="A3843" t="s">
        <v>1188</v>
      </c>
      <c r="B3843" t="s">
        <v>1189</v>
      </c>
      <c r="C3843" s="10">
        <v>6</v>
      </c>
      <c r="D3843" s="10">
        <v>0.7</v>
      </c>
      <c r="E3843" s="10">
        <v>40</v>
      </c>
    </row>
    <row r="3844" spans="1:5">
      <c r="A3844" t="s">
        <v>3200</v>
      </c>
      <c r="B3844" t="s">
        <v>3201</v>
      </c>
      <c r="C3844" s="10">
        <v>6</v>
      </c>
      <c r="D3844" s="10">
        <v>0.75</v>
      </c>
      <c r="E3844" s="10">
        <v>12.5</v>
      </c>
    </row>
    <row r="3845" spans="1:5">
      <c r="A3845" t="s">
        <v>10244</v>
      </c>
      <c r="B3845" t="s">
        <v>3201</v>
      </c>
      <c r="C3845" s="10">
        <v>3</v>
      </c>
      <c r="D3845" s="10">
        <v>1.5</v>
      </c>
      <c r="E3845" s="10">
        <v>12.5</v>
      </c>
    </row>
    <row r="3846" spans="1:5">
      <c r="A3846" t="s">
        <v>10245</v>
      </c>
      <c r="B3846" t="s">
        <v>9068</v>
      </c>
      <c r="C3846" s="10">
        <v>6</v>
      </c>
      <c r="D3846" s="10">
        <v>0.75</v>
      </c>
      <c r="E3846" s="10">
        <v>12.5</v>
      </c>
    </row>
    <row r="3847" spans="1:5">
      <c r="A3847" t="s">
        <v>10246</v>
      </c>
      <c r="B3847" t="s">
        <v>9068</v>
      </c>
      <c r="C3847" s="10">
        <v>6</v>
      </c>
      <c r="D3847" s="10">
        <v>0.75</v>
      </c>
      <c r="E3847" s="10">
        <v>12.5</v>
      </c>
    </row>
    <row r="3848" spans="1:5">
      <c r="A3848" t="s">
        <v>10247</v>
      </c>
      <c r="B3848" t="s">
        <v>9068</v>
      </c>
      <c r="C3848" s="10">
        <v>6</v>
      </c>
      <c r="D3848" s="10">
        <v>0.75</v>
      </c>
      <c r="E3848" s="10">
        <v>12.5</v>
      </c>
    </row>
    <row r="3849" spans="1:5">
      <c r="A3849" t="s">
        <v>3202</v>
      </c>
      <c r="B3849" t="s">
        <v>7400</v>
      </c>
      <c r="C3849" s="10">
        <v>6</v>
      </c>
      <c r="D3849" s="10">
        <v>0.75</v>
      </c>
      <c r="E3849" s="10">
        <v>12.5</v>
      </c>
    </row>
    <row r="3850" spans="1:5">
      <c r="A3850" t="s">
        <v>10248</v>
      </c>
      <c r="B3850" t="s">
        <v>7400</v>
      </c>
      <c r="C3850" s="10">
        <v>3</v>
      </c>
      <c r="D3850" s="10">
        <v>1.5</v>
      </c>
      <c r="E3850" s="10">
        <v>12.5</v>
      </c>
    </row>
    <row r="3851" spans="1:5">
      <c r="A3851" t="s">
        <v>3203</v>
      </c>
      <c r="B3851" t="s">
        <v>3088</v>
      </c>
      <c r="C3851" s="10">
        <v>6</v>
      </c>
      <c r="D3851" s="10">
        <v>0.75</v>
      </c>
      <c r="E3851" s="10">
        <v>12.5</v>
      </c>
    </row>
    <row r="3852" spans="1:5">
      <c r="A3852" t="s">
        <v>6411</v>
      </c>
      <c r="B3852" t="s">
        <v>3088</v>
      </c>
      <c r="C3852" s="10">
        <v>3</v>
      </c>
      <c r="D3852" s="10">
        <v>1.5</v>
      </c>
      <c r="E3852" s="10">
        <v>12.5</v>
      </c>
    </row>
    <row r="3853" spans="1:5">
      <c r="A3853" t="s">
        <v>3204</v>
      </c>
      <c r="B3853" t="s">
        <v>3205</v>
      </c>
      <c r="C3853" s="10">
        <v>6</v>
      </c>
      <c r="D3853" s="10">
        <v>0.75</v>
      </c>
      <c r="E3853" s="10">
        <v>12.5</v>
      </c>
    </row>
    <row r="3854" spans="1:5">
      <c r="A3854" t="s">
        <v>3206</v>
      </c>
      <c r="B3854" t="s">
        <v>3207</v>
      </c>
      <c r="C3854" s="10">
        <v>6</v>
      </c>
      <c r="D3854" s="10">
        <v>0.75</v>
      </c>
      <c r="E3854" s="10">
        <v>12.5</v>
      </c>
    </row>
    <row r="3855" spans="1:5">
      <c r="A3855" t="s">
        <v>10249</v>
      </c>
      <c r="B3855" t="s">
        <v>9069</v>
      </c>
      <c r="C3855" s="10">
        <v>24</v>
      </c>
      <c r="D3855" s="10">
        <v>0.2</v>
      </c>
      <c r="E3855" s="10">
        <v>43</v>
      </c>
    </row>
    <row r="3856" spans="1:5">
      <c r="A3856" t="s">
        <v>1673</v>
      </c>
      <c r="B3856" t="s">
        <v>1674</v>
      </c>
      <c r="C3856" s="10">
        <v>6</v>
      </c>
      <c r="D3856" s="10">
        <v>0.48</v>
      </c>
      <c r="E3856" s="10">
        <v>42.5</v>
      </c>
    </row>
    <row r="3857" spans="1:5">
      <c r="A3857" t="s">
        <v>1675</v>
      </c>
      <c r="B3857" t="s">
        <v>1676</v>
      </c>
      <c r="C3857" s="10">
        <v>6</v>
      </c>
      <c r="D3857" s="10">
        <v>0.48</v>
      </c>
      <c r="E3857" s="10">
        <v>43.7</v>
      </c>
    </row>
    <row r="3858" spans="1:5">
      <c r="A3858" t="s">
        <v>10250</v>
      </c>
      <c r="B3858" t="s">
        <v>9070</v>
      </c>
      <c r="C3858" s="10">
        <v>4</v>
      </c>
      <c r="D3858" s="10">
        <v>0.25</v>
      </c>
      <c r="E3858" s="10">
        <v>40.299999999999997</v>
      </c>
    </row>
    <row r="3859" spans="1:5">
      <c r="A3859" t="s">
        <v>4446</v>
      </c>
      <c r="B3859" t="s">
        <v>4447</v>
      </c>
      <c r="C3859" s="10">
        <v>6</v>
      </c>
      <c r="D3859" s="10">
        <v>0.7</v>
      </c>
      <c r="E3859" s="10">
        <v>42.6</v>
      </c>
    </row>
    <row r="3860" spans="1:5">
      <c r="A3860" t="s">
        <v>8300</v>
      </c>
      <c r="B3860" t="s">
        <v>9071</v>
      </c>
      <c r="C3860" s="10">
        <v>6</v>
      </c>
      <c r="D3860" s="10">
        <v>0.5</v>
      </c>
      <c r="E3860" s="10">
        <v>46.2</v>
      </c>
    </row>
    <row r="3861" spans="1:5">
      <c r="A3861" t="s">
        <v>10251</v>
      </c>
      <c r="B3861" t="s">
        <v>9072</v>
      </c>
      <c r="C3861" s="10">
        <v>6</v>
      </c>
      <c r="D3861" s="10">
        <v>0.7</v>
      </c>
      <c r="E3861" s="10">
        <v>57</v>
      </c>
    </row>
    <row r="3862" spans="1:5">
      <c r="A3862" t="s">
        <v>4448</v>
      </c>
      <c r="B3862" t="s">
        <v>4449</v>
      </c>
      <c r="C3862" s="10">
        <v>6</v>
      </c>
      <c r="D3862" s="10">
        <v>0.7</v>
      </c>
      <c r="E3862" s="10">
        <v>15</v>
      </c>
    </row>
    <row r="3863" spans="1:5">
      <c r="A3863" t="s">
        <v>1190</v>
      </c>
      <c r="B3863" t="s">
        <v>1191</v>
      </c>
      <c r="C3863" s="10">
        <v>6</v>
      </c>
      <c r="D3863" s="10">
        <v>0.7</v>
      </c>
      <c r="E3863" s="10">
        <v>40</v>
      </c>
    </row>
    <row r="3864" spans="1:5">
      <c r="A3864" t="s">
        <v>1677</v>
      </c>
      <c r="B3864" t="s">
        <v>1678</v>
      </c>
      <c r="C3864" s="10">
        <v>6</v>
      </c>
      <c r="D3864" s="10">
        <v>1.5</v>
      </c>
      <c r="E3864" s="10">
        <v>18</v>
      </c>
    </row>
    <row r="3865" spans="1:5">
      <c r="A3865" t="s">
        <v>4450</v>
      </c>
      <c r="B3865" t="s">
        <v>2330</v>
      </c>
      <c r="C3865" s="10">
        <v>6</v>
      </c>
      <c r="D3865" s="10">
        <v>0.7</v>
      </c>
      <c r="E3865" s="10">
        <v>14.9</v>
      </c>
    </row>
    <row r="3866" spans="1:5">
      <c r="A3866" t="s">
        <v>2329</v>
      </c>
      <c r="B3866" t="s">
        <v>2330</v>
      </c>
      <c r="C3866" s="10">
        <v>6</v>
      </c>
      <c r="D3866" s="10">
        <v>1</v>
      </c>
      <c r="E3866" s="10">
        <v>18</v>
      </c>
    </row>
    <row r="3867" spans="1:5">
      <c r="A3867" t="s">
        <v>2331</v>
      </c>
      <c r="B3867" t="s">
        <v>2332</v>
      </c>
      <c r="C3867" s="10">
        <v>6</v>
      </c>
      <c r="D3867" s="10">
        <v>1</v>
      </c>
      <c r="E3867" s="10">
        <v>18</v>
      </c>
    </row>
    <row r="3868" spans="1:5">
      <c r="A3868" t="s">
        <v>10252</v>
      </c>
      <c r="B3868" t="s">
        <v>9073</v>
      </c>
      <c r="C3868" s="10">
        <v>6</v>
      </c>
      <c r="D3868" s="10">
        <v>1</v>
      </c>
      <c r="E3868" s="10">
        <v>40</v>
      </c>
    </row>
    <row r="3869" spans="1:5">
      <c r="A3869" t="s">
        <v>10253</v>
      </c>
      <c r="B3869" t="s">
        <v>9074</v>
      </c>
      <c r="C3869" s="10">
        <v>6</v>
      </c>
      <c r="D3869" s="10">
        <v>1</v>
      </c>
      <c r="E3869" s="10">
        <v>40</v>
      </c>
    </row>
    <row r="3870" spans="1:5">
      <c r="A3870" t="s">
        <v>10254</v>
      </c>
      <c r="B3870" t="s">
        <v>9075</v>
      </c>
      <c r="C3870" s="10">
        <v>6</v>
      </c>
      <c r="D3870" s="10">
        <v>0.7</v>
      </c>
      <c r="E3870" s="10">
        <v>40</v>
      </c>
    </row>
    <row r="3871" spans="1:5">
      <c r="A3871" t="s">
        <v>10255</v>
      </c>
      <c r="B3871" t="s">
        <v>9076</v>
      </c>
      <c r="C3871" s="10">
        <v>6</v>
      </c>
      <c r="D3871" s="10">
        <v>1</v>
      </c>
      <c r="E3871" s="10">
        <v>40</v>
      </c>
    </row>
    <row r="3872" spans="1:5">
      <c r="A3872" t="s">
        <v>10256</v>
      </c>
      <c r="B3872" t="s">
        <v>9077</v>
      </c>
      <c r="C3872" s="10">
        <v>3</v>
      </c>
      <c r="D3872" s="10">
        <v>2</v>
      </c>
      <c r="E3872" s="10">
        <v>40</v>
      </c>
    </row>
    <row r="3873" spans="1:5">
      <c r="A3873" t="s">
        <v>10257</v>
      </c>
      <c r="B3873" t="s">
        <v>9078</v>
      </c>
      <c r="C3873" s="10">
        <v>6</v>
      </c>
      <c r="D3873" s="10">
        <v>1</v>
      </c>
      <c r="E3873" s="10">
        <v>40</v>
      </c>
    </row>
    <row r="3874" spans="1:5">
      <c r="A3874" t="s">
        <v>10258</v>
      </c>
      <c r="B3874" t="s">
        <v>9079</v>
      </c>
      <c r="C3874" s="10">
        <v>6</v>
      </c>
      <c r="D3874" s="10">
        <v>0.7</v>
      </c>
      <c r="E3874" s="10">
        <v>38</v>
      </c>
    </row>
    <row r="3875" spans="1:5">
      <c r="A3875" t="s">
        <v>5561</v>
      </c>
      <c r="B3875" t="s">
        <v>5562</v>
      </c>
      <c r="C3875" s="10">
        <v>6</v>
      </c>
      <c r="D3875" s="10">
        <v>0.7</v>
      </c>
      <c r="E3875" s="10">
        <v>43</v>
      </c>
    </row>
    <row r="3876" spans="1:5">
      <c r="A3876" t="s">
        <v>2333</v>
      </c>
      <c r="B3876" t="s">
        <v>2334</v>
      </c>
      <c r="C3876" s="10">
        <v>6</v>
      </c>
      <c r="D3876" s="10">
        <v>1</v>
      </c>
      <c r="E3876" s="10">
        <v>35</v>
      </c>
    </row>
    <row r="3877" spans="1:5">
      <c r="A3877" t="s">
        <v>1512</v>
      </c>
      <c r="B3877" t="s">
        <v>1513</v>
      </c>
      <c r="C3877" s="10">
        <v>6</v>
      </c>
      <c r="D3877" s="10">
        <v>1</v>
      </c>
      <c r="E3877" s="10">
        <v>40</v>
      </c>
    </row>
    <row r="3878" spans="1:5">
      <c r="A3878" t="s">
        <v>2335</v>
      </c>
      <c r="B3878" t="s">
        <v>2336</v>
      </c>
      <c r="C3878" s="10">
        <v>6</v>
      </c>
      <c r="D3878" s="10">
        <v>1</v>
      </c>
      <c r="E3878" s="10">
        <v>35</v>
      </c>
    </row>
    <row r="3879" spans="1:5">
      <c r="A3879" t="s">
        <v>1192</v>
      </c>
      <c r="B3879" t="s">
        <v>1193</v>
      </c>
      <c r="C3879" s="10">
        <v>6</v>
      </c>
      <c r="D3879" s="10">
        <v>0.7</v>
      </c>
      <c r="E3879" s="10">
        <v>40</v>
      </c>
    </row>
    <row r="3880" spans="1:5">
      <c r="A3880" t="s">
        <v>4451</v>
      </c>
      <c r="B3880" t="s">
        <v>4452</v>
      </c>
      <c r="C3880" s="10">
        <v>6</v>
      </c>
      <c r="D3880" s="10">
        <v>0.7</v>
      </c>
      <c r="E3880" s="10">
        <v>24</v>
      </c>
    </row>
    <row r="3881" spans="1:5">
      <c r="A3881" t="s">
        <v>4453</v>
      </c>
      <c r="B3881" t="s">
        <v>2338</v>
      </c>
      <c r="C3881" s="10">
        <v>6</v>
      </c>
      <c r="D3881" s="10">
        <v>0.7</v>
      </c>
      <c r="E3881" s="10">
        <v>20</v>
      </c>
    </row>
    <row r="3882" spans="1:5">
      <c r="A3882" t="s">
        <v>2337</v>
      </c>
      <c r="B3882" t="s">
        <v>2338</v>
      </c>
      <c r="C3882" s="10">
        <v>6</v>
      </c>
      <c r="D3882" s="10">
        <v>1</v>
      </c>
      <c r="E3882" s="10">
        <v>20</v>
      </c>
    </row>
    <row r="3883" spans="1:5">
      <c r="A3883" t="s">
        <v>5098</v>
      </c>
      <c r="B3883" t="s">
        <v>5099</v>
      </c>
      <c r="C3883" s="10">
        <v>6</v>
      </c>
      <c r="D3883" s="10">
        <v>0.7</v>
      </c>
      <c r="E3883" s="10">
        <v>38</v>
      </c>
    </row>
    <row r="3884" spans="1:5">
      <c r="A3884" t="s">
        <v>5563</v>
      </c>
      <c r="B3884" t="s">
        <v>5564</v>
      </c>
      <c r="C3884" s="10">
        <v>6</v>
      </c>
      <c r="D3884" s="10">
        <v>0.7</v>
      </c>
      <c r="E3884" s="10">
        <v>43</v>
      </c>
    </row>
    <row r="3885" spans="1:5">
      <c r="A3885" t="s">
        <v>1194</v>
      </c>
      <c r="B3885" t="s">
        <v>1195</v>
      </c>
      <c r="C3885" s="10">
        <v>6</v>
      </c>
      <c r="D3885" s="10">
        <v>0.7</v>
      </c>
      <c r="E3885" s="10">
        <v>40</v>
      </c>
    </row>
    <row r="3886" spans="1:5">
      <c r="A3886" t="s">
        <v>2803</v>
      </c>
      <c r="B3886" t="s">
        <v>2804</v>
      </c>
      <c r="C3886" s="10">
        <v>6</v>
      </c>
      <c r="D3886" s="10">
        <v>0.75</v>
      </c>
      <c r="E3886" s="10">
        <v>13.5</v>
      </c>
    </row>
    <row r="3887" spans="1:5">
      <c r="A3887" t="s">
        <v>2805</v>
      </c>
      <c r="B3887" t="s">
        <v>2806</v>
      </c>
      <c r="C3887" s="10">
        <v>6</v>
      </c>
      <c r="D3887" s="10">
        <v>0.75</v>
      </c>
      <c r="E3887" s="10">
        <v>13.5</v>
      </c>
    </row>
    <row r="3888" spans="1:5">
      <c r="A3888" t="s">
        <v>2967</v>
      </c>
      <c r="B3888" t="s">
        <v>2968</v>
      </c>
      <c r="C3888" s="10">
        <v>6</v>
      </c>
      <c r="D3888" s="10">
        <v>0.75</v>
      </c>
      <c r="E3888" s="10">
        <v>13</v>
      </c>
    </row>
    <row r="3889" spans="1:5">
      <c r="A3889" t="s">
        <v>10259</v>
      </c>
      <c r="B3889" t="s">
        <v>9080</v>
      </c>
      <c r="C3889" s="10">
        <v>6</v>
      </c>
      <c r="D3889" s="10">
        <v>0.7</v>
      </c>
      <c r="E3889" s="10">
        <v>50</v>
      </c>
    </row>
    <row r="3890" spans="1:5">
      <c r="A3890" t="s">
        <v>10260</v>
      </c>
      <c r="B3890" t="s">
        <v>9081</v>
      </c>
      <c r="C3890" s="10">
        <v>6</v>
      </c>
      <c r="D3890" s="10">
        <v>0.7</v>
      </c>
      <c r="E3890" s="10">
        <v>40</v>
      </c>
    </row>
    <row r="3891" spans="1:5">
      <c r="A3891" t="s">
        <v>2339</v>
      </c>
      <c r="B3891" t="s">
        <v>2340</v>
      </c>
      <c r="C3891" s="10">
        <v>6</v>
      </c>
      <c r="D3891" s="10">
        <v>1</v>
      </c>
      <c r="E3891" s="10">
        <v>50</v>
      </c>
    </row>
    <row r="3892" spans="1:5">
      <c r="A3892" t="s">
        <v>10261</v>
      </c>
      <c r="B3892" t="s">
        <v>9082</v>
      </c>
      <c r="C3892" s="10">
        <v>6</v>
      </c>
      <c r="D3892" s="10">
        <v>0.7</v>
      </c>
      <c r="E3892" s="10">
        <v>40</v>
      </c>
    </row>
    <row r="3893" spans="1:5">
      <c r="A3893" t="s">
        <v>1196</v>
      </c>
      <c r="B3893" t="s">
        <v>1197</v>
      </c>
      <c r="C3893" s="10">
        <v>6</v>
      </c>
      <c r="D3893" s="10">
        <v>0.7</v>
      </c>
      <c r="E3893" s="10">
        <v>40</v>
      </c>
    </row>
    <row r="3894" spans="1:5">
      <c r="A3894" t="s">
        <v>4808</v>
      </c>
      <c r="B3894" t="s">
        <v>4809</v>
      </c>
      <c r="C3894" s="10">
        <v>6</v>
      </c>
      <c r="D3894" s="10">
        <v>0.7</v>
      </c>
      <c r="E3894" s="10">
        <v>45</v>
      </c>
    </row>
    <row r="3895" spans="1:5">
      <c r="A3895" t="s">
        <v>6755</v>
      </c>
      <c r="B3895" t="s">
        <v>6756</v>
      </c>
      <c r="C3895" s="10">
        <v>12</v>
      </c>
      <c r="D3895" s="10">
        <v>0.3</v>
      </c>
      <c r="E3895" s="10">
        <v>14.5</v>
      </c>
    </row>
    <row r="3896" spans="1:5">
      <c r="A3896" t="s">
        <v>6757</v>
      </c>
      <c r="B3896" t="s">
        <v>6756</v>
      </c>
      <c r="C3896" s="10">
        <v>12</v>
      </c>
      <c r="D3896" s="10">
        <v>0.72</v>
      </c>
      <c r="E3896" s="10">
        <v>14.5</v>
      </c>
    </row>
    <row r="3897" spans="1:5">
      <c r="A3897" t="s">
        <v>6758</v>
      </c>
      <c r="B3897" t="s">
        <v>6759</v>
      </c>
      <c r="C3897" s="10">
        <v>12</v>
      </c>
      <c r="D3897" s="10">
        <v>0.75</v>
      </c>
      <c r="E3897" s="10">
        <v>14.5</v>
      </c>
    </row>
    <row r="3898" spans="1:5">
      <c r="A3898" t="s">
        <v>6412</v>
      </c>
      <c r="B3898" t="s">
        <v>6413</v>
      </c>
      <c r="C3898" s="10">
        <v>24</v>
      </c>
      <c r="D3898" s="10">
        <v>0.33</v>
      </c>
      <c r="E3898" s="10">
        <v>5.9</v>
      </c>
    </row>
    <row r="3899" spans="1:5">
      <c r="A3899" t="s">
        <v>10262</v>
      </c>
      <c r="B3899" t="s">
        <v>4455</v>
      </c>
      <c r="C3899" s="10">
        <v>288</v>
      </c>
      <c r="D3899" s="10">
        <v>0.02</v>
      </c>
      <c r="E3899" s="10">
        <v>25</v>
      </c>
    </row>
    <row r="3900" spans="1:5">
      <c r="A3900" t="s">
        <v>6414</v>
      </c>
      <c r="B3900" t="s">
        <v>4455</v>
      </c>
      <c r="C3900" s="10">
        <v>144</v>
      </c>
      <c r="D3900" s="10">
        <v>0.03</v>
      </c>
      <c r="E3900" s="10">
        <v>25</v>
      </c>
    </row>
    <row r="3901" spans="1:5">
      <c r="A3901" t="s">
        <v>6760</v>
      </c>
      <c r="B3901" t="s">
        <v>4455</v>
      </c>
      <c r="C3901" s="10">
        <v>12</v>
      </c>
      <c r="D3901" s="10">
        <v>0.35</v>
      </c>
      <c r="E3901" s="10">
        <v>25</v>
      </c>
    </row>
    <row r="3902" spans="1:5">
      <c r="A3902" t="s">
        <v>4454</v>
      </c>
      <c r="B3902" t="s">
        <v>4455</v>
      </c>
      <c r="C3902" s="10">
        <v>6</v>
      </c>
      <c r="D3902" s="10">
        <v>0.7</v>
      </c>
      <c r="E3902" s="10">
        <v>25</v>
      </c>
    </row>
    <row r="3903" spans="1:5">
      <c r="A3903" t="s">
        <v>6415</v>
      </c>
      <c r="B3903" t="s">
        <v>4455</v>
      </c>
      <c r="C3903" s="10">
        <v>1</v>
      </c>
      <c r="D3903" s="10">
        <v>3</v>
      </c>
      <c r="E3903" s="10">
        <v>25</v>
      </c>
    </row>
    <row r="3904" spans="1:5">
      <c r="A3904" t="s">
        <v>1198</v>
      </c>
      <c r="B3904" t="s">
        <v>1199</v>
      </c>
      <c r="C3904" s="10">
        <v>6</v>
      </c>
      <c r="D3904" s="10">
        <v>0.7</v>
      </c>
      <c r="E3904" s="10">
        <v>40</v>
      </c>
    </row>
    <row r="3905" spans="1:5">
      <c r="A3905" t="s">
        <v>4456</v>
      </c>
      <c r="B3905" t="s">
        <v>4457</v>
      </c>
      <c r="C3905" s="10">
        <v>6</v>
      </c>
      <c r="D3905" s="10">
        <v>0.7</v>
      </c>
      <c r="E3905" s="10">
        <v>35</v>
      </c>
    </row>
    <row r="3906" spans="1:5">
      <c r="A3906" t="s">
        <v>6761</v>
      </c>
      <c r="B3906" t="s">
        <v>6762</v>
      </c>
      <c r="C3906" s="10">
        <v>12</v>
      </c>
      <c r="D3906" s="10">
        <v>0.7</v>
      </c>
      <c r="E3906" s="10">
        <v>38</v>
      </c>
    </row>
    <row r="3907" spans="1:5">
      <c r="A3907" t="s">
        <v>1200</v>
      </c>
      <c r="B3907" t="s">
        <v>1201</v>
      </c>
      <c r="C3907" s="10">
        <v>6</v>
      </c>
      <c r="D3907" s="10">
        <v>0.7</v>
      </c>
      <c r="E3907" s="10">
        <v>40</v>
      </c>
    </row>
    <row r="3908" spans="1:5">
      <c r="A3908" t="s">
        <v>1202</v>
      </c>
      <c r="B3908" t="s">
        <v>1203</v>
      </c>
      <c r="C3908" s="10">
        <v>6</v>
      </c>
      <c r="D3908" s="10">
        <v>0.7</v>
      </c>
      <c r="E3908" s="10">
        <v>40</v>
      </c>
    </row>
    <row r="3909" spans="1:5">
      <c r="A3909" t="s">
        <v>10263</v>
      </c>
      <c r="B3909" t="s">
        <v>9083</v>
      </c>
      <c r="C3909" s="10">
        <v>6</v>
      </c>
      <c r="D3909" s="10">
        <v>0.7</v>
      </c>
      <c r="E3909" s="10">
        <v>40</v>
      </c>
    </row>
    <row r="3910" spans="1:5">
      <c r="A3910" t="s">
        <v>6909</v>
      </c>
      <c r="B3910" t="s">
        <v>6910</v>
      </c>
      <c r="C3910" s="10">
        <v>6</v>
      </c>
      <c r="D3910" s="10">
        <v>0.7</v>
      </c>
      <c r="E3910" s="10">
        <v>40</v>
      </c>
    </row>
    <row r="3911" spans="1:5">
      <c r="A3911" t="s">
        <v>1204</v>
      </c>
      <c r="B3911" t="s">
        <v>1205</v>
      </c>
      <c r="C3911" s="10">
        <v>6</v>
      </c>
      <c r="D3911" s="10">
        <v>0.7</v>
      </c>
      <c r="E3911" s="10">
        <v>40</v>
      </c>
    </row>
    <row r="3912" spans="1:5">
      <c r="A3912" t="s">
        <v>2807</v>
      </c>
      <c r="B3912" t="s">
        <v>2808</v>
      </c>
      <c r="C3912" s="10">
        <v>6</v>
      </c>
      <c r="D3912" s="10">
        <v>0.75</v>
      </c>
      <c r="E3912" s="10">
        <v>15.5</v>
      </c>
    </row>
    <row r="3913" spans="1:5">
      <c r="A3913" t="s">
        <v>2809</v>
      </c>
      <c r="B3913" t="s">
        <v>2810</v>
      </c>
      <c r="C3913" s="10">
        <v>6</v>
      </c>
      <c r="D3913" s="10">
        <v>0.75</v>
      </c>
      <c r="E3913" s="10">
        <v>14.5</v>
      </c>
    </row>
    <row r="3914" spans="1:5">
      <c r="A3914" t="s">
        <v>2811</v>
      </c>
      <c r="B3914" t="s">
        <v>2812</v>
      </c>
      <c r="C3914" s="10">
        <v>6</v>
      </c>
      <c r="D3914" s="10">
        <v>0.75</v>
      </c>
      <c r="E3914" s="10">
        <v>13.5</v>
      </c>
    </row>
    <row r="3915" spans="1:5">
      <c r="A3915" t="s">
        <v>6416</v>
      </c>
      <c r="B3915" t="s">
        <v>6417</v>
      </c>
      <c r="C3915" s="10">
        <v>4</v>
      </c>
      <c r="D3915" s="10">
        <v>1.5</v>
      </c>
      <c r="E3915" s="10">
        <v>13.5</v>
      </c>
    </row>
    <row r="3916" spans="1:5">
      <c r="A3916" t="s">
        <v>2969</v>
      </c>
      <c r="B3916" t="s">
        <v>9084</v>
      </c>
      <c r="C3916" s="10">
        <v>6</v>
      </c>
      <c r="D3916" s="10">
        <v>0.75</v>
      </c>
      <c r="E3916" s="10">
        <v>13</v>
      </c>
    </row>
    <row r="3917" spans="1:5">
      <c r="A3917" t="s">
        <v>2813</v>
      </c>
      <c r="B3917" t="s">
        <v>9085</v>
      </c>
      <c r="C3917" s="10">
        <v>6</v>
      </c>
      <c r="D3917" s="10">
        <v>0.75</v>
      </c>
      <c r="E3917" s="10">
        <v>13.5</v>
      </c>
    </row>
    <row r="3918" spans="1:5">
      <c r="A3918" t="s">
        <v>2814</v>
      </c>
      <c r="B3918" t="s">
        <v>2815</v>
      </c>
      <c r="C3918" s="10">
        <v>6</v>
      </c>
      <c r="D3918" s="10">
        <v>0.75</v>
      </c>
      <c r="E3918" s="10">
        <v>13.5</v>
      </c>
    </row>
    <row r="3919" spans="1:5">
      <c r="A3919" t="s">
        <v>2816</v>
      </c>
      <c r="B3919" t="s">
        <v>2817</v>
      </c>
      <c r="C3919" s="10">
        <v>6</v>
      </c>
      <c r="D3919" s="10">
        <v>0.75</v>
      </c>
      <c r="E3919" s="10">
        <v>13.5</v>
      </c>
    </row>
    <row r="3920" spans="1:5">
      <c r="A3920" t="s">
        <v>2818</v>
      </c>
      <c r="B3920" t="s">
        <v>2819</v>
      </c>
      <c r="C3920" s="10">
        <v>6</v>
      </c>
      <c r="D3920" s="10">
        <v>0.75</v>
      </c>
      <c r="E3920" s="10">
        <v>14.5</v>
      </c>
    </row>
    <row r="3921" spans="1:5">
      <c r="A3921" t="s">
        <v>2820</v>
      </c>
      <c r="B3921" t="s">
        <v>9086</v>
      </c>
      <c r="C3921" s="10">
        <v>6</v>
      </c>
      <c r="D3921" s="10">
        <v>0.75</v>
      </c>
      <c r="E3921" s="10">
        <v>14</v>
      </c>
    </row>
    <row r="3922" spans="1:5">
      <c r="A3922" t="s">
        <v>2821</v>
      </c>
      <c r="B3922" t="s">
        <v>2822</v>
      </c>
      <c r="C3922" s="10">
        <v>6</v>
      </c>
      <c r="D3922" s="10">
        <v>0.75</v>
      </c>
      <c r="E3922" s="10">
        <v>15</v>
      </c>
    </row>
    <row r="3923" spans="1:5">
      <c r="A3923" t="s">
        <v>2823</v>
      </c>
      <c r="B3923" t="s">
        <v>2824</v>
      </c>
      <c r="C3923" s="10">
        <v>6</v>
      </c>
      <c r="D3923" s="10">
        <v>0.75</v>
      </c>
      <c r="E3923" s="10">
        <v>13.5</v>
      </c>
    </row>
    <row r="3924" spans="1:5">
      <c r="A3924" t="s">
        <v>2825</v>
      </c>
      <c r="B3924" t="s">
        <v>9087</v>
      </c>
      <c r="C3924" s="10">
        <v>6</v>
      </c>
      <c r="D3924" s="10">
        <v>0.75</v>
      </c>
      <c r="E3924" s="10">
        <v>13.5</v>
      </c>
    </row>
    <row r="3925" spans="1:5">
      <c r="A3925" t="s">
        <v>2970</v>
      </c>
      <c r="B3925" t="s">
        <v>2971</v>
      </c>
      <c r="C3925" s="10">
        <v>6</v>
      </c>
      <c r="D3925" s="10">
        <v>0.75</v>
      </c>
      <c r="E3925" s="10">
        <v>13</v>
      </c>
    </row>
    <row r="3926" spans="1:5">
      <c r="A3926" t="s">
        <v>2826</v>
      </c>
      <c r="B3926" t="s">
        <v>2827</v>
      </c>
      <c r="C3926" s="10">
        <v>6</v>
      </c>
      <c r="D3926" s="10">
        <v>0.75</v>
      </c>
      <c r="E3926" s="10">
        <v>15</v>
      </c>
    </row>
    <row r="3927" spans="1:5">
      <c r="A3927" t="s">
        <v>10264</v>
      </c>
      <c r="B3927" t="s">
        <v>9088</v>
      </c>
      <c r="C3927" s="10">
        <v>6</v>
      </c>
      <c r="D3927" s="10">
        <v>0.7</v>
      </c>
      <c r="E3927" s="10">
        <v>40</v>
      </c>
    </row>
    <row r="3928" spans="1:5">
      <c r="A3928" t="s">
        <v>1206</v>
      </c>
      <c r="B3928" t="s">
        <v>1207</v>
      </c>
      <c r="C3928" s="10">
        <v>6</v>
      </c>
      <c r="D3928" s="10">
        <v>0.7</v>
      </c>
      <c r="E3928" s="10">
        <v>40</v>
      </c>
    </row>
    <row r="3929" spans="1:5">
      <c r="A3929" t="s">
        <v>6418</v>
      </c>
      <c r="B3929" t="s">
        <v>6419</v>
      </c>
      <c r="C3929" s="10">
        <v>24</v>
      </c>
      <c r="D3929" s="10">
        <v>0.33</v>
      </c>
      <c r="E3929" s="10">
        <v>5.4</v>
      </c>
    </row>
    <row r="3930" spans="1:5">
      <c r="A3930" t="s">
        <v>1208</v>
      </c>
      <c r="B3930" t="s">
        <v>1209</v>
      </c>
      <c r="C3930" s="10">
        <v>6</v>
      </c>
      <c r="D3930" s="10">
        <v>0.7</v>
      </c>
      <c r="E3930" s="10">
        <v>40</v>
      </c>
    </row>
    <row r="3931" spans="1:5">
      <c r="A3931" t="s">
        <v>5848</v>
      </c>
      <c r="B3931" t="s">
        <v>5849</v>
      </c>
      <c r="C3931" s="10">
        <v>12</v>
      </c>
      <c r="D3931" s="10">
        <v>0.7</v>
      </c>
      <c r="E3931" s="10">
        <v>40</v>
      </c>
    </row>
    <row r="3932" spans="1:5">
      <c r="A3932" t="s">
        <v>1210</v>
      </c>
      <c r="B3932" t="s">
        <v>1211</v>
      </c>
      <c r="C3932" s="10">
        <v>6</v>
      </c>
      <c r="D3932" s="10">
        <v>0.7</v>
      </c>
      <c r="E3932" s="10">
        <v>40</v>
      </c>
    </row>
    <row r="3933" spans="1:5">
      <c r="A3933" t="s">
        <v>5850</v>
      </c>
      <c r="B3933" t="s">
        <v>5851</v>
      </c>
      <c r="C3933" s="10">
        <v>12</v>
      </c>
      <c r="D3933" s="10">
        <v>0.7</v>
      </c>
      <c r="E3933" s="10">
        <v>40</v>
      </c>
    </row>
    <row r="3934" spans="1:5">
      <c r="A3934" t="s">
        <v>5852</v>
      </c>
      <c r="B3934" t="s">
        <v>5853</v>
      </c>
      <c r="C3934" s="10">
        <v>12</v>
      </c>
      <c r="D3934" s="10">
        <v>0.7</v>
      </c>
      <c r="E3934" s="10">
        <v>40</v>
      </c>
    </row>
    <row r="3935" spans="1:5">
      <c r="A3935" t="s">
        <v>6420</v>
      </c>
      <c r="B3935" t="s">
        <v>6421</v>
      </c>
      <c r="C3935" s="10">
        <v>24</v>
      </c>
      <c r="D3935" s="10">
        <v>0.25</v>
      </c>
      <c r="E3935" s="10">
        <v>0</v>
      </c>
    </row>
    <row r="3936" spans="1:5">
      <c r="A3936" t="s">
        <v>6763</v>
      </c>
      <c r="B3936" t="s">
        <v>6421</v>
      </c>
      <c r="C3936" s="10">
        <v>12</v>
      </c>
      <c r="D3936" s="10">
        <v>0.75</v>
      </c>
      <c r="E3936" s="10">
        <v>0</v>
      </c>
    </row>
    <row r="3937" spans="1:5">
      <c r="A3937" t="s">
        <v>6422</v>
      </c>
      <c r="B3937" t="s">
        <v>6423</v>
      </c>
      <c r="C3937" s="10">
        <v>24</v>
      </c>
      <c r="D3937" s="10">
        <v>0.2</v>
      </c>
      <c r="E3937" s="10">
        <v>0</v>
      </c>
    </row>
    <row r="3938" spans="1:5">
      <c r="A3938" t="s">
        <v>6424</v>
      </c>
      <c r="B3938" t="s">
        <v>6425</v>
      </c>
      <c r="C3938" s="10">
        <v>24</v>
      </c>
      <c r="D3938" s="10">
        <v>0.2</v>
      </c>
      <c r="E3938" s="10">
        <v>0</v>
      </c>
    </row>
    <row r="3939" spans="1:5">
      <c r="A3939" t="s">
        <v>6426</v>
      </c>
      <c r="B3939" t="s">
        <v>6427</v>
      </c>
      <c r="C3939" s="10">
        <v>24</v>
      </c>
      <c r="D3939" s="10">
        <v>0.2</v>
      </c>
      <c r="E3939" s="10">
        <v>0</v>
      </c>
    </row>
    <row r="3940" spans="1:5">
      <c r="A3940" t="s">
        <v>6428</v>
      </c>
      <c r="B3940" t="s">
        <v>6429</v>
      </c>
      <c r="C3940" s="10">
        <v>24</v>
      </c>
      <c r="D3940" s="10">
        <v>0.2</v>
      </c>
      <c r="E3940" s="10">
        <v>0</v>
      </c>
    </row>
    <row r="3941" spans="1:5">
      <c r="A3941" t="s">
        <v>6430</v>
      </c>
      <c r="B3941" t="s">
        <v>6431</v>
      </c>
      <c r="C3941" s="10">
        <v>24</v>
      </c>
      <c r="D3941" s="10">
        <v>0.2</v>
      </c>
      <c r="E3941" s="10">
        <v>0</v>
      </c>
    </row>
    <row r="3942" spans="1:5">
      <c r="A3942" t="s">
        <v>6432</v>
      </c>
      <c r="B3942" t="s">
        <v>6433</v>
      </c>
      <c r="C3942" s="10">
        <v>24</v>
      </c>
      <c r="D3942" s="10">
        <v>0.2</v>
      </c>
      <c r="E3942" s="10">
        <v>0</v>
      </c>
    </row>
    <row r="3943" spans="1:5">
      <c r="A3943" t="s">
        <v>2828</v>
      </c>
      <c r="B3943" t="s">
        <v>2829</v>
      </c>
      <c r="C3943" s="10">
        <v>6</v>
      </c>
      <c r="D3943" s="10">
        <v>0.75</v>
      </c>
      <c r="E3943" s="10">
        <v>19.5</v>
      </c>
    </row>
    <row r="3944" spans="1:5">
      <c r="A3944" t="s">
        <v>2830</v>
      </c>
      <c r="B3944" t="s">
        <v>2831</v>
      </c>
      <c r="C3944" s="10">
        <v>6</v>
      </c>
      <c r="D3944" s="10">
        <v>0.75</v>
      </c>
      <c r="E3944" s="10">
        <v>19.5</v>
      </c>
    </row>
    <row r="3945" spans="1:5">
      <c r="A3945" t="s">
        <v>2832</v>
      </c>
      <c r="B3945" t="s">
        <v>2833</v>
      </c>
      <c r="C3945" s="10">
        <v>6</v>
      </c>
      <c r="D3945" s="10">
        <v>0.75</v>
      </c>
      <c r="E3945" s="10">
        <v>15</v>
      </c>
    </row>
    <row r="3946" spans="1:5">
      <c r="A3946" t="s">
        <v>2834</v>
      </c>
      <c r="B3946" t="s">
        <v>2835</v>
      </c>
      <c r="C3946" s="10">
        <v>6</v>
      </c>
      <c r="D3946" s="10">
        <v>0.75</v>
      </c>
      <c r="E3946" s="10">
        <v>15</v>
      </c>
    </row>
    <row r="3947" spans="1:5">
      <c r="A3947" t="s">
        <v>2836</v>
      </c>
      <c r="B3947" t="s">
        <v>2837</v>
      </c>
      <c r="C3947" s="10">
        <v>6</v>
      </c>
      <c r="D3947" s="10">
        <v>0.75</v>
      </c>
      <c r="E3947" s="10">
        <v>15</v>
      </c>
    </row>
    <row r="3948" spans="1:5">
      <c r="A3948" t="s">
        <v>1679</v>
      </c>
      <c r="B3948" t="s">
        <v>1680</v>
      </c>
      <c r="C3948" s="10">
        <v>6</v>
      </c>
      <c r="D3948" s="10">
        <v>1.5</v>
      </c>
      <c r="E3948" s="10">
        <v>7</v>
      </c>
    </row>
    <row r="3949" spans="1:5">
      <c r="A3949" t="s">
        <v>10265</v>
      </c>
      <c r="B3949" t="s">
        <v>9089</v>
      </c>
      <c r="C3949" s="10">
        <v>6</v>
      </c>
      <c r="D3949" s="10">
        <v>0.7</v>
      </c>
      <c r="E3949" s="10">
        <v>42.3</v>
      </c>
    </row>
    <row r="3950" spans="1:5">
      <c r="A3950" t="s">
        <v>4458</v>
      </c>
      <c r="B3950" t="s">
        <v>4459</v>
      </c>
      <c r="C3950" s="10">
        <v>6</v>
      </c>
      <c r="D3950" s="10">
        <v>0.7</v>
      </c>
      <c r="E3950" s="10">
        <v>30</v>
      </c>
    </row>
    <row r="3951" spans="1:5">
      <c r="A3951" t="s">
        <v>10266</v>
      </c>
      <c r="B3951" t="s">
        <v>9090</v>
      </c>
      <c r="C3951" s="10">
        <v>6</v>
      </c>
      <c r="D3951" s="10">
        <v>0.7</v>
      </c>
      <c r="E3951" s="10">
        <v>30</v>
      </c>
    </row>
    <row r="3952" spans="1:5">
      <c r="A3952" t="s">
        <v>4460</v>
      </c>
      <c r="B3952" t="s">
        <v>4461</v>
      </c>
      <c r="C3952" s="10">
        <v>6</v>
      </c>
      <c r="D3952" s="10">
        <v>0.7</v>
      </c>
      <c r="E3952" s="10">
        <v>30</v>
      </c>
    </row>
    <row r="3953" spans="1:5">
      <c r="A3953" t="s">
        <v>10267</v>
      </c>
      <c r="B3953" t="s">
        <v>9091</v>
      </c>
      <c r="C3953" s="10">
        <v>6</v>
      </c>
      <c r="D3953" s="10">
        <v>0.7</v>
      </c>
      <c r="E3953" s="10">
        <v>42</v>
      </c>
    </row>
    <row r="3954" spans="1:5">
      <c r="A3954" t="s">
        <v>2838</v>
      </c>
      <c r="B3954" t="s">
        <v>2839</v>
      </c>
      <c r="C3954" s="10">
        <v>6</v>
      </c>
      <c r="D3954" s="10">
        <v>0.75</v>
      </c>
      <c r="E3954" s="10">
        <v>13.5</v>
      </c>
    </row>
    <row r="3955" spans="1:5">
      <c r="A3955" t="s">
        <v>2840</v>
      </c>
      <c r="B3955" t="s">
        <v>2841</v>
      </c>
      <c r="C3955" s="10">
        <v>6</v>
      </c>
      <c r="D3955" s="10">
        <v>0.75</v>
      </c>
      <c r="E3955" s="10">
        <v>13.5</v>
      </c>
    </row>
    <row r="3956" spans="1:5">
      <c r="A3956" t="s">
        <v>3089</v>
      </c>
      <c r="B3956" t="s">
        <v>3090</v>
      </c>
      <c r="C3956" s="10">
        <v>6</v>
      </c>
      <c r="D3956" s="10">
        <v>0.75</v>
      </c>
      <c r="E3956" s="10">
        <v>12</v>
      </c>
    </row>
    <row r="3957" spans="1:5">
      <c r="A3957" t="s">
        <v>10268</v>
      </c>
      <c r="B3957" t="s">
        <v>9092</v>
      </c>
      <c r="C3957" s="10">
        <v>6</v>
      </c>
      <c r="D3957" s="10">
        <v>0.75</v>
      </c>
      <c r="E3957" s="10">
        <v>13.5</v>
      </c>
    </row>
    <row r="3958" spans="1:5">
      <c r="A3958" t="s">
        <v>2842</v>
      </c>
      <c r="B3958" t="s">
        <v>2843</v>
      </c>
      <c r="C3958" s="10">
        <v>6</v>
      </c>
      <c r="D3958" s="10">
        <v>0.75</v>
      </c>
      <c r="E3958" s="10">
        <v>14.5</v>
      </c>
    </row>
    <row r="3959" spans="1:5">
      <c r="A3959" t="s">
        <v>2844</v>
      </c>
      <c r="B3959" t="s">
        <v>2845</v>
      </c>
      <c r="C3959" s="10">
        <v>6</v>
      </c>
      <c r="D3959" s="10">
        <v>0.75</v>
      </c>
      <c r="E3959" s="10">
        <v>13.5</v>
      </c>
    </row>
    <row r="3960" spans="1:5">
      <c r="A3960" t="s">
        <v>10269</v>
      </c>
      <c r="B3960" t="s">
        <v>9093</v>
      </c>
      <c r="C3960" s="10">
        <v>6</v>
      </c>
      <c r="D3960" s="10">
        <v>0.75</v>
      </c>
      <c r="E3960" s="10">
        <v>13</v>
      </c>
    </row>
    <row r="3961" spans="1:5">
      <c r="A3961" t="s">
        <v>2972</v>
      </c>
      <c r="B3961" t="s">
        <v>2973</v>
      </c>
      <c r="C3961" s="10">
        <v>6</v>
      </c>
      <c r="D3961" s="10">
        <v>0.75</v>
      </c>
      <c r="E3961" s="10">
        <v>13</v>
      </c>
    </row>
    <row r="3962" spans="1:5">
      <c r="A3962" t="s">
        <v>2846</v>
      </c>
      <c r="B3962" t="s">
        <v>2847</v>
      </c>
      <c r="C3962" s="10">
        <v>6</v>
      </c>
      <c r="D3962" s="10">
        <v>0.75</v>
      </c>
      <c r="E3962" s="10">
        <v>14.5</v>
      </c>
    </row>
    <row r="3963" spans="1:5">
      <c r="A3963" t="s">
        <v>2848</v>
      </c>
      <c r="B3963" t="s">
        <v>2849</v>
      </c>
      <c r="C3963" s="10">
        <v>6</v>
      </c>
      <c r="D3963" s="10">
        <v>0.75</v>
      </c>
      <c r="E3963" s="10">
        <v>15</v>
      </c>
    </row>
    <row r="3964" spans="1:5">
      <c r="A3964" t="s">
        <v>2974</v>
      </c>
      <c r="B3964" t="s">
        <v>2975</v>
      </c>
      <c r="C3964" s="10">
        <v>6</v>
      </c>
      <c r="D3964" s="10">
        <v>0.75</v>
      </c>
      <c r="E3964" s="10">
        <v>13</v>
      </c>
    </row>
    <row r="3965" spans="1:5">
      <c r="A3965" t="s">
        <v>2976</v>
      </c>
      <c r="B3965" t="s">
        <v>2977</v>
      </c>
      <c r="C3965" s="10">
        <v>6</v>
      </c>
      <c r="D3965" s="10">
        <v>0.75</v>
      </c>
      <c r="E3965" s="10">
        <v>13</v>
      </c>
    </row>
    <row r="3966" spans="1:5">
      <c r="A3966" t="s">
        <v>3091</v>
      </c>
      <c r="B3966" t="s">
        <v>3092</v>
      </c>
      <c r="C3966" s="10">
        <v>6</v>
      </c>
      <c r="D3966" s="10">
        <v>0.75</v>
      </c>
      <c r="E3966" s="10">
        <v>12</v>
      </c>
    </row>
    <row r="3967" spans="1:5">
      <c r="A3967" t="s">
        <v>1212</v>
      </c>
      <c r="B3967" t="s">
        <v>1213</v>
      </c>
      <c r="C3967" s="10">
        <v>6</v>
      </c>
      <c r="D3967" s="10">
        <v>0.7</v>
      </c>
      <c r="E3967" s="10">
        <v>40</v>
      </c>
    </row>
    <row r="3968" spans="1:5">
      <c r="A3968" t="s">
        <v>4462</v>
      </c>
      <c r="B3968" t="s">
        <v>4463</v>
      </c>
      <c r="C3968" s="10">
        <v>6</v>
      </c>
      <c r="D3968" s="10">
        <v>0.7</v>
      </c>
      <c r="E3968" s="10">
        <v>28</v>
      </c>
    </row>
    <row r="3969" spans="1:5">
      <c r="A3969" t="s">
        <v>10270</v>
      </c>
      <c r="B3969" t="s">
        <v>9094</v>
      </c>
      <c r="C3969" s="10">
        <v>6</v>
      </c>
      <c r="D3969" s="10">
        <v>0.7</v>
      </c>
      <c r="E3969" s="10">
        <v>28</v>
      </c>
    </row>
    <row r="3970" spans="1:5">
      <c r="A3970" t="s">
        <v>2850</v>
      </c>
      <c r="B3970" t="s">
        <v>2851</v>
      </c>
      <c r="C3970" s="10">
        <v>6</v>
      </c>
      <c r="D3970" s="10">
        <v>0.75</v>
      </c>
      <c r="E3970" s="10">
        <v>20</v>
      </c>
    </row>
    <row r="3971" spans="1:5">
      <c r="A3971" t="s">
        <v>2852</v>
      </c>
      <c r="B3971" t="s">
        <v>2853</v>
      </c>
      <c r="C3971" s="10">
        <v>6</v>
      </c>
      <c r="D3971" s="10">
        <v>0.75</v>
      </c>
      <c r="E3971" s="10">
        <v>20</v>
      </c>
    </row>
    <row r="3972" spans="1:5">
      <c r="A3972" t="s">
        <v>2854</v>
      </c>
      <c r="B3972" t="s">
        <v>2855</v>
      </c>
      <c r="C3972" s="10">
        <v>6</v>
      </c>
      <c r="D3972" s="10">
        <v>0.75</v>
      </c>
      <c r="E3972" s="10">
        <v>19</v>
      </c>
    </row>
    <row r="3973" spans="1:5">
      <c r="A3973" t="s">
        <v>2856</v>
      </c>
      <c r="B3973" t="s">
        <v>2857</v>
      </c>
      <c r="C3973" s="10">
        <v>6</v>
      </c>
      <c r="D3973" s="10">
        <v>0.75</v>
      </c>
      <c r="E3973" s="10">
        <v>19</v>
      </c>
    </row>
    <row r="3974" spans="1:5">
      <c r="A3974" t="s">
        <v>2858</v>
      </c>
      <c r="B3974" t="s">
        <v>2859</v>
      </c>
      <c r="C3974" s="10">
        <v>6</v>
      </c>
      <c r="D3974" s="10">
        <v>0.75</v>
      </c>
      <c r="E3974" s="10">
        <v>20</v>
      </c>
    </row>
    <row r="3975" spans="1:5">
      <c r="A3975" t="s">
        <v>5961</v>
      </c>
      <c r="B3975" t="s">
        <v>5962</v>
      </c>
      <c r="C3975" s="10">
        <v>3</v>
      </c>
      <c r="D3975" s="10">
        <v>0.6</v>
      </c>
      <c r="E3975" s="10">
        <v>40</v>
      </c>
    </row>
    <row r="3976" spans="1:5">
      <c r="A3976" t="s">
        <v>2978</v>
      </c>
      <c r="B3976" t="s">
        <v>2979</v>
      </c>
      <c r="C3976" s="10">
        <v>6</v>
      </c>
      <c r="D3976" s="10">
        <v>0.75</v>
      </c>
      <c r="E3976" s="10">
        <v>13</v>
      </c>
    </row>
    <row r="3977" spans="1:5">
      <c r="A3977" t="s">
        <v>3208</v>
      </c>
      <c r="B3977" t="s">
        <v>3209</v>
      </c>
      <c r="C3977" s="10">
        <v>6</v>
      </c>
      <c r="D3977" s="10">
        <v>0.75</v>
      </c>
      <c r="E3977" s="10">
        <v>12.5</v>
      </c>
    </row>
    <row r="3978" spans="1:5">
      <c r="A3978" t="s">
        <v>1902</v>
      </c>
      <c r="B3978" t="s">
        <v>1903</v>
      </c>
      <c r="C3978" s="10">
        <v>6</v>
      </c>
      <c r="D3978" s="10">
        <v>0.5</v>
      </c>
      <c r="E3978" s="10">
        <v>14.9</v>
      </c>
    </row>
    <row r="3979" spans="1:5">
      <c r="A3979" t="s">
        <v>1214</v>
      </c>
      <c r="B3979" t="s">
        <v>1215</v>
      </c>
      <c r="C3979" s="10">
        <v>6</v>
      </c>
      <c r="D3979" s="10">
        <v>0.7</v>
      </c>
      <c r="E3979" s="10">
        <v>40</v>
      </c>
    </row>
    <row r="3980" spans="1:5">
      <c r="A3980" t="s">
        <v>1216</v>
      </c>
      <c r="B3980" t="s">
        <v>1217</v>
      </c>
      <c r="C3980" s="10">
        <v>6</v>
      </c>
      <c r="D3980" s="10">
        <v>0.7</v>
      </c>
      <c r="E3980" s="10">
        <v>40</v>
      </c>
    </row>
    <row r="3981" spans="1:5">
      <c r="A3981" t="s">
        <v>4464</v>
      </c>
      <c r="B3981" t="s">
        <v>4465</v>
      </c>
      <c r="C3981" s="10">
        <v>6</v>
      </c>
      <c r="D3981" s="10">
        <v>0.7</v>
      </c>
      <c r="E3981" s="10">
        <v>42.2</v>
      </c>
    </row>
    <row r="3982" spans="1:5">
      <c r="A3982" t="s">
        <v>4466</v>
      </c>
      <c r="B3982" t="s">
        <v>4467</v>
      </c>
      <c r="C3982" s="10">
        <v>6</v>
      </c>
      <c r="D3982" s="10">
        <v>0.7</v>
      </c>
      <c r="E3982" s="10">
        <v>41.6</v>
      </c>
    </row>
    <row r="3983" spans="1:5">
      <c r="A3983" t="s">
        <v>10271</v>
      </c>
      <c r="B3983" t="s">
        <v>9095</v>
      </c>
      <c r="C3983" s="10">
        <v>6</v>
      </c>
      <c r="D3983" s="10">
        <v>0.7</v>
      </c>
      <c r="E3983" s="10">
        <v>57</v>
      </c>
    </row>
    <row r="3984" spans="1:5">
      <c r="A3984" t="s">
        <v>6434</v>
      </c>
      <c r="B3984" t="s">
        <v>2861</v>
      </c>
      <c r="C3984" s="10">
        <v>24</v>
      </c>
      <c r="D3984" s="10">
        <v>0.2</v>
      </c>
      <c r="E3984" s="10">
        <v>5.5</v>
      </c>
    </row>
    <row r="3985" spans="1:5">
      <c r="A3985" t="s">
        <v>2860</v>
      </c>
      <c r="B3985" t="s">
        <v>2861</v>
      </c>
      <c r="C3985" s="10">
        <v>6</v>
      </c>
      <c r="D3985" s="10">
        <v>0.75</v>
      </c>
      <c r="E3985" s="10">
        <v>5.5</v>
      </c>
    </row>
    <row r="3986" spans="1:5">
      <c r="A3986" t="s">
        <v>6435</v>
      </c>
      <c r="B3986" t="s">
        <v>6436</v>
      </c>
      <c r="C3986" s="10">
        <v>24</v>
      </c>
      <c r="D3986" s="10">
        <v>0.2</v>
      </c>
      <c r="E3986" s="10">
        <v>10.5</v>
      </c>
    </row>
    <row r="3987" spans="1:5">
      <c r="A3987" t="s">
        <v>4468</v>
      </c>
      <c r="B3987" t="s">
        <v>4469</v>
      </c>
      <c r="C3987" s="10">
        <v>6</v>
      </c>
      <c r="D3987" s="10">
        <v>0.7</v>
      </c>
      <c r="E3987" s="10">
        <v>34</v>
      </c>
    </row>
    <row r="3988" spans="1:5">
      <c r="A3988" t="s">
        <v>2341</v>
      </c>
      <c r="B3988" t="s">
        <v>2342</v>
      </c>
      <c r="C3988" s="10">
        <v>6</v>
      </c>
      <c r="D3988" s="10">
        <v>1</v>
      </c>
      <c r="E3988" s="10">
        <v>35</v>
      </c>
    </row>
    <row r="3989" spans="1:5">
      <c r="A3989" t="s">
        <v>2343</v>
      </c>
      <c r="B3989" t="s">
        <v>2344</v>
      </c>
      <c r="C3989" s="10">
        <v>6</v>
      </c>
      <c r="D3989" s="10">
        <v>1</v>
      </c>
      <c r="E3989" s="10">
        <v>30</v>
      </c>
    </row>
    <row r="3990" spans="1:5">
      <c r="A3990" t="s">
        <v>10272</v>
      </c>
      <c r="B3990" t="s">
        <v>2346</v>
      </c>
      <c r="C3990" s="10">
        <v>176</v>
      </c>
      <c r="D3990" s="10">
        <v>0.02</v>
      </c>
      <c r="E3990" s="10">
        <v>21.5</v>
      </c>
    </row>
    <row r="3991" spans="1:5">
      <c r="A3991" t="s">
        <v>6764</v>
      </c>
      <c r="B3991" t="s">
        <v>2346</v>
      </c>
      <c r="C3991" s="10">
        <v>12</v>
      </c>
      <c r="D3991" s="10">
        <v>0.35</v>
      </c>
      <c r="E3991" s="10">
        <v>21.5</v>
      </c>
    </row>
    <row r="3992" spans="1:5">
      <c r="A3992" t="s">
        <v>4470</v>
      </c>
      <c r="B3992" t="s">
        <v>2346</v>
      </c>
      <c r="C3992" s="10">
        <v>6</v>
      </c>
      <c r="D3992" s="10">
        <v>0.7</v>
      </c>
      <c r="E3992" s="10">
        <v>21.5</v>
      </c>
    </row>
    <row r="3993" spans="1:5">
      <c r="A3993" t="s">
        <v>2345</v>
      </c>
      <c r="B3993" t="s">
        <v>2346</v>
      </c>
      <c r="C3993" s="10">
        <v>6</v>
      </c>
      <c r="D3993" s="10">
        <v>1</v>
      </c>
      <c r="E3993" s="10">
        <v>21.5</v>
      </c>
    </row>
    <row r="3994" spans="1:5">
      <c r="A3994" t="s">
        <v>5749</v>
      </c>
      <c r="B3994" t="s">
        <v>5750</v>
      </c>
      <c r="C3994" s="10">
        <v>12</v>
      </c>
      <c r="D3994" s="10">
        <v>1</v>
      </c>
      <c r="E3994" s="10">
        <v>40</v>
      </c>
    </row>
    <row r="3995" spans="1:5">
      <c r="A3995" t="s">
        <v>5854</v>
      </c>
      <c r="B3995" t="s">
        <v>1218</v>
      </c>
      <c r="C3995" s="10">
        <v>12</v>
      </c>
      <c r="D3995" s="10">
        <v>0.7</v>
      </c>
      <c r="E3995" s="10">
        <v>40</v>
      </c>
    </row>
    <row r="3996" spans="1:5">
      <c r="A3996" t="s">
        <v>10273</v>
      </c>
      <c r="B3996" t="s">
        <v>1218</v>
      </c>
      <c r="C3996" s="10">
        <v>6</v>
      </c>
      <c r="D3996" s="10">
        <v>0.7</v>
      </c>
      <c r="E3996" s="10">
        <v>40</v>
      </c>
    </row>
    <row r="3997" spans="1:5">
      <c r="A3997" t="s">
        <v>5751</v>
      </c>
      <c r="B3997" t="s">
        <v>1218</v>
      </c>
      <c r="C3997" s="10">
        <v>12</v>
      </c>
      <c r="D3997" s="10">
        <v>1</v>
      </c>
      <c r="E3997" s="10">
        <v>40</v>
      </c>
    </row>
    <row r="3998" spans="1:5">
      <c r="A3998" t="s">
        <v>4471</v>
      </c>
      <c r="B3998" t="s">
        <v>4472</v>
      </c>
      <c r="C3998" s="10">
        <v>6</v>
      </c>
      <c r="D3998" s="10">
        <v>0.7</v>
      </c>
      <c r="E3998" s="10">
        <v>30</v>
      </c>
    </row>
    <row r="3999" spans="1:5">
      <c r="A3999" t="s">
        <v>4473</v>
      </c>
      <c r="B3999" t="s">
        <v>4474</v>
      </c>
      <c r="C3999" s="10">
        <v>6</v>
      </c>
      <c r="D3999" s="10">
        <v>0.7</v>
      </c>
      <c r="E3999" s="10">
        <v>0</v>
      </c>
    </row>
    <row r="4000" spans="1:5">
      <c r="A4000" t="s">
        <v>4475</v>
      </c>
      <c r="B4000" t="s">
        <v>4476</v>
      </c>
      <c r="C4000" s="10">
        <v>6</v>
      </c>
      <c r="D4000" s="10">
        <v>0.7</v>
      </c>
      <c r="E4000" s="10">
        <v>0</v>
      </c>
    </row>
    <row r="4001" spans="1:5">
      <c r="A4001" t="s">
        <v>4477</v>
      </c>
      <c r="B4001" t="s">
        <v>4478</v>
      </c>
      <c r="C4001" s="10">
        <v>6</v>
      </c>
      <c r="D4001" s="10">
        <v>0.7</v>
      </c>
      <c r="E4001" s="10">
        <v>0</v>
      </c>
    </row>
    <row r="4002" spans="1:5">
      <c r="A4002" t="s">
        <v>10274</v>
      </c>
      <c r="B4002" t="s">
        <v>9096</v>
      </c>
      <c r="C4002" s="10">
        <v>6</v>
      </c>
      <c r="D4002" s="10">
        <v>0.7</v>
      </c>
      <c r="E4002" s="10">
        <v>40</v>
      </c>
    </row>
    <row r="4003" spans="1:5">
      <c r="A4003" t="s">
        <v>10275</v>
      </c>
      <c r="B4003" t="s">
        <v>9097</v>
      </c>
      <c r="C4003" s="10">
        <v>6</v>
      </c>
      <c r="D4003" s="10">
        <v>0.7</v>
      </c>
      <c r="E4003" s="10">
        <v>40</v>
      </c>
    </row>
    <row r="4004" spans="1:5">
      <c r="A4004" t="s">
        <v>10276</v>
      </c>
      <c r="B4004" t="s">
        <v>9098</v>
      </c>
      <c r="C4004" s="10">
        <v>6</v>
      </c>
      <c r="D4004" s="10">
        <v>0.7</v>
      </c>
      <c r="E4004" s="10">
        <v>37.5</v>
      </c>
    </row>
    <row r="4005" spans="1:5">
      <c r="A4005" t="s">
        <v>10277</v>
      </c>
      <c r="B4005" t="s">
        <v>9099</v>
      </c>
      <c r="C4005" s="10">
        <v>6</v>
      </c>
      <c r="D4005" s="10">
        <v>0.7</v>
      </c>
      <c r="E4005" s="10">
        <v>40</v>
      </c>
    </row>
    <row r="4006" spans="1:5">
      <c r="A4006" t="s">
        <v>10278</v>
      </c>
      <c r="B4006" t="s">
        <v>9100</v>
      </c>
      <c r="C4006" s="10">
        <v>6</v>
      </c>
      <c r="D4006" s="10">
        <v>0.7</v>
      </c>
      <c r="E4006" s="10">
        <v>40</v>
      </c>
    </row>
    <row r="4007" spans="1:5">
      <c r="A4007" t="s">
        <v>1609</v>
      </c>
      <c r="B4007" t="s">
        <v>9101</v>
      </c>
      <c r="C4007" s="10">
        <v>6</v>
      </c>
      <c r="D4007" s="10">
        <v>0.5</v>
      </c>
      <c r="E4007" s="10">
        <v>40</v>
      </c>
    </row>
    <row r="4008" spans="1:5">
      <c r="A4008" t="s">
        <v>1219</v>
      </c>
      <c r="B4008" t="s">
        <v>1220</v>
      </c>
      <c r="C4008" s="10">
        <v>6</v>
      </c>
      <c r="D4008" s="10">
        <v>0.7</v>
      </c>
      <c r="E4008" s="10">
        <v>40</v>
      </c>
    </row>
    <row r="4009" spans="1:5">
      <c r="A4009" t="s">
        <v>1904</v>
      </c>
      <c r="B4009" t="s">
        <v>1905</v>
      </c>
      <c r="C4009" s="10">
        <v>6</v>
      </c>
      <c r="D4009" s="10">
        <v>0.5</v>
      </c>
      <c r="E4009" s="10">
        <v>15.5</v>
      </c>
    </row>
    <row r="4010" spans="1:5">
      <c r="A4010" t="s">
        <v>4479</v>
      </c>
      <c r="B4010" t="s">
        <v>1905</v>
      </c>
      <c r="C4010" s="10">
        <v>6</v>
      </c>
      <c r="D4010" s="10">
        <v>0.7</v>
      </c>
      <c r="E4010" s="10">
        <v>15.5</v>
      </c>
    </row>
    <row r="4011" spans="1:5">
      <c r="A4011" t="s">
        <v>2347</v>
      </c>
      <c r="B4011" t="s">
        <v>1905</v>
      </c>
      <c r="C4011" s="10">
        <v>6</v>
      </c>
      <c r="D4011" s="10">
        <v>1</v>
      </c>
      <c r="E4011" s="10">
        <v>15.5</v>
      </c>
    </row>
    <row r="4012" spans="1:5">
      <c r="A4012" t="s">
        <v>10279</v>
      </c>
      <c r="B4012" t="s">
        <v>9102</v>
      </c>
      <c r="C4012" s="10">
        <v>6</v>
      </c>
      <c r="D4012" s="10">
        <v>0.7</v>
      </c>
      <c r="E4012" s="10">
        <v>43</v>
      </c>
    </row>
    <row r="4013" spans="1:5">
      <c r="A4013" t="s">
        <v>5565</v>
      </c>
      <c r="B4013" t="s">
        <v>5566</v>
      </c>
      <c r="C4013" s="10">
        <v>6</v>
      </c>
      <c r="D4013" s="10">
        <v>0.7</v>
      </c>
      <c r="E4013" s="10">
        <v>43</v>
      </c>
    </row>
    <row r="4014" spans="1:5">
      <c r="A4014" t="s">
        <v>10280</v>
      </c>
      <c r="B4014" t="s">
        <v>5567</v>
      </c>
      <c r="C4014" s="10">
        <v>6</v>
      </c>
      <c r="D4014" s="10">
        <v>0.7</v>
      </c>
      <c r="E4014" s="10">
        <v>43</v>
      </c>
    </row>
    <row r="4015" spans="1:5">
      <c r="A4015" t="s">
        <v>6765</v>
      </c>
      <c r="B4015" t="s">
        <v>5567</v>
      </c>
      <c r="C4015" s="10">
        <v>12</v>
      </c>
      <c r="D4015" s="10">
        <v>0.7</v>
      </c>
      <c r="E4015" s="10">
        <v>43</v>
      </c>
    </row>
    <row r="4016" spans="1:5">
      <c r="A4016" t="s">
        <v>1681</v>
      </c>
      <c r="B4016" t="s">
        <v>1682</v>
      </c>
      <c r="C4016" s="10">
        <v>6</v>
      </c>
      <c r="D4016" s="10">
        <v>0.35</v>
      </c>
      <c r="E4016" s="10">
        <v>38</v>
      </c>
    </row>
    <row r="4017" spans="1:5">
      <c r="A4017" t="s">
        <v>6766</v>
      </c>
      <c r="B4017" t="s">
        <v>6767</v>
      </c>
      <c r="C4017" s="10">
        <v>12</v>
      </c>
      <c r="D4017" s="10">
        <v>0.05</v>
      </c>
      <c r="E4017" s="10">
        <v>38</v>
      </c>
    </row>
    <row r="4018" spans="1:5">
      <c r="A4018" t="s">
        <v>10281</v>
      </c>
      <c r="B4018" t="s">
        <v>9103</v>
      </c>
      <c r="C4018" s="10">
        <v>6</v>
      </c>
      <c r="D4018" s="10">
        <v>1</v>
      </c>
      <c r="E4018" s="10">
        <v>25</v>
      </c>
    </row>
    <row r="4019" spans="1:5">
      <c r="A4019" t="s">
        <v>10282</v>
      </c>
      <c r="B4019" t="s">
        <v>1906</v>
      </c>
      <c r="C4019" s="10">
        <v>6</v>
      </c>
      <c r="D4019" s="10">
        <v>0.5</v>
      </c>
      <c r="E4019" s="10">
        <v>38</v>
      </c>
    </row>
    <row r="4020" spans="1:5">
      <c r="A4020" t="s">
        <v>5100</v>
      </c>
      <c r="B4020" t="s">
        <v>1906</v>
      </c>
      <c r="C4020" s="10">
        <v>6</v>
      </c>
      <c r="D4020" s="10">
        <v>0.7</v>
      </c>
      <c r="E4020" s="10">
        <v>38</v>
      </c>
    </row>
    <row r="4021" spans="1:5">
      <c r="A4021" t="s">
        <v>10283</v>
      </c>
      <c r="B4021" t="s">
        <v>1906</v>
      </c>
      <c r="C4021" s="10">
        <v>6</v>
      </c>
      <c r="D4021" s="10">
        <v>1</v>
      </c>
      <c r="E4021" s="10">
        <v>38</v>
      </c>
    </row>
    <row r="4022" spans="1:5">
      <c r="A4022" t="s">
        <v>10284</v>
      </c>
      <c r="B4022" t="s">
        <v>9104</v>
      </c>
      <c r="C4022" s="10">
        <v>6</v>
      </c>
      <c r="D4022" s="10">
        <v>0.7</v>
      </c>
      <c r="E4022" s="10">
        <v>38</v>
      </c>
    </row>
    <row r="4023" spans="1:5">
      <c r="A4023" t="s">
        <v>2348</v>
      </c>
      <c r="B4023" t="s">
        <v>2349</v>
      </c>
      <c r="C4023" s="10">
        <v>6</v>
      </c>
      <c r="D4023" s="10">
        <v>1</v>
      </c>
      <c r="E4023" s="10">
        <v>38</v>
      </c>
    </row>
    <row r="4024" spans="1:5">
      <c r="A4024" t="s">
        <v>10285</v>
      </c>
      <c r="B4024" t="s">
        <v>1908</v>
      </c>
      <c r="C4024" s="10">
        <v>6</v>
      </c>
      <c r="D4024" s="10">
        <v>0.35</v>
      </c>
      <c r="E4024" s="10">
        <v>38</v>
      </c>
    </row>
    <row r="4025" spans="1:5">
      <c r="A4025" t="s">
        <v>1907</v>
      </c>
      <c r="B4025" t="s">
        <v>1908</v>
      </c>
      <c r="C4025" s="10">
        <v>6</v>
      </c>
      <c r="D4025" s="10">
        <v>0.5</v>
      </c>
      <c r="E4025" s="10">
        <v>38</v>
      </c>
    </row>
    <row r="4026" spans="1:5">
      <c r="A4026" t="s">
        <v>5101</v>
      </c>
      <c r="B4026" t="s">
        <v>1908</v>
      </c>
      <c r="C4026" s="10">
        <v>6</v>
      </c>
      <c r="D4026" s="10">
        <v>0.7</v>
      </c>
      <c r="E4026" s="10">
        <v>38</v>
      </c>
    </row>
    <row r="4027" spans="1:5">
      <c r="A4027" t="s">
        <v>10286</v>
      </c>
      <c r="B4027" t="s">
        <v>1908</v>
      </c>
      <c r="C4027" s="10">
        <v>6</v>
      </c>
      <c r="D4027" s="10">
        <v>0.7</v>
      </c>
      <c r="E4027" s="10">
        <v>38</v>
      </c>
    </row>
    <row r="4028" spans="1:5">
      <c r="A4028" t="s">
        <v>2350</v>
      </c>
      <c r="B4028" t="s">
        <v>2351</v>
      </c>
      <c r="C4028" s="10">
        <v>6</v>
      </c>
      <c r="D4028" s="10">
        <v>1</v>
      </c>
      <c r="E4028" s="10">
        <v>38</v>
      </c>
    </row>
    <row r="4029" spans="1:5">
      <c r="A4029" t="s">
        <v>10287</v>
      </c>
      <c r="B4029" t="s">
        <v>9105</v>
      </c>
      <c r="C4029" s="10">
        <v>12</v>
      </c>
      <c r="D4029" s="10">
        <v>0.05</v>
      </c>
      <c r="E4029" s="10">
        <v>38</v>
      </c>
    </row>
    <row r="4030" spans="1:5">
      <c r="A4030" t="s">
        <v>10288</v>
      </c>
      <c r="B4030" t="s">
        <v>9106</v>
      </c>
      <c r="C4030" s="10">
        <v>6</v>
      </c>
      <c r="D4030" s="10">
        <v>0.7</v>
      </c>
      <c r="E4030" s="10">
        <v>40</v>
      </c>
    </row>
    <row r="4031" spans="1:5">
      <c r="A4031" t="s">
        <v>6437</v>
      </c>
      <c r="B4031" t="s">
        <v>5569</v>
      </c>
      <c r="C4031" s="10">
        <v>96</v>
      </c>
      <c r="D4031" s="10">
        <v>0.05</v>
      </c>
      <c r="E4031" s="10">
        <v>43</v>
      </c>
    </row>
    <row r="4032" spans="1:5">
      <c r="A4032" t="s">
        <v>5568</v>
      </c>
      <c r="B4032" t="s">
        <v>5569</v>
      </c>
      <c r="C4032" s="10">
        <v>6</v>
      </c>
      <c r="D4032" s="10">
        <v>0.7</v>
      </c>
      <c r="E4032" s="10">
        <v>43</v>
      </c>
    </row>
    <row r="4033" spans="1:5">
      <c r="A4033" t="s">
        <v>5570</v>
      </c>
      <c r="B4033" t="s">
        <v>5571</v>
      </c>
      <c r="C4033" s="10">
        <v>6</v>
      </c>
      <c r="D4033" s="10">
        <v>0.7</v>
      </c>
      <c r="E4033" s="10">
        <v>43</v>
      </c>
    </row>
    <row r="4034" spans="1:5">
      <c r="A4034" t="s">
        <v>4480</v>
      </c>
      <c r="B4034" t="s">
        <v>4481</v>
      </c>
      <c r="C4034" s="10">
        <v>6</v>
      </c>
      <c r="D4034" s="10">
        <v>0.7</v>
      </c>
      <c r="E4034" s="10">
        <v>40.4</v>
      </c>
    </row>
    <row r="4035" spans="1:5">
      <c r="A4035" t="s">
        <v>4482</v>
      </c>
      <c r="B4035" t="s">
        <v>4483</v>
      </c>
      <c r="C4035" s="10">
        <v>6</v>
      </c>
      <c r="D4035" s="10">
        <v>0.7</v>
      </c>
      <c r="E4035" s="10">
        <v>41.6</v>
      </c>
    </row>
    <row r="4036" spans="1:5">
      <c r="A4036" t="s">
        <v>1909</v>
      </c>
      <c r="B4036" t="s">
        <v>1910</v>
      </c>
      <c r="C4036" s="10">
        <v>6</v>
      </c>
      <c r="D4036" s="10">
        <v>0.5</v>
      </c>
      <c r="E4036" s="10">
        <v>29</v>
      </c>
    </row>
    <row r="4037" spans="1:5">
      <c r="A4037" t="s">
        <v>1221</v>
      </c>
      <c r="B4037" t="s">
        <v>1222</v>
      </c>
      <c r="C4037" s="10">
        <v>6</v>
      </c>
      <c r="D4037" s="10">
        <v>0.7</v>
      </c>
      <c r="E4037" s="10">
        <v>40</v>
      </c>
    </row>
    <row r="4038" spans="1:5">
      <c r="A4038" t="s">
        <v>10289</v>
      </c>
      <c r="B4038" t="s">
        <v>6069</v>
      </c>
      <c r="C4038" s="10">
        <v>10</v>
      </c>
      <c r="D4038" s="10">
        <v>0.7</v>
      </c>
      <c r="E4038" s="10">
        <v>40</v>
      </c>
    </row>
    <row r="4039" spans="1:5">
      <c r="A4039" t="s">
        <v>6070</v>
      </c>
      <c r="B4039" t="s">
        <v>6071</v>
      </c>
      <c r="C4039" s="10">
        <v>5</v>
      </c>
      <c r="D4039" s="10">
        <v>0.7</v>
      </c>
      <c r="E4039" s="10">
        <v>40</v>
      </c>
    </row>
    <row r="4040" spans="1:5">
      <c r="A4040" t="s">
        <v>1514</v>
      </c>
      <c r="B4040" t="s">
        <v>1515</v>
      </c>
      <c r="C4040" s="10">
        <v>6</v>
      </c>
      <c r="D4040" s="10">
        <v>1</v>
      </c>
      <c r="E4040" s="10">
        <v>40</v>
      </c>
    </row>
    <row r="4041" spans="1:5">
      <c r="A4041" t="s">
        <v>6768</v>
      </c>
      <c r="B4041" t="s">
        <v>6769</v>
      </c>
      <c r="C4041" s="10">
        <v>12</v>
      </c>
      <c r="D4041" s="10">
        <v>0.25</v>
      </c>
      <c r="E4041" s="10">
        <v>0</v>
      </c>
    </row>
    <row r="4042" spans="1:5">
      <c r="A4042" t="s">
        <v>2352</v>
      </c>
      <c r="B4042" t="s">
        <v>2353</v>
      </c>
      <c r="C4042" s="10">
        <v>6</v>
      </c>
      <c r="D4042" s="10">
        <v>1</v>
      </c>
      <c r="E4042" s="10">
        <v>0</v>
      </c>
    </row>
    <row r="4043" spans="1:5">
      <c r="A4043" t="s">
        <v>6770</v>
      </c>
      <c r="B4043" t="s">
        <v>6771</v>
      </c>
      <c r="C4043" s="10">
        <v>12</v>
      </c>
      <c r="D4043" s="10">
        <v>0.25</v>
      </c>
      <c r="E4043" s="10">
        <v>0</v>
      </c>
    </row>
    <row r="4044" spans="1:5">
      <c r="A4044" t="s">
        <v>6772</v>
      </c>
      <c r="B4044" t="s">
        <v>6773</v>
      </c>
      <c r="C4044" s="10">
        <v>12</v>
      </c>
      <c r="D4044" s="10">
        <v>0.25</v>
      </c>
      <c r="E4044" s="10">
        <v>0</v>
      </c>
    </row>
    <row r="4045" spans="1:5">
      <c r="A4045" t="s">
        <v>6774</v>
      </c>
      <c r="B4045" t="s">
        <v>6775</v>
      </c>
      <c r="C4045" s="10">
        <v>12</v>
      </c>
      <c r="D4045" s="10">
        <v>0.25</v>
      </c>
      <c r="E4045" s="10">
        <v>0</v>
      </c>
    </row>
    <row r="4046" spans="1:5">
      <c r="A4046" t="s">
        <v>5572</v>
      </c>
      <c r="B4046" t="s">
        <v>5573</v>
      </c>
      <c r="C4046" s="10">
        <v>6</v>
      </c>
      <c r="D4046" s="10">
        <v>0.7</v>
      </c>
      <c r="E4046" s="10">
        <v>43</v>
      </c>
    </row>
    <row r="4047" spans="1:5">
      <c r="A4047" t="s">
        <v>5574</v>
      </c>
      <c r="B4047" t="s">
        <v>5575</v>
      </c>
      <c r="C4047" s="10">
        <v>6</v>
      </c>
      <c r="D4047" s="10">
        <v>0.7</v>
      </c>
      <c r="E4047" s="10">
        <v>43</v>
      </c>
    </row>
    <row r="4048" spans="1:5">
      <c r="A4048" t="s">
        <v>5576</v>
      </c>
      <c r="B4048" t="s">
        <v>5577</v>
      </c>
      <c r="C4048" s="10">
        <v>6</v>
      </c>
      <c r="D4048" s="10">
        <v>0.7</v>
      </c>
      <c r="E4048" s="10">
        <v>43</v>
      </c>
    </row>
    <row r="4049" spans="1:5">
      <c r="A4049" t="s">
        <v>5578</v>
      </c>
      <c r="B4049" t="s">
        <v>5579</v>
      </c>
      <c r="C4049" s="10">
        <v>6</v>
      </c>
      <c r="D4049" s="10">
        <v>0.7</v>
      </c>
      <c r="E4049" s="10">
        <v>43</v>
      </c>
    </row>
    <row r="4050" spans="1:5">
      <c r="A4050" t="s">
        <v>10290</v>
      </c>
      <c r="B4050" t="s">
        <v>9107</v>
      </c>
      <c r="C4050" s="10">
        <v>3</v>
      </c>
      <c r="D4050" s="10">
        <v>0.7</v>
      </c>
      <c r="E4050" s="10">
        <v>69</v>
      </c>
    </row>
    <row r="4051" spans="1:5">
      <c r="A4051" t="s">
        <v>10291</v>
      </c>
      <c r="B4051" t="s">
        <v>9108</v>
      </c>
      <c r="C4051" s="10">
        <v>6</v>
      </c>
      <c r="D4051" s="10">
        <v>0.7</v>
      </c>
      <c r="E4051" s="10">
        <v>41.8</v>
      </c>
    </row>
    <row r="4052" spans="1:5">
      <c r="A4052" t="s">
        <v>4484</v>
      </c>
      <c r="B4052" t="s">
        <v>4485</v>
      </c>
      <c r="C4052" s="10">
        <v>6</v>
      </c>
      <c r="D4052" s="10">
        <v>0.7</v>
      </c>
      <c r="E4052" s="10">
        <v>41.8</v>
      </c>
    </row>
    <row r="4053" spans="1:5">
      <c r="A4053" t="s">
        <v>1223</v>
      </c>
      <c r="B4053" t="s">
        <v>1224</v>
      </c>
      <c r="C4053" s="10">
        <v>6</v>
      </c>
      <c r="D4053" s="10">
        <v>0.7</v>
      </c>
      <c r="E4053" s="10">
        <v>40</v>
      </c>
    </row>
    <row r="4054" spans="1:5">
      <c r="A4054" t="s">
        <v>5752</v>
      </c>
      <c r="B4054" t="s">
        <v>1224</v>
      </c>
      <c r="C4054" s="10">
        <v>12</v>
      </c>
      <c r="D4054" s="10">
        <v>1</v>
      </c>
      <c r="E4054" s="10">
        <v>40</v>
      </c>
    </row>
    <row r="4055" spans="1:5">
      <c r="A4055" t="s">
        <v>3210</v>
      </c>
      <c r="B4055" t="s">
        <v>3211</v>
      </c>
      <c r="C4055" s="10">
        <v>6</v>
      </c>
      <c r="D4055" s="10">
        <v>0.75</v>
      </c>
      <c r="E4055" s="10">
        <v>12.5</v>
      </c>
    </row>
    <row r="4056" spans="1:5">
      <c r="A4056" t="s">
        <v>4486</v>
      </c>
      <c r="B4056" t="s">
        <v>4487</v>
      </c>
      <c r="C4056" s="10">
        <v>6</v>
      </c>
      <c r="D4056" s="10">
        <v>0.7</v>
      </c>
      <c r="E4056" s="10">
        <v>51.5</v>
      </c>
    </row>
    <row r="4057" spans="1:5">
      <c r="A4057" t="s">
        <v>4488</v>
      </c>
      <c r="B4057" t="s">
        <v>4489</v>
      </c>
      <c r="C4057" s="10">
        <v>6</v>
      </c>
      <c r="D4057" s="10">
        <v>0.7</v>
      </c>
      <c r="E4057" s="10">
        <v>48</v>
      </c>
    </row>
    <row r="4058" spans="1:5">
      <c r="A4058" t="s">
        <v>4810</v>
      </c>
      <c r="B4058" t="s">
        <v>4811</v>
      </c>
      <c r="C4058" s="10">
        <v>6</v>
      </c>
      <c r="D4058" s="10">
        <v>0.7</v>
      </c>
      <c r="E4058" s="10">
        <v>45</v>
      </c>
    </row>
    <row r="4059" spans="1:5">
      <c r="A4059" t="s">
        <v>10292</v>
      </c>
      <c r="B4059" t="s">
        <v>9109</v>
      </c>
      <c r="C4059" s="10">
        <v>6</v>
      </c>
      <c r="D4059" s="10">
        <v>0.7</v>
      </c>
      <c r="E4059" s="10">
        <v>40</v>
      </c>
    </row>
    <row r="4060" spans="1:5">
      <c r="A4060" t="s">
        <v>6884</v>
      </c>
      <c r="B4060" t="s">
        <v>6885</v>
      </c>
      <c r="C4060" s="10">
        <v>12</v>
      </c>
      <c r="D4060" s="10">
        <v>1</v>
      </c>
      <c r="E4060" s="10">
        <v>50</v>
      </c>
    </row>
    <row r="4061" spans="1:5">
      <c r="A4061" t="s">
        <v>4490</v>
      </c>
      <c r="B4061" t="s">
        <v>4491</v>
      </c>
      <c r="C4061" s="10">
        <v>6</v>
      </c>
      <c r="D4061" s="10">
        <v>0.7</v>
      </c>
      <c r="E4061" s="10">
        <v>4</v>
      </c>
    </row>
    <row r="4062" spans="1:5">
      <c r="A4062" t="s">
        <v>6438</v>
      </c>
      <c r="B4062" t="s">
        <v>4491</v>
      </c>
      <c r="C4062" s="10">
        <v>24</v>
      </c>
      <c r="D4062" s="10">
        <v>275</v>
      </c>
      <c r="E4062" s="10">
        <v>4</v>
      </c>
    </row>
    <row r="4063" spans="1:5">
      <c r="A4063" t="s">
        <v>4492</v>
      </c>
      <c r="B4063" t="s">
        <v>4493</v>
      </c>
      <c r="C4063" s="10">
        <v>6</v>
      </c>
      <c r="D4063" s="10">
        <v>0.7</v>
      </c>
      <c r="E4063" s="10">
        <v>25</v>
      </c>
    </row>
    <row r="4064" spans="1:5">
      <c r="A4064" t="s">
        <v>4494</v>
      </c>
      <c r="B4064" t="s">
        <v>4495</v>
      </c>
      <c r="C4064" s="10">
        <v>6</v>
      </c>
      <c r="D4064" s="10">
        <v>0.7</v>
      </c>
      <c r="E4064" s="10">
        <v>25</v>
      </c>
    </row>
    <row r="4065" spans="1:5">
      <c r="A4065" t="s">
        <v>6439</v>
      </c>
      <c r="B4065" t="s">
        <v>1684</v>
      </c>
      <c r="C4065" s="10">
        <v>48</v>
      </c>
      <c r="D4065" s="10">
        <v>0.2</v>
      </c>
      <c r="E4065" s="10">
        <v>37.5</v>
      </c>
    </row>
    <row r="4066" spans="1:5">
      <c r="A4066" t="s">
        <v>6440</v>
      </c>
      <c r="B4066" t="s">
        <v>1684</v>
      </c>
      <c r="C4066" s="10">
        <v>24</v>
      </c>
      <c r="D4066" s="10">
        <v>0.35</v>
      </c>
      <c r="E4066" s="10">
        <v>37.5</v>
      </c>
    </row>
    <row r="4067" spans="1:5">
      <c r="A4067" t="s">
        <v>1911</v>
      </c>
      <c r="B4067" t="s">
        <v>1684</v>
      </c>
      <c r="C4067" s="10">
        <v>6</v>
      </c>
      <c r="D4067" s="10">
        <v>0.5</v>
      </c>
      <c r="E4067" s="10">
        <v>37.5</v>
      </c>
    </row>
    <row r="4068" spans="1:5">
      <c r="A4068" t="s">
        <v>4917</v>
      </c>
      <c r="B4068" t="s">
        <v>1684</v>
      </c>
      <c r="C4068" s="10">
        <v>6</v>
      </c>
      <c r="D4068" s="10">
        <v>0.7</v>
      </c>
      <c r="E4068" s="10">
        <v>37.5</v>
      </c>
    </row>
    <row r="4069" spans="1:5">
      <c r="A4069" t="s">
        <v>2354</v>
      </c>
      <c r="B4069" t="s">
        <v>1684</v>
      </c>
      <c r="C4069" s="10">
        <v>6</v>
      </c>
      <c r="D4069" s="10">
        <v>1</v>
      </c>
      <c r="E4069" s="10">
        <v>37.5</v>
      </c>
    </row>
    <row r="4070" spans="1:5">
      <c r="A4070" t="s">
        <v>1683</v>
      </c>
      <c r="B4070" t="s">
        <v>1684</v>
      </c>
      <c r="C4070" s="10">
        <v>6</v>
      </c>
      <c r="D4070" s="10">
        <v>1.5</v>
      </c>
      <c r="E4070" s="10">
        <v>37.5</v>
      </c>
    </row>
    <row r="4071" spans="1:5">
      <c r="A4071" t="s">
        <v>5963</v>
      </c>
      <c r="B4071" t="s">
        <v>5964</v>
      </c>
      <c r="C4071" s="10">
        <v>4</v>
      </c>
      <c r="D4071" s="10">
        <v>3</v>
      </c>
      <c r="E4071" s="10">
        <v>40</v>
      </c>
    </row>
    <row r="4072" spans="1:5">
      <c r="A4072" t="s">
        <v>6441</v>
      </c>
      <c r="B4072" t="s">
        <v>5966</v>
      </c>
      <c r="C4072" s="10">
        <v>120</v>
      </c>
      <c r="D4072" s="10">
        <v>0.05</v>
      </c>
      <c r="E4072" s="10">
        <v>37.5</v>
      </c>
    </row>
    <row r="4073" spans="1:5">
      <c r="A4073" t="s">
        <v>6442</v>
      </c>
      <c r="B4073" t="s">
        <v>5966</v>
      </c>
      <c r="C4073" s="10">
        <v>48</v>
      </c>
      <c r="D4073" s="10">
        <v>0.2</v>
      </c>
      <c r="E4073" s="10">
        <v>37.5</v>
      </c>
    </row>
    <row r="4074" spans="1:5">
      <c r="A4074" t="s">
        <v>6443</v>
      </c>
      <c r="B4074" t="s">
        <v>5966</v>
      </c>
      <c r="C4074" s="10">
        <v>48</v>
      </c>
      <c r="D4074" s="10">
        <v>0.2</v>
      </c>
      <c r="E4074" s="10">
        <v>37.5</v>
      </c>
    </row>
    <row r="4075" spans="1:5">
      <c r="A4075" t="s">
        <v>5965</v>
      </c>
      <c r="B4075" t="s">
        <v>5966</v>
      </c>
      <c r="C4075" s="10">
        <v>24</v>
      </c>
      <c r="D4075" s="10">
        <v>0.5</v>
      </c>
      <c r="E4075" s="10">
        <v>40</v>
      </c>
    </row>
    <row r="4076" spans="1:5">
      <c r="A4076" t="s">
        <v>10293</v>
      </c>
      <c r="B4076" t="s">
        <v>9110</v>
      </c>
      <c r="C4076" s="10">
        <v>6</v>
      </c>
      <c r="D4076" s="10">
        <v>1</v>
      </c>
      <c r="E4076" s="10">
        <v>41.3</v>
      </c>
    </row>
    <row r="4077" spans="1:5">
      <c r="A4077" t="s">
        <v>4496</v>
      </c>
      <c r="B4077" t="s">
        <v>4497</v>
      </c>
      <c r="C4077" s="10">
        <v>6</v>
      </c>
      <c r="D4077" s="10">
        <v>0.7</v>
      </c>
      <c r="E4077" s="10">
        <v>57</v>
      </c>
    </row>
    <row r="4078" spans="1:5">
      <c r="A4078" t="s">
        <v>10294</v>
      </c>
      <c r="B4078" t="s">
        <v>9111</v>
      </c>
      <c r="C4078" s="10">
        <v>6</v>
      </c>
      <c r="D4078" s="10">
        <v>0.7</v>
      </c>
      <c r="E4078" s="10">
        <v>58</v>
      </c>
    </row>
    <row r="4079" spans="1:5">
      <c r="A4079" t="s">
        <v>5580</v>
      </c>
      <c r="B4079" t="s">
        <v>6957</v>
      </c>
      <c r="C4079" s="10">
        <v>6</v>
      </c>
      <c r="D4079" s="10">
        <v>0.7</v>
      </c>
      <c r="E4079" s="10">
        <v>43</v>
      </c>
    </row>
    <row r="4080" spans="1:5">
      <c r="A4080" t="s">
        <v>10295</v>
      </c>
      <c r="B4080" t="s">
        <v>9112</v>
      </c>
      <c r="C4080" s="10">
        <v>6</v>
      </c>
      <c r="D4080" s="10">
        <v>0.7</v>
      </c>
      <c r="E4080" s="10">
        <v>46</v>
      </c>
    </row>
    <row r="4081" spans="1:5">
      <c r="A4081" t="s">
        <v>10296</v>
      </c>
      <c r="B4081" t="s">
        <v>9113</v>
      </c>
      <c r="C4081" s="10">
        <v>6</v>
      </c>
      <c r="D4081" s="10">
        <v>0.7</v>
      </c>
      <c r="E4081" s="10">
        <v>48</v>
      </c>
    </row>
    <row r="4082" spans="1:5">
      <c r="A4082" t="s">
        <v>5581</v>
      </c>
      <c r="B4082" t="s">
        <v>9114</v>
      </c>
      <c r="C4082" s="10">
        <v>6</v>
      </c>
      <c r="D4082" s="10">
        <v>0.7</v>
      </c>
      <c r="E4082" s="10">
        <v>43</v>
      </c>
    </row>
    <row r="4083" spans="1:5">
      <c r="A4083" t="s">
        <v>10297</v>
      </c>
      <c r="B4083" t="s">
        <v>9115</v>
      </c>
      <c r="C4083" s="10">
        <v>24</v>
      </c>
      <c r="D4083" s="10">
        <v>0.15</v>
      </c>
      <c r="E4083" s="10">
        <v>49</v>
      </c>
    </row>
    <row r="4084" spans="1:5">
      <c r="A4084" t="s">
        <v>5582</v>
      </c>
      <c r="B4084" t="s">
        <v>5583</v>
      </c>
      <c r="C4084" s="10">
        <v>6</v>
      </c>
      <c r="D4084" s="10">
        <v>0.7</v>
      </c>
      <c r="E4084" s="10">
        <v>43</v>
      </c>
    </row>
    <row r="4085" spans="1:5">
      <c r="A4085" t="s">
        <v>5584</v>
      </c>
      <c r="B4085" t="s">
        <v>5583</v>
      </c>
      <c r="C4085" s="10">
        <v>6</v>
      </c>
      <c r="D4085" s="10">
        <v>0.7</v>
      </c>
      <c r="E4085" s="10">
        <v>43</v>
      </c>
    </row>
    <row r="4086" spans="1:5">
      <c r="A4086" t="s">
        <v>4498</v>
      </c>
      <c r="B4086" t="s">
        <v>4499</v>
      </c>
      <c r="C4086" s="10">
        <v>6</v>
      </c>
      <c r="D4086" s="10">
        <v>0.7</v>
      </c>
      <c r="E4086" s="10">
        <v>20</v>
      </c>
    </row>
    <row r="4087" spans="1:5">
      <c r="A4087" t="s">
        <v>4500</v>
      </c>
      <c r="B4087" t="s">
        <v>2356</v>
      </c>
      <c r="C4087" s="10">
        <v>6</v>
      </c>
      <c r="D4087" s="10">
        <v>0.7</v>
      </c>
      <c r="E4087" s="10">
        <v>36</v>
      </c>
    </row>
    <row r="4088" spans="1:5">
      <c r="A4088" t="s">
        <v>2355</v>
      </c>
      <c r="B4088" t="s">
        <v>2356</v>
      </c>
      <c r="C4088" s="10">
        <v>6</v>
      </c>
      <c r="D4088" s="10">
        <v>1</v>
      </c>
      <c r="E4088" s="10">
        <v>30</v>
      </c>
    </row>
    <row r="4089" spans="1:5">
      <c r="A4089" t="s">
        <v>5855</v>
      </c>
      <c r="B4089" t="s">
        <v>5754</v>
      </c>
      <c r="C4089" s="10">
        <v>12</v>
      </c>
      <c r="D4089" s="10">
        <v>0.7</v>
      </c>
      <c r="E4089" s="10">
        <v>40</v>
      </c>
    </row>
    <row r="4090" spans="1:5">
      <c r="A4090" t="s">
        <v>5753</v>
      </c>
      <c r="B4090" t="s">
        <v>5754</v>
      </c>
      <c r="C4090" s="10">
        <v>12</v>
      </c>
      <c r="D4090" s="10">
        <v>1</v>
      </c>
      <c r="E4090" s="10">
        <v>40</v>
      </c>
    </row>
    <row r="4091" spans="1:5">
      <c r="A4091" t="s">
        <v>5755</v>
      </c>
      <c r="B4091" t="s">
        <v>5756</v>
      </c>
      <c r="C4091" s="10">
        <v>12</v>
      </c>
      <c r="D4091" s="10">
        <v>1</v>
      </c>
      <c r="E4091" s="10">
        <v>40</v>
      </c>
    </row>
    <row r="4092" spans="1:5">
      <c r="A4092" t="s">
        <v>5856</v>
      </c>
      <c r="B4092" t="s">
        <v>5857</v>
      </c>
      <c r="C4092" s="10">
        <v>12</v>
      </c>
      <c r="D4092" s="10">
        <v>0.7</v>
      </c>
      <c r="E4092" s="10">
        <v>40</v>
      </c>
    </row>
    <row r="4093" spans="1:5">
      <c r="A4093" t="s">
        <v>6444</v>
      </c>
      <c r="B4093" t="s">
        <v>6445</v>
      </c>
      <c r="C4093" s="10">
        <v>24</v>
      </c>
      <c r="D4093" s="10">
        <v>0.33</v>
      </c>
      <c r="E4093" s="10">
        <v>4.5</v>
      </c>
    </row>
    <row r="4094" spans="1:5">
      <c r="A4094" t="s">
        <v>10298</v>
      </c>
      <c r="B4094" t="s">
        <v>9116</v>
      </c>
      <c r="C4094" s="10">
        <v>24</v>
      </c>
      <c r="D4094" s="10">
        <v>0.33</v>
      </c>
      <c r="E4094" s="10">
        <v>6</v>
      </c>
    </row>
    <row r="4095" spans="1:5">
      <c r="A4095" t="s">
        <v>6776</v>
      </c>
      <c r="B4095" t="s">
        <v>2358</v>
      </c>
      <c r="C4095" s="10">
        <v>12</v>
      </c>
      <c r="D4095" s="10">
        <v>0.04</v>
      </c>
      <c r="E4095" s="10">
        <v>30</v>
      </c>
    </row>
    <row r="4096" spans="1:5">
      <c r="A4096" t="s">
        <v>6777</v>
      </c>
      <c r="B4096" t="s">
        <v>2358</v>
      </c>
      <c r="C4096" s="10">
        <v>12</v>
      </c>
      <c r="D4096" s="10">
        <v>0.5</v>
      </c>
      <c r="E4096" s="10">
        <v>30</v>
      </c>
    </row>
    <row r="4097" spans="1:5">
      <c r="A4097" t="s">
        <v>2357</v>
      </c>
      <c r="B4097" t="s">
        <v>2358</v>
      </c>
      <c r="C4097" s="10">
        <v>6</v>
      </c>
      <c r="D4097" s="10">
        <v>1</v>
      </c>
      <c r="E4097" s="10">
        <v>30</v>
      </c>
    </row>
    <row r="4098" spans="1:5">
      <c r="A4098" t="s">
        <v>10299</v>
      </c>
      <c r="B4098" t="s">
        <v>1686</v>
      </c>
      <c r="C4098" s="10">
        <v>12</v>
      </c>
      <c r="D4098" s="10">
        <v>0.25</v>
      </c>
      <c r="E4098" s="10">
        <v>7</v>
      </c>
    </row>
    <row r="4099" spans="1:5">
      <c r="A4099" t="s">
        <v>1685</v>
      </c>
      <c r="B4099" t="s">
        <v>1686</v>
      </c>
      <c r="C4099" s="10">
        <v>6</v>
      </c>
      <c r="D4099" s="10">
        <v>1.5</v>
      </c>
      <c r="E4099" s="10">
        <v>7</v>
      </c>
    </row>
    <row r="4100" spans="1:5">
      <c r="A4100" t="s">
        <v>6778</v>
      </c>
      <c r="B4100" t="s">
        <v>6779</v>
      </c>
      <c r="C4100" s="10">
        <v>12</v>
      </c>
      <c r="D4100" s="10">
        <v>0.25</v>
      </c>
      <c r="E4100" s="10">
        <v>7</v>
      </c>
    </row>
    <row r="4101" spans="1:5">
      <c r="A4101" t="s">
        <v>6446</v>
      </c>
      <c r="B4101" t="s">
        <v>6447</v>
      </c>
      <c r="C4101" s="10">
        <v>4</v>
      </c>
      <c r="D4101" s="10">
        <v>3</v>
      </c>
      <c r="E4101" s="10">
        <v>30</v>
      </c>
    </row>
    <row r="4102" spans="1:5">
      <c r="A4102" t="s">
        <v>6780</v>
      </c>
      <c r="B4102" t="s">
        <v>6781</v>
      </c>
      <c r="C4102" s="10">
        <v>12</v>
      </c>
      <c r="D4102" s="10">
        <v>0.2</v>
      </c>
      <c r="E4102" s="10">
        <v>30</v>
      </c>
    </row>
    <row r="4103" spans="1:5">
      <c r="A4103" t="s">
        <v>6448</v>
      </c>
      <c r="B4103" t="s">
        <v>6449</v>
      </c>
      <c r="C4103" s="10">
        <v>15</v>
      </c>
      <c r="D4103" s="10">
        <v>0.5</v>
      </c>
      <c r="E4103" s="10">
        <v>25</v>
      </c>
    </row>
    <row r="4104" spans="1:5">
      <c r="A4104" t="s">
        <v>6450</v>
      </c>
      <c r="B4104" t="s">
        <v>6451</v>
      </c>
      <c r="C4104" s="10">
        <v>15</v>
      </c>
      <c r="D4104" s="10">
        <v>0.5</v>
      </c>
      <c r="E4104" s="10">
        <v>28</v>
      </c>
    </row>
    <row r="4105" spans="1:5">
      <c r="A4105" t="s">
        <v>6452</v>
      </c>
      <c r="B4105" t="s">
        <v>6453</v>
      </c>
      <c r="C4105" s="10">
        <v>15</v>
      </c>
      <c r="D4105" s="10">
        <v>0.5</v>
      </c>
      <c r="E4105" s="10">
        <v>28</v>
      </c>
    </row>
    <row r="4106" spans="1:5">
      <c r="A4106" t="s">
        <v>6454</v>
      </c>
      <c r="B4106" t="s">
        <v>6455</v>
      </c>
      <c r="C4106" s="10">
        <v>96</v>
      </c>
      <c r="D4106" s="10">
        <v>0.1</v>
      </c>
      <c r="E4106" s="10">
        <v>28</v>
      </c>
    </row>
    <row r="4107" spans="1:5">
      <c r="A4107" t="s">
        <v>6456</v>
      </c>
      <c r="B4107" t="s">
        <v>6455</v>
      </c>
      <c r="C4107" s="10">
        <v>15</v>
      </c>
      <c r="D4107" s="10">
        <v>0.5</v>
      </c>
      <c r="E4107" s="10">
        <v>28</v>
      </c>
    </row>
    <row r="4108" spans="1:5">
      <c r="A4108" t="s">
        <v>6457</v>
      </c>
      <c r="B4108" t="s">
        <v>6458</v>
      </c>
      <c r="C4108" s="10">
        <v>15</v>
      </c>
      <c r="D4108" s="10">
        <v>0.5</v>
      </c>
      <c r="E4108" s="10">
        <v>28</v>
      </c>
    </row>
    <row r="4109" spans="1:5">
      <c r="A4109" t="s">
        <v>10300</v>
      </c>
      <c r="B4109" t="s">
        <v>9117</v>
      </c>
      <c r="C4109" s="10">
        <v>15</v>
      </c>
      <c r="D4109" s="10">
        <v>0.5</v>
      </c>
      <c r="E4109" s="10">
        <v>28</v>
      </c>
    </row>
    <row r="4110" spans="1:5">
      <c r="A4110" t="s">
        <v>6459</v>
      </c>
      <c r="B4110" t="s">
        <v>6460</v>
      </c>
      <c r="C4110" s="10">
        <v>15</v>
      </c>
      <c r="D4110" s="10">
        <v>0.5</v>
      </c>
      <c r="E4110" s="10">
        <v>25</v>
      </c>
    </row>
    <row r="4111" spans="1:5">
      <c r="A4111" t="s">
        <v>6461</v>
      </c>
      <c r="B4111" t="s">
        <v>6462</v>
      </c>
      <c r="C4111" s="10">
        <v>15</v>
      </c>
      <c r="D4111" s="10">
        <v>0.5</v>
      </c>
      <c r="E4111" s="10">
        <v>25</v>
      </c>
    </row>
    <row r="4112" spans="1:5">
      <c r="A4112" t="s">
        <v>6463</v>
      </c>
      <c r="B4112" t="s">
        <v>6464</v>
      </c>
      <c r="C4112" s="10">
        <v>15</v>
      </c>
      <c r="D4112" s="10">
        <v>0.5</v>
      </c>
      <c r="E4112" s="10">
        <v>28</v>
      </c>
    </row>
    <row r="4113" spans="1:5">
      <c r="A4113" t="s">
        <v>6465</v>
      </c>
      <c r="B4113" t="s">
        <v>6466</v>
      </c>
      <c r="C4113" s="10">
        <v>96</v>
      </c>
      <c r="D4113" s="10">
        <v>0.1</v>
      </c>
      <c r="E4113" s="10">
        <v>28</v>
      </c>
    </row>
    <row r="4114" spans="1:5">
      <c r="A4114" t="s">
        <v>6467</v>
      </c>
      <c r="B4114" t="s">
        <v>6466</v>
      </c>
      <c r="C4114" s="10">
        <v>15</v>
      </c>
      <c r="D4114" s="10">
        <v>0.5</v>
      </c>
      <c r="E4114" s="10">
        <v>28</v>
      </c>
    </row>
    <row r="4115" spans="1:5">
      <c r="A4115" t="s">
        <v>6468</v>
      </c>
      <c r="B4115" t="s">
        <v>6469</v>
      </c>
      <c r="C4115" s="10">
        <v>15</v>
      </c>
      <c r="D4115" s="10">
        <v>0.5</v>
      </c>
      <c r="E4115" s="10">
        <v>28</v>
      </c>
    </row>
    <row r="4116" spans="1:5">
      <c r="A4116" t="s">
        <v>6470</v>
      </c>
      <c r="B4116" t="s">
        <v>6471</v>
      </c>
      <c r="C4116" s="10">
        <v>96</v>
      </c>
      <c r="D4116" s="10">
        <v>0.1</v>
      </c>
      <c r="E4116" s="10">
        <v>28</v>
      </c>
    </row>
    <row r="4117" spans="1:5">
      <c r="A4117" t="s">
        <v>6472</v>
      </c>
      <c r="B4117" t="s">
        <v>6471</v>
      </c>
      <c r="C4117" s="10">
        <v>15</v>
      </c>
      <c r="D4117" s="10">
        <v>0.5</v>
      </c>
      <c r="E4117" s="10">
        <v>28</v>
      </c>
    </row>
    <row r="4118" spans="1:5">
      <c r="A4118" t="s">
        <v>6473</v>
      </c>
      <c r="B4118" t="s">
        <v>6474</v>
      </c>
      <c r="C4118" s="10">
        <v>15</v>
      </c>
      <c r="D4118" s="10">
        <v>0.5</v>
      </c>
      <c r="E4118" s="10">
        <v>28</v>
      </c>
    </row>
    <row r="4119" spans="1:5">
      <c r="A4119" t="s">
        <v>6475</v>
      </c>
      <c r="B4119" t="s">
        <v>6476</v>
      </c>
      <c r="C4119" s="10">
        <v>96</v>
      </c>
      <c r="D4119" s="10">
        <v>0.1</v>
      </c>
      <c r="E4119" s="10">
        <v>28</v>
      </c>
    </row>
    <row r="4120" spans="1:5">
      <c r="A4120" t="s">
        <v>6477</v>
      </c>
      <c r="B4120" t="s">
        <v>6478</v>
      </c>
      <c r="C4120" s="10">
        <v>96</v>
      </c>
      <c r="D4120" s="10">
        <v>0.1</v>
      </c>
      <c r="E4120" s="10">
        <v>28</v>
      </c>
    </row>
    <row r="4121" spans="1:5">
      <c r="A4121" t="s">
        <v>6479</v>
      </c>
      <c r="B4121" t="s">
        <v>6480</v>
      </c>
      <c r="C4121" s="10">
        <v>15</v>
      </c>
      <c r="D4121" s="10">
        <v>0.5</v>
      </c>
      <c r="E4121" s="10">
        <v>28</v>
      </c>
    </row>
    <row r="4122" spans="1:5">
      <c r="A4122" t="s">
        <v>6481</v>
      </c>
      <c r="B4122" t="s">
        <v>6482</v>
      </c>
      <c r="C4122" s="10">
        <v>96</v>
      </c>
      <c r="D4122" s="10">
        <v>0.1</v>
      </c>
      <c r="E4122" s="10">
        <v>28</v>
      </c>
    </row>
    <row r="4123" spans="1:5">
      <c r="A4123" t="s">
        <v>6483</v>
      </c>
      <c r="B4123" t="s">
        <v>6482</v>
      </c>
      <c r="C4123" s="10">
        <v>15</v>
      </c>
      <c r="D4123" s="10">
        <v>0.5</v>
      </c>
      <c r="E4123" s="10">
        <v>28</v>
      </c>
    </row>
    <row r="4124" spans="1:5">
      <c r="A4124" t="s">
        <v>5102</v>
      </c>
      <c r="B4124" t="s">
        <v>5103</v>
      </c>
      <c r="C4124" s="10">
        <v>6</v>
      </c>
      <c r="D4124" s="10">
        <v>0.7</v>
      </c>
      <c r="E4124" s="10">
        <v>38</v>
      </c>
    </row>
    <row r="4125" spans="1:5">
      <c r="A4125" t="s">
        <v>5967</v>
      </c>
      <c r="B4125" t="s">
        <v>5968</v>
      </c>
      <c r="C4125" s="10">
        <v>96</v>
      </c>
      <c r="D4125" s="10">
        <v>0.1</v>
      </c>
      <c r="E4125" s="10">
        <v>40</v>
      </c>
    </row>
    <row r="4126" spans="1:5">
      <c r="A4126" t="s">
        <v>5969</v>
      </c>
      <c r="B4126" t="s">
        <v>5968</v>
      </c>
      <c r="C4126" s="10">
        <v>15</v>
      </c>
      <c r="D4126" s="10">
        <v>0.5</v>
      </c>
      <c r="E4126" s="10">
        <v>40</v>
      </c>
    </row>
    <row r="4127" spans="1:5">
      <c r="A4127" t="s">
        <v>6484</v>
      </c>
      <c r="B4127" t="s">
        <v>6485</v>
      </c>
      <c r="C4127" s="10">
        <v>96</v>
      </c>
      <c r="D4127" s="10">
        <v>0.1</v>
      </c>
      <c r="E4127" s="10">
        <v>28</v>
      </c>
    </row>
    <row r="4128" spans="1:5">
      <c r="A4128" t="s">
        <v>6486</v>
      </c>
      <c r="B4128" t="s">
        <v>6485</v>
      </c>
      <c r="C4128" s="10">
        <v>15</v>
      </c>
      <c r="D4128" s="10">
        <v>0.5</v>
      </c>
      <c r="E4128" s="10">
        <v>28</v>
      </c>
    </row>
    <row r="4129" spans="1:5">
      <c r="A4129" t="s">
        <v>6487</v>
      </c>
      <c r="B4129" t="s">
        <v>6488</v>
      </c>
      <c r="C4129" s="10">
        <v>15</v>
      </c>
      <c r="D4129" s="10">
        <v>0.5</v>
      </c>
      <c r="E4129" s="10">
        <v>28</v>
      </c>
    </row>
    <row r="4130" spans="1:5">
      <c r="A4130" t="s">
        <v>6489</v>
      </c>
      <c r="B4130" t="s">
        <v>6490</v>
      </c>
      <c r="C4130" s="10">
        <v>96</v>
      </c>
      <c r="D4130" s="10">
        <v>0.1</v>
      </c>
      <c r="E4130" s="10">
        <v>28</v>
      </c>
    </row>
    <row r="4131" spans="1:5">
      <c r="A4131" t="s">
        <v>6491</v>
      </c>
      <c r="B4131" t="s">
        <v>6492</v>
      </c>
      <c r="C4131" s="10">
        <v>15</v>
      </c>
      <c r="D4131" s="10">
        <v>0.5</v>
      </c>
      <c r="E4131" s="10">
        <v>28</v>
      </c>
    </row>
    <row r="4132" spans="1:5">
      <c r="A4132" t="s">
        <v>4501</v>
      </c>
      <c r="B4132" t="s">
        <v>4502</v>
      </c>
      <c r="C4132" s="10">
        <v>6</v>
      </c>
      <c r="D4132" s="10">
        <v>0.7</v>
      </c>
      <c r="E4132" s="10">
        <v>15</v>
      </c>
    </row>
    <row r="4133" spans="1:5">
      <c r="A4133" t="s">
        <v>4503</v>
      </c>
      <c r="B4133" t="s">
        <v>4504</v>
      </c>
      <c r="C4133" s="10">
        <v>6</v>
      </c>
      <c r="D4133" s="10">
        <v>0.7</v>
      </c>
      <c r="E4133" s="10">
        <v>15</v>
      </c>
    </row>
    <row r="4134" spans="1:5">
      <c r="A4134" t="s">
        <v>4505</v>
      </c>
      <c r="B4134" t="s">
        <v>4506</v>
      </c>
      <c r="C4134" s="10">
        <v>6</v>
      </c>
      <c r="D4134" s="10">
        <v>0.7</v>
      </c>
      <c r="E4134" s="10">
        <v>15</v>
      </c>
    </row>
    <row r="4135" spans="1:5">
      <c r="A4135" t="s">
        <v>4507</v>
      </c>
      <c r="B4135" t="s">
        <v>4508</v>
      </c>
      <c r="C4135" s="10">
        <v>6</v>
      </c>
      <c r="D4135" s="10">
        <v>0.7</v>
      </c>
      <c r="E4135" s="10">
        <v>15</v>
      </c>
    </row>
    <row r="4136" spans="1:5">
      <c r="A4136" t="s">
        <v>4509</v>
      </c>
      <c r="B4136" t="s">
        <v>4510</v>
      </c>
      <c r="C4136" s="10">
        <v>6</v>
      </c>
      <c r="D4136" s="10">
        <v>0.7</v>
      </c>
      <c r="E4136" s="10">
        <v>15</v>
      </c>
    </row>
    <row r="4137" spans="1:5">
      <c r="A4137" t="s">
        <v>4511</v>
      </c>
      <c r="B4137" t="s">
        <v>4512</v>
      </c>
      <c r="C4137" s="10">
        <v>6</v>
      </c>
      <c r="D4137" s="10">
        <v>0.7</v>
      </c>
      <c r="E4137" s="10">
        <v>15</v>
      </c>
    </row>
    <row r="4138" spans="1:5">
      <c r="A4138" t="s">
        <v>1687</v>
      </c>
      <c r="B4138" t="s">
        <v>1688</v>
      </c>
      <c r="C4138" s="10">
        <v>6</v>
      </c>
      <c r="D4138" s="10">
        <v>0.35</v>
      </c>
      <c r="E4138" s="10">
        <v>35</v>
      </c>
    </row>
    <row r="4139" spans="1:5">
      <c r="A4139" t="s">
        <v>4513</v>
      </c>
      <c r="B4139" t="s">
        <v>1688</v>
      </c>
      <c r="C4139" s="10">
        <v>6</v>
      </c>
      <c r="D4139" s="10">
        <v>0.7</v>
      </c>
      <c r="E4139" s="10">
        <v>35</v>
      </c>
    </row>
    <row r="4140" spans="1:5">
      <c r="A4140" t="s">
        <v>4514</v>
      </c>
      <c r="B4140" t="s">
        <v>1688</v>
      </c>
      <c r="C4140" s="10">
        <v>6</v>
      </c>
      <c r="D4140" s="10">
        <v>0.7</v>
      </c>
      <c r="E4140" s="10">
        <v>35</v>
      </c>
    </row>
    <row r="4141" spans="1:5">
      <c r="A4141" t="s">
        <v>6886</v>
      </c>
      <c r="B4141" t="s">
        <v>1688</v>
      </c>
      <c r="C4141" s="10">
        <v>12</v>
      </c>
      <c r="D4141" s="10">
        <v>1</v>
      </c>
      <c r="E4141" s="10">
        <v>35</v>
      </c>
    </row>
    <row r="4142" spans="1:5">
      <c r="A4142" t="s">
        <v>2359</v>
      </c>
      <c r="B4142" t="s">
        <v>1688</v>
      </c>
      <c r="C4142" s="10">
        <v>6</v>
      </c>
      <c r="D4142" s="10">
        <v>1</v>
      </c>
      <c r="E4142" s="10">
        <v>35</v>
      </c>
    </row>
    <row r="4143" spans="1:5">
      <c r="A4143" t="s">
        <v>10301</v>
      </c>
      <c r="B4143" t="s">
        <v>1688</v>
      </c>
      <c r="C4143" s="10">
        <v>6</v>
      </c>
      <c r="D4143" s="10">
        <v>1</v>
      </c>
      <c r="E4143" s="10">
        <v>35</v>
      </c>
    </row>
    <row r="4144" spans="1:5">
      <c r="A4144" t="s">
        <v>1225</v>
      </c>
      <c r="B4144" t="s">
        <v>1226</v>
      </c>
      <c r="C4144" s="10">
        <v>6</v>
      </c>
      <c r="D4144" s="10">
        <v>0.7</v>
      </c>
      <c r="E4144" s="10">
        <v>40</v>
      </c>
    </row>
    <row r="4145" spans="1:5">
      <c r="A4145" t="s">
        <v>1227</v>
      </c>
      <c r="B4145" t="s">
        <v>1228</v>
      </c>
      <c r="C4145" s="10">
        <v>6</v>
      </c>
      <c r="D4145" s="10">
        <v>0.7</v>
      </c>
      <c r="E4145" s="10">
        <v>40</v>
      </c>
    </row>
    <row r="4146" spans="1:5">
      <c r="A4146" t="s">
        <v>1229</v>
      </c>
      <c r="B4146" t="s">
        <v>1230</v>
      </c>
      <c r="C4146" s="10">
        <v>6</v>
      </c>
      <c r="D4146" s="10">
        <v>0.7</v>
      </c>
      <c r="E4146" s="10">
        <v>40</v>
      </c>
    </row>
    <row r="4147" spans="1:5">
      <c r="A4147" t="s">
        <v>4515</v>
      </c>
      <c r="B4147" t="s">
        <v>4516</v>
      </c>
      <c r="C4147" s="10">
        <v>6</v>
      </c>
      <c r="D4147" s="10">
        <v>0.7</v>
      </c>
      <c r="E4147" s="10">
        <v>10</v>
      </c>
    </row>
    <row r="4148" spans="1:5">
      <c r="A4148" t="s">
        <v>6493</v>
      </c>
      <c r="B4148" t="s">
        <v>6494</v>
      </c>
      <c r="C4148" s="10">
        <v>160</v>
      </c>
      <c r="D4148" s="10">
        <v>0.02</v>
      </c>
      <c r="E4148" s="10">
        <v>10</v>
      </c>
    </row>
    <row r="4149" spans="1:5">
      <c r="A4149" t="s">
        <v>10302</v>
      </c>
      <c r="B4149" t="s">
        <v>9118</v>
      </c>
      <c r="C4149" s="10">
        <v>6</v>
      </c>
      <c r="D4149" s="10">
        <v>0.7</v>
      </c>
      <c r="E4149" s="10">
        <v>46</v>
      </c>
    </row>
    <row r="4150" spans="1:5">
      <c r="A4150" t="s">
        <v>5270</v>
      </c>
      <c r="B4150" t="s">
        <v>5271</v>
      </c>
      <c r="C4150" s="10">
        <v>6</v>
      </c>
      <c r="D4150" s="10">
        <v>0.7</v>
      </c>
      <c r="E4150" s="10">
        <v>46</v>
      </c>
    </row>
    <row r="4151" spans="1:5">
      <c r="A4151" t="s">
        <v>1231</v>
      </c>
      <c r="B4151" t="s">
        <v>1232</v>
      </c>
      <c r="C4151" s="10">
        <v>6</v>
      </c>
      <c r="D4151" s="10">
        <v>0.7</v>
      </c>
      <c r="E4151" s="10">
        <v>40</v>
      </c>
    </row>
    <row r="4152" spans="1:5">
      <c r="A4152" t="s">
        <v>2360</v>
      </c>
      <c r="B4152" t="s">
        <v>1232</v>
      </c>
      <c r="C4152" s="10">
        <v>6</v>
      </c>
      <c r="D4152" s="10">
        <v>1</v>
      </c>
      <c r="E4152" s="10">
        <v>46</v>
      </c>
    </row>
    <row r="4153" spans="1:5">
      <c r="A4153" t="s">
        <v>5272</v>
      </c>
      <c r="B4153" t="s">
        <v>5273</v>
      </c>
      <c r="C4153" s="10">
        <v>6</v>
      </c>
      <c r="D4153" s="10">
        <v>0.7</v>
      </c>
      <c r="E4153" s="10">
        <v>46</v>
      </c>
    </row>
    <row r="4154" spans="1:5">
      <c r="A4154" t="s">
        <v>10303</v>
      </c>
      <c r="B4154" t="s">
        <v>9119</v>
      </c>
      <c r="C4154" s="10">
        <v>6</v>
      </c>
      <c r="D4154" s="10">
        <v>1</v>
      </c>
      <c r="E4154" s="10">
        <v>43</v>
      </c>
    </row>
    <row r="4155" spans="1:5">
      <c r="A4155" t="s">
        <v>5274</v>
      </c>
      <c r="B4155" t="s">
        <v>5275</v>
      </c>
      <c r="C4155" s="10">
        <v>6</v>
      </c>
      <c r="D4155" s="10">
        <v>0.7</v>
      </c>
      <c r="E4155" s="10">
        <v>46</v>
      </c>
    </row>
    <row r="4156" spans="1:5">
      <c r="A4156" t="s">
        <v>1233</v>
      </c>
      <c r="B4156" t="s">
        <v>1234</v>
      </c>
      <c r="C4156" s="10">
        <v>6</v>
      </c>
      <c r="D4156" s="10">
        <v>0.7</v>
      </c>
      <c r="E4156" s="10">
        <v>40</v>
      </c>
    </row>
    <row r="4157" spans="1:5">
      <c r="A4157" t="s">
        <v>2361</v>
      </c>
      <c r="B4157" t="s">
        <v>2362</v>
      </c>
      <c r="C4157" s="10">
        <v>6</v>
      </c>
      <c r="D4157" s="10">
        <v>1</v>
      </c>
      <c r="E4157" s="10">
        <v>46</v>
      </c>
    </row>
    <row r="4158" spans="1:5">
      <c r="A4158" t="s">
        <v>4517</v>
      </c>
      <c r="B4158" t="s">
        <v>4518</v>
      </c>
      <c r="C4158" s="10">
        <v>6</v>
      </c>
      <c r="D4158" s="10">
        <v>0.7</v>
      </c>
      <c r="E4158" s="10">
        <v>30</v>
      </c>
    </row>
    <row r="4159" spans="1:5">
      <c r="A4159" t="s">
        <v>5104</v>
      </c>
      <c r="B4159" t="s">
        <v>5105</v>
      </c>
      <c r="C4159" s="10">
        <v>6</v>
      </c>
      <c r="D4159" s="10">
        <v>0.7</v>
      </c>
      <c r="E4159" s="10">
        <v>38</v>
      </c>
    </row>
    <row r="4160" spans="1:5">
      <c r="A4160" t="s">
        <v>5106</v>
      </c>
      <c r="B4160" t="s">
        <v>5107</v>
      </c>
      <c r="C4160" s="10">
        <v>6</v>
      </c>
      <c r="D4160" s="10">
        <v>0.7</v>
      </c>
      <c r="E4160" s="10">
        <v>38</v>
      </c>
    </row>
    <row r="4161" spans="1:5">
      <c r="A4161" t="s">
        <v>5108</v>
      </c>
      <c r="B4161" t="s">
        <v>5109</v>
      </c>
      <c r="C4161" s="10">
        <v>6</v>
      </c>
      <c r="D4161" s="10">
        <v>0.7</v>
      </c>
      <c r="E4161" s="10">
        <v>38</v>
      </c>
    </row>
    <row r="4162" spans="1:5">
      <c r="A4162" t="s">
        <v>5110</v>
      </c>
      <c r="B4162" t="s">
        <v>5111</v>
      </c>
      <c r="C4162" s="10">
        <v>6</v>
      </c>
      <c r="D4162" s="10">
        <v>0.7</v>
      </c>
      <c r="E4162" s="10">
        <v>38</v>
      </c>
    </row>
    <row r="4163" spans="1:5">
      <c r="A4163" t="s">
        <v>5112</v>
      </c>
      <c r="B4163" t="s">
        <v>5113</v>
      </c>
      <c r="C4163" s="10">
        <v>6</v>
      </c>
      <c r="D4163" s="10">
        <v>0.7</v>
      </c>
      <c r="E4163" s="10">
        <v>38</v>
      </c>
    </row>
    <row r="4164" spans="1:5">
      <c r="A4164" t="s">
        <v>6495</v>
      </c>
      <c r="B4164" t="s">
        <v>6496</v>
      </c>
      <c r="C4164" s="10">
        <v>8</v>
      </c>
      <c r="D4164" s="10">
        <v>0.7</v>
      </c>
      <c r="E4164" s="10">
        <v>38</v>
      </c>
    </row>
    <row r="4165" spans="1:5">
      <c r="A4165" t="s">
        <v>5114</v>
      </c>
      <c r="B4165" t="s">
        <v>5115</v>
      </c>
      <c r="C4165" s="10">
        <v>6</v>
      </c>
      <c r="D4165" s="10">
        <v>0.7</v>
      </c>
      <c r="E4165" s="10">
        <v>38</v>
      </c>
    </row>
    <row r="4166" spans="1:5">
      <c r="A4166" t="s">
        <v>10304</v>
      </c>
      <c r="B4166" t="s">
        <v>9120</v>
      </c>
      <c r="C4166" s="10">
        <v>6</v>
      </c>
      <c r="D4166" s="10">
        <v>0.7</v>
      </c>
      <c r="E4166" s="10">
        <v>38</v>
      </c>
    </row>
    <row r="4167" spans="1:5">
      <c r="A4167" t="s">
        <v>1912</v>
      </c>
      <c r="B4167" t="s">
        <v>1913</v>
      </c>
      <c r="C4167" s="10">
        <v>6</v>
      </c>
      <c r="D4167" s="10">
        <v>0.5</v>
      </c>
      <c r="E4167" s="10">
        <v>20</v>
      </c>
    </row>
    <row r="4168" spans="1:5">
      <c r="A4168" t="s">
        <v>4519</v>
      </c>
      <c r="B4168" t="s">
        <v>1913</v>
      </c>
      <c r="C4168" s="10">
        <v>6</v>
      </c>
      <c r="D4168" s="10">
        <v>0.7</v>
      </c>
      <c r="E4168" s="10">
        <v>20</v>
      </c>
    </row>
    <row r="4169" spans="1:5">
      <c r="A4169" t="s">
        <v>5858</v>
      </c>
      <c r="B4169" t="s">
        <v>5859</v>
      </c>
      <c r="C4169" s="10">
        <v>12</v>
      </c>
      <c r="D4169" s="10">
        <v>0.7</v>
      </c>
      <c r="E4169" s="10">
        <v>40</v>
      </c>
    </row>
    <row r="4170" spans="1:5">
      <c r="A4170" t="s">
        <v>5860</v>
      </c>
      <c r="B4170" t="s">
        <v>5861</v>
      </c>
      <c r="C4170" s="10">
        <v>12</v>
      </c>
      <c r="D4170" s="10">
        <v>0.7</v>
      </c>
      <c r="E4170" s="10">
        <v>40</v>
      </c>
    </row>
    <row r="4171" spans="1:5">
      <c r="A4171" t="s">
        <v>2862</v>
      </c>
      <c r="B4171" t="s">
        <v>2863</v>
      </c>
      <c r="C4171" s="10">
        <v>6</v>
      </c>
      <c r="D4171" s="10">
        <v>0.75</v>
      </c>
      <c r="E4171" s="10">
        <v>8.5</v>
      </c>
    </row>
    <row r="4172" spans="1:5">
      <c r="A4172" t="s">
        <v>10305</v>
      </c>
      <c r="B4172" t="s">
        <v>9121</v>
      </c>
      <c r="C4172" s="10">
        <v>6</v>
      </c>
      <c r="D4172" s="10">
        <v>0.7</v>
      </c>
      <c r="E4172" s="10">
        <v>36</v>
      </c>
    </row>
    <row r="4173" spans="1:5">
      <c r="A4173" t="s">
        <v>10306</v>
      </c>
      <c r="B4173" t="s">
        <v>9121</v>
      </c>
      <c r="C4173" s="10">
        <v>6</v>
      </c>
      <c r="D4173" s="10">
        <v>0.7</v>
      </c>
      <c r="E4173" s="10">
        <v>38</v>
      </c>
    </row>
    <row r="4174" spans="1:5">
      <c r="A4174" t="s">
        <v>5116</v>
      </c>
      <c r="B4174" t="s">
        <v>5117</v>
      </c>
      <c r="C4174" s="10">
        <v>6</v>
      </c>
      <c r="D4174" s="10">
        <v>0.7</v>
      </c>
      <c r="E4174" s="10">
        <v>38</v>
      </c>
    </row>
    <row r="4175" spans="1:5">
      <c r="A4175" t="s">
        <v>5118</v>
      </c>
      <c r="B4175" t="s">
        <v>5119</v>
      </c>
      <c r="C4175" s="10">
        <v>6</v>
      </c>
      <c r="D4175" s="10">
        <v>0.7</v>
      </c>
      <c r="E4175" s="10">
        <v>38</v>
      </c>
    </row>
    <row r="4176" spans="1:5">
      <c r="A4176" t="s">
        <v>5120</v>
      </c>
      <c r="B4176" t="s">
        <v>5121</v>
      </c>
      <c r="C4176" s="10">
        <v>6</v>
      </c>
      <c r="D4176" s="10">
        <v>0.7</v>
      </c>
      <c r="E4176" s="10">
        <v>38</v>
      </c>
    </row>
    <row r="4177" spans="1:5">
      <c r="A4177" t="s">
        <v>1914</v>
      </c>
      <c r="B4177" t="s">
        <v>1915</v>
      </c>
      <c r="C4177" s="10">
        <v>6</v>
      </c>
      <c r="D4177" s="10">
        <v>0.5</v>
      </c>
      <c r="E4177" s="10">
        <v>50</v>
      </c>
    </row>
    <row r="4178" spans="1:5">
      <c r="A4178" t="s">
        <v>5585</v>
      </c>
      <c r="B4178" t="s">
        <v>5586</v>
      </c>
      <c r="C4178" s="10">
        <v>6</v>
      </c>
      <c r="D4178" s="10">
        <v>0.7</v>
      </c>
      <c r="E4178" s="10">
        <v>43</v>
      </c>
    </row>
    <row r="4179" spans="1:5">
      <c r="A4179" t="s">
        <v>4520</v>
      </c>
      <c r="B4179" t="s">
        <v>4521</v>
      </c>
      <c r="C4179" s="10">
        <v>6</v>
      </c>
      <c r="D4179" s="10">
        <v>0.7</v>
      </c>
      <c r="E4179" s="10">
        <v>28</v>
      </c>
    </row>
    <row r="4180" spans="1:5">
      <c r="A4180" t="s">
        <v>4522</v>
      </c>
      <c r="B4180" t="s">
        <v>4523</v>
      </c>
      <c r="C4180" s="10">
        <v>6</v>
      </c>
      <c r="D4180" s="10">
        <v>0.7</v>
      </c>
      <c r="E4180" s="10">
        <v>28</v>
      </c>
    </row>
    <row r="4181" spans="1:5">
      <c r="A4181" t="s">
        <v>1235</v>
      </c>
      <c r="B4181" t="s">
        <v>1236</v>
      </c>
      <c r="C4181" s="10">
        <v>6</v>
      </c>
      <c r="D4181" s="10">
        <v>0.7</v>
      </c>
      <c r="E4181" s="10">
        <v>40</v>
      </c>
    </row>
    <row r="4182" spans="1:5">
      <c r="A4182" t="s">
        <v>5122</v>
      </c>
      <c r="B4182" t="s">
        <v>5123</v>
      </c>
      <c r="C4182" s="10">
        <v>6</v>
      </c>
      <c r="D4182" s="10">
        <v>0.7</v>
      </c>
      <c r="E4182" s="10">
        <v>38</v>
      </c>
    </row>
    <row r="4183" spans="1:5">
      <c r="A4183" t="s">
        <v>5124</v>
      </c>
      <c r="B4183" t="s">
        <v>5125</v>
      </c>
      <c r="C4183" s="10">
        <v>6</v>
      </c>
      <c r="D4183" s="10">
        <v>0.7</v>
      </c>
      <c r="E4183" s="10">
        <v>38</v>
      </c>
    </row>
    <row r="4184" spans="1:5">
      <c r="A4184" t="s">
        <v>1237</v>
      </c>
      <c r="B4184" t="s">
        <v>1238</v>
      </c>
      <c r="C4184" s="10">
        <v>6</v>
      </c>
      <c r="D4184" s="10">
        <v>0.7</v>
      </c>
      <c r="E4184" s="10">
        <v>40</v>
      </c>
    </row>
    <row r="4185" spans="1:5">
      <c r="A4185" t="s">
        <v>4524</v>
      </c>
      <c r="B4185" t="s">
        <v>2364</v>
      </c>
      <c r="C4185" s="10">
        <v>6</v>
      </c>
      <c r="D4185" s="10">
        <v>0.7</v>
      </c>
      <c r="E4185" s="10">
        <v>60</v>
      </c>
    </row>
    <row r="4186" spans="1:5">
      <c r="A4186" t="s">
        <v>2363</v>
      </c>
      <c r="B4186" t="s">
        <v>2364</v>
      </c>
      <c r="C4186" s="10">
        <v>6</v>
      </c>
      <c r="D4186" s="10">
        <v>1</v>
      </c>
      <c r="E4186" s="10">
        <v>60</v>
      </c>
    </row>
    <row r="4187" spans="1:5">
      <c r="A4187" t="s">
        <v>6782</v>
      </c>
      <c r="B4187" t="s">
        <v>1917</v>
      </c>
      <c r="C4187" s="10">
        <v>12</v>
      </c>
      <c r="D4187" s="10">
        <v>0.1</v>
      </c>
      <c r="E4187" s="10">
        <v>80</v>
      </c>
    </row>
    <row r="4188" spans="1:5">
      <c r="A4188" t="s">
        <v>1916</v>
      </c>
      <c r="B4188" t="s">
        <v>1917</v>
      </c>
      <c r="C4188" s="10">
        <v>6</v>
      </c>
      <c r="D4188" s="10">
        <v>0.5</v>
      </c>
      <c r="E4188" s="10">
        <v>80</v>
      </c>
    </row>
    <row r="4189" spans="1:5">
      <c r="A4189" t="s">
        <v>1918</v>
      </c>
      <c r="B4189" t="s">
        <v>1917</v>
      </c>
      <c r="C4189" s="10">
        <v>6</v>
      </c>
      <c r="D4189" s="10">
        <v>0.5</v>
      </c>
      <c r="E4189" s="10">
        <v>80</v>
      </c>
    </row>
    <row r="4190" spans="1:5">
      <c r="A4190" t="s">
        <v>4525</v>
      </c>
      <c r="B4190" t="s">
        <v>1917</v>
      </c>
      <c r="C4190" s="10">
        <v>6</v>
      </c>
      <c r="D4190" s="10">
        <v>0.7</v>
      </c>
      <c r="E4190" s="10">
        <v>80</v>
      </c>
    </row>
    <row r="4191" spans="1:5">
      <c r="A4191" t="s">
        <v>2365</v>
      </c>
      <c r="B4191" t="s">
        <v>1917</v>
      </c>
      <c r="C4191" s="10">
        <v>6</v>
      </c>
      <c r="D4191" s="10">
        <v>1</v>
      </c>
      <c r="E4191" s="10">
        <v>80</v>
      </c>
    </row>
    <row r="4192" spans="1:5">
      <c r="A4192" t="s">
        <v>1610</v>
      </c>
      <c r="B4192" t="s">
        <v>1517</v>
      </c>
      <c r="C4192" s="10">
        <v>6</v>
      </c>
      <c r="D4192" s="10">
        <v>0.5</v>
      </c>
      <c r="E4192" s="10">
        <v>40</v>
      </c>
    </row>
    <row r="4193" spans="1:5">
      <c r="A4193" t="s">
        <v>1516</v>
      </c>
      <c r="B4193" t="s">
        <v>1517</v>
      </c>
      <c r="C4193" s="10">
        <v>6</v>
      </c>
      <c r="D4193" s="10">
        <v>1</v>
      </c>
      <c r="E4193" s="10">
        <v>40</v>
      </c>
    </row>
    <row r="4194" spans="1:5">
      <c r="A4194" t="s">
        <v>4526</v>
      </c>
      <c r="B4194" t="s">
        <v>4527</v>
      </c>
      <c r="C4194" s="10">
        <v>6</v>
      </c>
      <c r="D4194" s="10">
        <v>0.7</v>
      </c>
      <c r="E4194" s="10">
        <v>35</v>
      </c>
    </row>
    <row r="4195" spans="1:5">
      <c r="A4195" t="s">
        <v>10307</v>
      </c>
      <c r="B4195" t="s">
        <v>9122</v>
      </c>
      <c r="C4195" s="10">
        <v>6</v>
      </c>
      <c r="D4195" s="10">
        <v>0.7</v>
      </c>
      <c r="E4195" s="10">
        <v>43</v>
      </c>
    </row>
    <row r="4196" spans="1:5">
      <c r="A4196" t="s">
        <v>4528</v>
      </c>
      <c r="B4196" t="s">
        <v>4529</v>
      </c>
      <c r="C4196" s="10">
        <v>6</v>
      </c>
      <c r="D4196" s="10">
        <v>0.7</v>
      </c>
      <c r="E4196" s="10">
        <v>20</v>
      </c>
    </row>
    <row r="4197" spans="1:5">
      <c r="A4197" t="s">
        <v>4530</v>
      </c>
      <c r="B4197" t="s">
        <v>4531</v>
      </c>
      <c r="C4197" s="10">
        <v>6</v>
      </c>
      <c r="D4197" s="10">
        <v>0.7</v>
      </c>
      <c r="E4197" s="10">
        <v>0</v>
      </c>
    </row>
    <row r="4198" spans="1:5">
      <c r="A4198" t="s">
        <v>4532</v>
      </c>
      <c r="B4198" t="s">
        <v>4533</v>
      </c>
      <c r="C4198" s="10">
        <v>6</v>
      </c>
      <c r="D4198" s="10">
        <v>0.7</v>
      </c>
      <c r="E4198" s="10">
        <v>0</v>
      </c>
    </row>
    <row r="4199" spans="1:5">
      <c r="A4199" t="s">
        <v>4534</v>
      </c>
      <c r="B4199" t="s">
        <v>4535</v>
      </c>
      <c r="C4199" s="10">
        <v>6</v>
      </c>
      <c r="D4199" s="10">
        <v>0.7</v>
      </c>
      <c r="E4199" s="10">
        <v>0</v>
      </c>
    </row>
    <row r="4200" spans="1:5">
      <c r="A4200" t="s">
        <v>4536</v>
      </c>
      <c r="B4200" t="s">
        <v>4537</v>
      </c>
      <c r="C4200" s="10">
        <v>6</v>
      </c>
      <c r="D4200" s="10">
        <v>0.7</v>
      </c>
      <c r="E4200" s="10">
        <v>0</v>
      </c>
    </row>
    <row r="4201" spans="1:5">
      <c r="A4201" t="s">
        <v>4538</v>
      </c>
      <c r="B4201" t="s">
        <v>4539</v>
      </c>
      <c r="C4201" s="10">
        <v>6</v>
      </c>
      <c r="D4201" s="10">
        <v>0.7</v>
      </c>
      <c r="E4201" s="10">
        <v>0</v>
      </c>
    </row>
    <row r="4202" spans="1:5">
      <c r="A4202" t="s">
        <v>1239</v>
      </c>
      <c r="B4202" t="s">
        <v>1240</v>
      </c>
      <c r="C4202" s="10">
        <v>6</v>
      </c>
      <c r="D4202" s="10">
        <v>0.7</v>
      </c>
      <c r="E4202" s="10">
        <v>40</v>
      </c>
    </row>
    <row r="4203" spans="1:5">
      <c r="A4203" t="s">
        <v>5587</v>
      </c>
      <c r="B4203" t="s">
        <v>2367</v>
      </c>
      <c r="C4203" s="10">
        <v>6</v>
      </c>
      <c r="D4203" s="10">
        <v>0.7</v>
      </c>
      <c r="E4203" s="10">
        <v>43</v>
      </c>
    </row>
    <row r="4204" spans="1:5">
      <c r="A4204" t="s">
        <v>2366</v>
      </c>
      <c r="B4204" t="s">
        <v>2367</v>
      </c>
      <c r="C4204" s="10">
        <v>6</v>
      </c>
      <c r="D4204" s="10">
        <v>1</v>
      </c>
      <c r="E4204" s="10">
        <v>43</v>
      </c>
    </row>
    <row r="4205" spans="1:5">
      <c r="A4205" t="s">
        <v>10308</v>
      </c>
      <c r="B4205" t="s">
        <v>9123</v>
      </c>
      <c r="C4205" s="10">
        <v>6</v>
      </c>
      <c r="D4205" s="10">
        <v>1</v>
      </c>
      <c r="E4205" s="10">
        <v>43</v>
      </c>
    </row>
    <row r="4206" spans="1:5">
      <c r="A4206" t="s">
        <v>5588</v>
      </c>
      <c r="B4206" t="s">
        <v>5589</v>
      </c>
      <c r="C4206" s="10">
        <v>6</v>
      </c>
      <c r="D4206" s="10">
        <v>0.7</v>
      </c>
      <c r="E4206" s="10">
        <v>43</v>
      </c>
    </row>
    <row r="4207" spans="1:5">
      <c r="A4207" t="s">
        <v>5590</v>
      </c>
      <c r="B4207" t="s">
        <v>5591</v>
      </c>
      <c r="C4207" s="10">
        <v>6</v>
      </c>
      <c r="D4207" s="10">
        <v>0.7</v>
      </c>
      <c r="E4207" s="10">
        <v>43</v>
      </c>
    </row>
    <row r="4208" spans="1:5">
      <c r="A4208" t="s">
        <v>6783</v>
      </c>
      <c r="B4208" t="s">
        <v>6784</v>
      </c>
      <c r="C4208" s="10">
        <v>12</v>
      </c>
      <c r="D4208" s="10">
        <v>0.35</v>
      </c>
      <c r="E4208" s="10">
        <v>43</v>
      </c>
    </row>
    <row r="4209" spans="1:5">
      <c r="A4209" t="s">
        <v>4540</v>
      </c>
      <c r="B4209" t="s">
        <v>2369</v>
      </c>
      <c r="C4209" s="10">
        <v>6</v>
      </c>
      <c r="D4209" s="10">
        <v>0.7</v>
      </c>
      <c r="E4209" s="10">
        <v>20</v>
      </c>
    </row>
    <row r="4210" spans="1:5">
      <c r="A4210" t="s">
        <v>2368</v>
      </c>
      <c r="B4210" t="s">
        <v>2369</v>
      </c>
      <c r="C4210" s="10">
        <v>6</v>
      </c>
      <c r="D4210" s="10">
        <v>1</v>
      </c>
      <c r="E4210" s="10">
        <v>15</v>
      </c>
    </row>
    <row r="4211" spans="1:5">
      <c r="A4211" t="s">
        <v>10309</v>
      </c>
      <c r="B4211" t="s">
        <v>9124</v>
      </c>
      <c r="C4211" s="10">
        <v>6</v>
      </c>
      <c r="D4211" s="10">
        <v>0.7</v>
      </c>
      <c r="E4211" s="10">
        <v>45</v>
      </c>
    </row>
    <row r="4212" spans="1:5">
      <c r="A4212" t="s">
        <v>4541</v>
      </c>
      <c r="B4212" t="s">
        <v>4542</v>
      </c>
      <c r="C4212" s="10">
        <v>6</v>
      </c>
      <c r="D4212" s="10">
        <v>0.7</v>
      </c>
      <c r="E4212" s="10">
        <v>14.5</v>
      </c>
    </row>
    <row r="4213" spans="1:5">
      <c r="A4213" t="s">
        <v>10310</v>
      </c>
      <c r="B4213" t="s">
        <v>9125</v>
      </c>
      <c r="C4213" s="10">
        <v>6</v>
      </c>
      <c r="D4213" s="10">
        <v>0.5</v>
      </c>
      <c r="E4213" s="10">
        <v>14.5</v>
      </c>
    </row>
    <row r="4214" spans="1:5">
      <c r="A4214" t="s">
        <v>10311</v>
      </c>
      <c r="B4214" t="s">
        <v>9126</v>
      </c>
      <c r="C4214" s="10">
        <v>10</v>
      </c>
      <c r="D4214" s="10">
        <v>0.12</v>
      </c>
      <c r="E4214" s="10">
        <v>55</v>
      </c>
    </row>
    <row r="4215" spans="1:5">
      <c r="A4215" t="s">
        <v>6497</v>
      </c>
      <c r="B4215" t="s">
        <v>4544</v>
      </c>
      <c r="C4215" s="10">
        <v>10</v>
      </c>
      <c r="D4215" s="10">
        <v>0.04</v>
      </c>
      <c r="E4215" s="10">
        <v>55</v>
      </c>
    </row>
    <row r="4216" spans="1:5">
      <c r="A4216" t="s">
        <v>4543</v>
      </c>
      <c r="B4216" t="s">
        <v>4544</v>
      </c>
      <c r="C4216" s="10">
        <v>6</v>
      </c>
      <c r="D4216" s="10">
        <v>0.7</v>
      </c>
      <c r="E4216" s="10">
        <v>55</v>
      </c>
    </row>
    <row r="4217" spans="1:5">
      <c r="A4217" t="s">
        <v>1919</v>
      </c>
      <c r="B4217" t="s">
        <v>1920</v>
      </c>
      <c r="C4217" s="10">
        <v>6</v>
      </c>
      <c r="D4217" s="10">
        <v>0.5</v>
      </c>
      <c r="E4217" s="10">
        <v>73</v>
      </c>
    </row>
    <row r="4218" spans="1:5">
      <c r="A4218" t="s">
        <v>10312</v>
      </c>
      <c r="B4218" t="s">
        <v>9127</v>
      </c>
      <c r="C4218" s="10">
        <v>6</v>
      </c>
      <c r="D4218" s="10">
        <v>0.5</v>
      </c>
      <c r="E4218" s="10">
        <v>14.9</v>
      </c>
    </row>
    <row r="4219" spans="1:5">
      <c r="A4219" t="s">
        <v>1921</v>
      </c>
      <c r="B4219" t="s">
        <v>1922</v>
      </c>
      <c r="C4219" s="10">
        <v>6</v>
      </c>
      <c r="D4219" s="10">
        <v>0.5</v>
      </c>
      <c r="E4219" s="10">
        <v>14.9</v>
      </c>
    </row>
    <row r="4220" spans="1:5">
      <c r="A4220" t="s">
        <v>1923</v>
      </c>
      <c r="B4220" t="s">
        <v>1924</v>
      </c>
      <c r="C4220" s="10">
        <v>6</v>
      </c>
      <c r="D4220" s="10">
        <v>0.5</v>
      </c>
      <c r="E4220" s="10">
        <v>14.9</v>
      </c>
    </row>
    <row r="4221" spans="1:5">
      <c r="A4221" t="s">
        <v>1925</v>
      </c>
      <c r="B4221" t="s">
        <v>1926</v>
      </c>
      <c r="C4221" s="10">
        <v>6</v>
      </c>
      <c r="D4221" s="10">
        <v>0.5</v>
      </c>
      <c r="E4221" s="10">
        <v>14.9</v>
      </c>
    </row>
    <row r="4222" spans="1:5">
      <c r="A4222" t="s">
        <v>1927</v>
      </c>
      <c r="B4222" t="s">
        <v>1928</v>
      </c>
      <c r="C4222" s="10">
        <v>6</v>
      </c>
      <c r="D4222" s="10">
        <v>0.5</v>
      </c>
      <c r="E4222" s="10">
        <v>14.9</v>
      </c>
    </row>
    <row r="4223" spans="1:5">
      <c r="A4223" t="s">
        <v>1929</v>
      </c>
      <c r="B4223" t="s">
        <v>1930</v>
      </c>
      <c r="C4223" s="10">
        <v>6</v>
      </c>
      <c r="D4223" s="10">
        <v>0.5</v>
      </c>
      <c r="E4223" s="10">
        <v>14.9</v>
      </c>
    </row>
    <row r="4224" spans="1:5">
      <c r="A4224" t="s">
        <v>6498</v>
      </c>
      <c r="B4224" t="s">
        <v>6499</v>
      </c>
      <c r="C4224" s="10">
        <v>3</v>
      </c>
      <c r="D4224" s="10">
        <v>1.5</v>
      </c>
      <c r="E4224" s="10">
        <v>12.5</v>
      </c>
    </row>
    <row r="4225" spans="1:5">
      <c r="A4225" t="s">
        <v>10313</v>
      </c>
      <c r="B4225" t="s">
        <v>9128</v>
      </c>
      <c r="C4225" s="10">
        <v>6</v>
      </c>
      <c r="D4225" s="10">
        <v>0.75</v>
      </c>
      <c r="E4225" s="10">
        <v>12.5</v>
      </c>
    </row>
    <row r="4226" spans="1:5">
      <c r="A4226" t="s">
        <v>3212</v>
      </c>
      <c r="B4226" t="s">
        <v>3213</v>
      </c>
      <c r="C4226" s="10">
        <v>6</v>
      </c>
      <c r="D4226" s="10">
        <v>0.75</v>
      </c>
      <c r="E4226" s="10">
        <v>12.5</v>
      </c>
    </row>
    <row r="4227" spans="1:5">
      <c r="A4227" t="s">
        <v>3214</v>
      </c>
      <c r="B4227" t="s">
        <v>3215</v>
      </c>
      <c r="C4227" s="10">
        <v>6</v>
      </c>
      <c r="D4227" s="10">
        <v>0.75</v>
      </c>
      <c r="E4227" s="10">
        <v>12.5</v>
      </c>
    </row>
    <row r="4228" spans="1:5">
      <c r="A4228" t="s">
        <v>10314</v>
      </c>
      <c r="B4228" t="s">
        <v>9129</v>
      </c>
      <c r="C4228" s="10">
        <v>6</v>
      </c>
      <c r="D4228" s="10">
        <v>0.75</v>
      </c>
      <c r="E4228" s="10">
        <v>12.5</v>
      </c>
    </row>
    <row r="4229" spans="1:5">
      <c r="A4229" t="s">
        <v>3216</v>
      </c>
      <c r="B4229" t="s">
        <v>3217</v>
      </c>
      <c r="C4229" s="10">
        <v>6</v>
      </c>
      <c r="D4229" s="10">
        <v>0.75</v>
      </c>
      <c r="E4229" s="10">
        <v>12.5</v>
      </c>
    </row>
    <row r="4230" spans="1:5">
      <c r="A4230" t="s">
        <v>10315</v>
      </c>
      <c r="B4230" t="s">
        <v>9130</v>
      </c>
      <c r="C4230" s="10">
        <v>6</v>
      </c>
      <c r="D4230" s="10">
        <v>0.75</v>
      </c>
      <c r="E4230" s="10">
        <v>12.5</v>
      </c>
    </row>
    <row r="4231" spans="1:5">
      <c r="A4231" t="s">
        <v>3218</v>
      </c>
      <c r="B4231" t="s">
        <v>3219</v>
      </c>
      <c r="C4231" s="10">
        <v>6</v>
      </c>
      <c r="D4231" s="10">
        <v>0.75</v>
      </c>
      <c r="E4231" s="10">
        <v>12.5</v>
      </c>
    </row>
    <row r="4232" spans="1:5">
      <c r="A4232" t="s">
        <v>3220</v>
      </c>
      <c r="B4232" t="s">
        <v>3221</v>
      </c>
      <c r="C4232" s="10">
        <v>6</v>
      </c>
      <c r="D4232" s="10">
        <v>0.75</v>
      </c>
      <c r="E4232" s="10">
        <v>12.5</v>
      </c>
    </row>
    <row r="4233" spans="1:5">
      <c r="A4233" t="s">
        <v>5126</v>
      </c>
      <c r="B4233" t="s">
        <v>5127</v>
      </c>
      <c r="C4233" s="10">
        <v>6</v>
      </c>
      <c r="D4233" s="10">
        <v>0.7</v>
      </c>
      <c r="E4233" s="10">
        <v>38</v>
      </c>
    </row>
    <row r="4234" spans="1:5">
      <c r="A4234" t="s">
        <v>6785</v>
      </c>
      <c r="B4234" t="s">
        <v>2370</v>
      </c>
      <c r="C4234" s="10">
        <v>12</v>
      </c>
      <c r="D4234" s="10">
        <v>0.2</v>
      </c>
      <c r="E4234" s="10">
        <v>45.8</v>
      </c>
    </row>
    <row r="4235" spans="1:5">
      <c r="A4235" t="s">
        <v>4545</v>
      </c>
      <c r="B4235" t="s">
        <v>2370</v>
      </c>
      <c r="C4235" s="10">
        <v>6</v>
      </c>
      <c r="D4235" s="10">
        <v>0.7</v>
      </c>
      <c r="E4235" s="10">
        <v>45.8</v>
      </c>
    </row>
    <row r="4236" spans="1:5">
      <c r="A4236" t="s">
        <v>10316</v>
      </c>
      <c r="B4236" t="s">
        <v>2370</v>
      </c>
      <c r="C4236" s="10">
        <v>6</v>
      </c>
      <c r="D4236" s="10">
        <v>1</v>
      </c>
      <c r="E4236" s="10">
        <v>45.8</v>
      </c>
    </row>
    <row r="4237" spans="1:5">
      <c r="A4237" t="s">
        <v>10317</v>
      </c>
      <c r="B4237" t="s">
        <v>9131</v>
      </c>
      <c r="C4237" s="10">
        <v>6</v>
      </c>
      <c r="D4237" s="10">
        <v>0.7</v>
      </c>
      <c r="E4237" s="10">
        <v>45.8</v>
      </c>
    </row>
    <row r="4238" spans="1:5">
      <c r="A4238" t="s">
        <v>10318</v>
      </c>
      <c r="B4238" t="s">
        <v>9132</v>
      </c>
      <c r="C4238" s="10">
        <v>6</v>
      </c>
      <c r="D4238" s="10">
        <v>0.7</v>
      </c>
      <c r="E4238" s="10">
        <v>55.1</v>
      </c>
    </row>
    <row r="4239" spans="1:5">
      <c r="A4239" t="s">
        <v>10319</v>
      </c>
      <c r="B4239" t="s">
        <v>9133</v>
      </c>
      <c r="C4239" s="10">
        <v>6</v>
      </c>
      <c r="D4239" s="10">
        <v>0.7</v>
      </c>
      <c r="E4239" s="10">
        <v>45.8</v>
      </c>
    </row>
    <row r="4240" spans="1:5">
      <c r="A4240" t="s">
        <v>10320</v>
      </c>
      <c r="B4240" t="s">
        <v>9134</v>
      </c>
      <c r="C4240" s="10">
        <v>1</v>
      </c>
      <c r="D4240" s="10">
        <v>0.7</v>
      </c>
      <c r="E4240" s="10">
        <v>49.1</v>
      </c>
    </row>
    <row r="4241" spans="1:5">
      <c r="A4241" t="s">
        <v>10321</v>
      </c>
      <c r="B4241" t="s">
        <v>9135</v>
      </c>
      <c r="C4241" s="10">
        <v>6</v>
      </c>
      <c r="D4241" s="10">
        <v>0.7</v>
      </c>
      <c r="E4241" s="10">
        <v>59.7</v>
      </c>
    </row>
    <row r="4242" spans="1:5">
      <c r="A4242" t="s">
        <v>2371</v>
      </c>
      <c r="B4242" t="s">
        <v>2372</v>
      </c>
      <c r="C4242" s="10">
        <v>6</v>
      </c>
      <c r="D4242" s="10">
        <v>1</v>
      </c>
      <c r="E4242" s="10">
        <v>45.8</v>
      </c>
    </row>
    <row r="4243" spans="1:5">
      <c r="A4243" t="s">
        <v>4546</v>
      </c>
      <c r="B4243" t="s">
        <v>4547</v>
      </c>
      <c r="C4243" s="10">
        <v>6</v>
      </c>
      <c r="D4243" s="10">
        <v>0.7</v>
      </c>
      <c r="E4243" s="10">
        <v>45.8</v>
      </c>
    </row>
    <row r="4244" spans="1:5">
      <c r="A4244" t="s">
        <v>6786</v>
      </c>
      <c r="B4244" t="s">
        <v>6787</v>
      </c>
      <c r="C4244" s="10">
        <v>12</v>
      </c>
      <c r="D4244" s="10">
        <v>0.7</v>
      </c>
      <c r="E4244" s="10">
        <v>48.6</v>
      </c>
    </row>
    <row r="4245" spans="1:5">
      <c r="A4245" t="s">
        <v>4548</v>
      </c>
      <c r="B4245" t="s">
        <v>4549</v>
      </c>
      <c r="C4245" s="10">
        <v>6</v>
      </c>
      <c r="D4245" s="10">
        <v>0.7</v>
      </c>
      <c r="E4245" s="10">
        <v>45.8</v>
      </c>
    </row>
    <row r="4246" spans="1:5">
      <c r="A4246" t="s">
        <v>10322</v>
      </c>
      <c r="B4246" t="s">
        <v>9136</v>
      </c>
      <c r="C4246" s="10">
        <v>6</v>
      </c>
      <c r="D4246" s="10">
        <v>0.7</v>
      </c>
      <c r="E4246" s="10">
        <v>45.8</v>
      </c>
    </row>
    <row r="4247" spans="1:5">
      <c r="A4247" t="s">
        <v>4550</v>
      </c>
      <c r="B4247" t="s">
        <v>4551</v>
      </c>
      <c r="C4247" s="10">
        <v>6</v>
      </c>
      <c r="D4247" s="10">
        <v>0.7</v>
      </c>
      <c r="E4247" s="10">
        <v>45.8</v>
      </c>
    </row>
    <row r="4248" spans="1:5">
      <c r="A4248" t="s">
        <v>4552</v>
      </c>
      <c r="B4248" t="s">
        <v>4553</v>
      </c>
      <c r="C4248" s="10">
        <v>6</v>
      </c>
      <c r="D4248" s="10">
        <v>0.7</v>
      </c>
      <c r="E4248" s="10">
        <v>45.8</v>
      </c>
    </row>
    <row r="4249" spans="1:5">
      <c r="A4249" t="s">
        <v>4554</v>
      </c>
      <c r="B4249" t="s">
        <v>4555</v>
      </c>
      <c r="C4249" s="10">
        <v>6</v>
      </c>
      <c r="D4249" s="10">
        <v>0.7</v>
      </c>
      <c r="E4249" s="10">
        <v>45.8</v>
      </c>
    </row>
    <row r="4250" spans="1:5">
      <c r="A4250" t="s">
        <v>5592</v>
      </c>
      <c r="B4250" t="s">
        <v>5593</v>
      </c>
      <c r="C4250" s="10">
        <v>6</v>
      </c>
      <c r="D4250" s="10">
        <v>0.7</v>
      </c>
      <c r="E4250" s="10">
        <v>43</v>
      </c>
    </row>
    <row r="4251" spans="1:5">
      <c r="A4251" t="s">
        <v>5276</v>
      </c>
      <c r="B4251" t="s">
        <v>5277</v>
      </c>
      <c r="C4251" s="10">
        <v>6</v>
      </c>
      <c r="D4251" s="10">
        <v>0.7</v>
      </c>
      <c r="E4251" s="10">
        <v>46</v>
      </c>
    </row>
    <row r="4252" spans="1:5">
      <c r="A4252" t="s">
        <v>4556</v>
      </c>
      <c r="B4252" t="s">
        <v>4557</v>
      </c>
      <c r="C4252" s="10">
        <v>6</v>
      </c>
      <c r="D4252" s="10">
        <v>0.7</v>
      </c>
      <c r="E4252" s="10">
        <v>46.8</v>
      </c>
    </row>
    <row r="4253" spans="1:5">
      <c r="A4253" t="s">
        <v>4558</v>
      </c>
      <c r="B4253" t="s">
        <v>4559</v>
      </c>
      <c r="C4253" s="10">
        <v>6</v>
      </c>
      <c r="D4253" s="10">
        <v>0.7</v>
      </c>
      <c r="E4253" s="10">
        <v>57.5</v>
      </c>
    </row>
    <row r="4254" spans="1:5">
      <c r="A4254" t="s">
        <v>1241</v>
      </c>
      <c r="B4254" t="s">
        <v>1242</v>
      </c>
      <c r="C4254" s="10">
        <v>6</v>
      </c>
      <c r="D4254" s="10">
        <v>0.7</v>
      </c>
      <c r="E4254" s="10">
        <v>40</v>
      </c>
    </row>
    <row r="4255" spans="1:5">
      <c r="A4255" t="s">
        <v>5757</v>
      </c>
      <c r="B4255" t="s">
        <v>5758</v>
      </c>
      <c r="C4255" s="10">
        <v>12</v>
      </c>
      <c r="D4255" s="10">
        <v>1</v>
      </c>
      <c r="E4255" s="10">
        <v>40</v>
      </c>
    </row>
    <row r="4256" spans="1:5">
      <c r="A4256" t="s">
        <v>1243</v>
      </c>
      <c r="B4256" t="s">
        <v>1244</v>
      </c>
      <c r="C4256" s="10">
        <v>6</v>
      </c>
      <c r="D4256" s="10">
        <v>0.7</v>
      </c>
      <c r="E4256" s="10">
        <v>40</v>
      </c>
    </row>
    <row r="4257" spans="1:5">
      <c r="A4257" t="s">
        <v>1245</v>
      </c>
      <c r="B4257" t="s">
        <v>1246</v>
      </c>
      <c r="C4257" s="10">
        <v>6</v>
      </c>
      <c r="D4257" s="10">
        <v>0.7</v>
      </c>
      <c r="E4257" s="10">
        <v>40</v>
      </c>
    </row>
    <row r="4258" spans="1:5">
      <c r="A4258" t="s">
        <v>1247</v>
      </c>
      <c r="B4258" t="s">
        <v>1248</v>
      </c>
      <c r="C4258" s="10">
        <v>6</v>
      </c>
      <c r="D4258" s="10">
        <v>0.7</v>
      </c>
      <c r="E4258" s="10">
        <v>40</v>
      </c>
    </row>
    <row r="4259" spans="1:5">
      <c r="A4259" t="s">
        <v>5759</v>
      </c>
      <c r="B4259" t="s">
        <v>5760</v>
      </c>
      <c r="C4259" s="10">
        <v>12</v>
      </c>
      <c r="D4259" s="10">
        <v>1</v>
      </c>
      <c r="E4259" s="10">
        <v>40</v>
      </c>
    </row>
    <row r="4260" spans="1:5">
      <c r="A4260" t="s">
        <v>10323</v>
      </c>
      <c r="B4260" t="s">
        <v>9137</v>
      </c>
      <c r="C4260" s="10">
        <v>6</v>
      </c>
      <c r="D4260" s="10">
        <v>0.7</v>
      </c>
      <c r="E4260" s="10">
        <v>40</v>
      </c>
    </row>
    <row r="4261" spans="1:5">
      <c r="A4261" t="s">
        <v>1249</v>
      </c>
      <c r="B4261" t="s">
        <v>1250</v>
      </c>
      <c r="C4261" s="10">
        <v>6</v>
      </c>
      <c r="D4261" s="10">
        <v>0.7</v>
      </c>
      <c r="E4261" s="10">
        <v>40</v>
      </c>
    </row>
    <row r="4262" spans="1:5">
      <c r="A4262" t="s">
        <v>1251</v>
      </c>
      <c r="B4262" t="s">
        <v>1252</v>
      </c>
      <c r="C4262" s="10">
        <v>6</v>
      </c>
      <c r="D4262" s="10">
        <v>0.7</v>
      </c>
      <c r="E4262" s="10">
        <v>40</v>
      </c>
    </row>
    <row r="4263" spans="1:5">
      <c r="A4263" t="s">
        <v>1253</v>
      </c>
      <c r="B4263" t="s">
        <v>1254</v>
      </c>
      <c r="C4263" s="10">
        <v>6</v>
      </c>
      <c r="D4263" s="10">
        <v>0.7</v>
      </c>
      <c r="E4263" s="10">
        <v>40</v>
      </c>
    </row>
    <row r="4264" spans="1:5">
      <c r="A4264" t="s">
        <v>4560</v>
      </c>
      <c r="B4264" t="s">
        <v>4561</v>
      </c>
      <c r="C4264" s="10">
        <v>6</v>
      </c>
      <c r="D4264" s="10">
        <v>0.7</v>
      </c>
      <c r="E4264" s="10">
        <v>42</v>
      </c>
    </row>
    <row r="4265" spans="1:5">
      <c r="A4265" t="s">
        <v>5128</v>
      </c>
      <c r="B4265" t="s">
        <v>5129</v>
      </c>
      <c r="C4265" s="10">
        <v>6</v>
      </c>
      <c r="D4265" s="10">
        <v>0.7</v>
      </c>
      <c r="E4265" s="10">
        <v>38</v>
      </c>
    </row>
    <row r="4266" spans="1:5">
      <c r="A4266" t="s">
        <v>4562</v>
      </c>
      <c r="B4266" t="s">
        <v>4563</v>
      </c>
      <c r="C4266" s="10">
        <v>6</v>
      </c>
      <c r="D4266" s="10">
        <v>0.7</v>
      </c>
      <c r="E4266" s="10">
        <v>0</v>
      </c>
    </row>
    <row r="4267" spans="1:5">
      <c r="A4267" t="s">
        <v>4564</v>
      </c>
      <c r="B4267" t="s">
        <v>4565</v>
      </c>
      <c r="C4267" s="10">
        <v>6</v>
      </c>
      <c r="D4267" s="10">
        <v>0.7</v>
      </c>
      <c r="E4267" s="10">
        <v>41.3</v>
      </c>
    </row>
    <row r="4268" spans="1:5">
      <c r="A4268" t="s">
        <v>10324</v>
      </c>
      <c r="B4268" t="s">
        <v>9138</v>
      </c>
      <c r="C4268" s="10">
        <v>32</v>
      </c>
      <c r="D4268" s="10">
        <v>0.5</v>
      </c>
      <c r="E4268" s="10">
        <v>43.25</v>
      </c>
    </row>
    <row r="4269" spans="1:5">
      <c r="A4269" t="s">
        <v>4566</v>
      </c>
      <c r="B4269" t="s">
        <v>4567</v>
      </c>
      <c r="C4269" s="10">
        <v>6</v>
      </c>
      <c r="D4269" s="10">
        <v>0.7</v>
      </c>
      <c r="E4269" s="10">
        <v>41.3</v>
      </c>
    </row>
    <row r="4270" spans="1:5">
      <c r="A4270" t="s">
        <v>6887</v>
      </c>
      <c r="B4270" t="s">
        <v>4567</v>
      </c>
      <c r="C4270" s="10">
        <v>12</v>
      </c>
      <c r="D4270" s="10">
        <v>1</v>
      </c>
      <c r="E4270" s="10">
        <v>41.3</v>
      </c>
    </row>
    <row r="4271" spans="1:5">
      <c r="A4271" t="s">
        <v>6788</v>
      </c>
      <c r="B4271" t="s">
        <v>4569</v>
      </c>
      <c r="C4271" s="10">
        <v>12</v>
      </c>
      <c r="D4271" s="10">
        <v>0.35</v>
      </c>
      <c r="E4271" s="10">
        <v>43.1</v>
      </c>
    </row>
    <row r="4272" spans="1:5">
      <c r="A4272" t="s">
        <v>4568</v>
      </c>
      <c r="B4272" t="s">
        <v>4569</v>
      </c>
      <c r="C4272" s="10">
        <v>6</v>
      </c>
      <c r="D4272" s="10">
        <v>0.7</v>
      </c>
      <c r="E4272" s="10">
        <v>43.1</v>
      </c>
    </row>
    <row r="4273" spans="1:5">
      <c r="A4273" t="s">
        <v>6888</v>
      </c>
      <c r="B4273" t="s">
        <v>4569</v>
      </c>
      <c r="C4273" s="10">
        <v>12</v>
      </c>
      <c r="D4273" s="10">
        <v>1</v>
      </c>
      <c r="E4273" s="10">
        <v>47.3</v>
      </c>
    </row>
    <row r="4274" spans="1:5">
      <c r="A4274" t="s">
        <v>6889</v>
      </c>
      <c r="B4274" t="s">
        <v>4569</v>
      </c>
      <c r="C4274" s="10">
        <v>12</v>
      </c>
      <c r="D4274" s="10">
        <v>1</v>
      </c>
      <c r="E4274" s="10">
        <v>43.1</v>
      </c>
    </row>
    <row r="4275" spans="1:5">
      <c r="A4275" t="s">
        <v>10325</v>
      </c>
      <c r="B4275" t="s">
        <v>6500</v>
      </c>
      <c r="C4275" s="10">
        <v>120</v>
      </c>
      <c r="D4275" s="10">
        <v>0.05</v>
      </c>
      <c r="E4275" s="10">
        <v>43.1</v>
      </c>
    </row>
    <row r="4276" spans="1:5">
      <c r="A4276" t="s">
        <v>6501</v>
      </c>
      <c r="B4276" t="s">
        <v>6500</v>
      </c>
      <c r="C4276" s="10">
        <v>192</v>
      </c>
      <c r="D4276" s="10">
        <v>0.05</v>
      </c>
      <c r="E4276" s="10">
        <v>47.3</v>
      </c>
    </row>
    <row r="4277" spans="1:5">
      <c r="A4277" t="s">
        <v>6890</v>
      </c>
      <c r="B4277" t="s">
        <v>6891</v>
      </c>
      <c r="C4277" s="10">
        <v>12</v>
      </c>
      <c r="D4277" s="10">
        <v>1</v>
      </c>
      <c r="E4277" s="10">
        <v>41.3</v>
      </c>
    </row>
    <row r="4278" spans="1:5">
      <c r="A4278" t="s">
        <v>4570</v>
      </c>
      <c r="B4278" t="s">
        <v>4571</v>
      </c>
      <c r="C4278" s="10">
        <v>6</v>
      </c>
      <c r="D4278" s="10">
        <v>0.7</v>
      </c>
      <c r="E4278" s="10">
        <v>41.3</v>
      </c>
    </row>
    <row r="4279" spans="1:5">
      <c r="A4279" t="s">
        <v>6892</v>
      </c>
      <c r="B4279" t="s">
        <v>4571</v>
      </c>
      <c r="C4279" s="10">
        <v>12</v>
      </c>
      <c r="D4279" s="10">
        <v>1</v>
      </c>
      <c r="E4279" s="10">
        <v>41.3</v>
      </c>
    </row>
    <row r="4280" spans="1:5">
      <c r="A4280" t="s">
        <v>4572</v>
      </c>
      <c r="B4280" t="s">
        <v>4573</v>
      </c>
      <c r="C4280" s="10">
        <v>6</v>
      </c>
      <c r="D4280" s="10">
        <v>0.7</v>
      </c>
      <c r="E4280" s="10">
        <v>47.3</v>
      </c>
    </row>
    <row r="4281" spans="1:5">
      <c r="A4281" t="s">
        <v>6893</v>
      </c>
      <c r="B4281" t="s">
        <v>4573</v>
      </c>
      <c r="C4281" s="10">
        <v>12</v>
      </c>
      <c r="D4281" s="10">
        <v>1</v>
      </c>
      <c r="E4281" s="10">
        <v>47.3</v>
      </c>
    </row>
    <row r="4282" spans="1:5">
      <c r="A4282" t="s">
        <v>6894</v>
      </c>
      <c r="B4282" t="s">
        <v>6895</v>
      </c>
      <c r="C4282" s="10">
        <v>12</v>
      </c>
      <c r="D4282" s="10">
        <v>1</v>
      </c>
      <c r="E4282" s="10">
        <v>45.3</v>
      </c>
    </row>
    <row r="4283" spans="1:5">
      <c r="A4283" t="s">
        <v>1255</v>
      </c>
      <c r="B4283" t="s">
        <v>1256</v>
      </c>
      <c r="C4283" s="10">
        <v>6</v>
      </c>
      <c r="D4283" s="10">
        <v>0.7</v>
      </c>
      <c r="E4283" s="10">
        <v>40</v>
      </c>
    </row>
    <row r="4284" spans="1:5">
      <c r="A4284" t="s">
        <v>10326</v>
      </c>
      <c r="B4284" t="s">
        <v>9139</v>
      </c>
      <c r="C4284" s="10">
        <v>5</v>
      </c>
      <c r="D4284" s="10">
        <v>0.1</v>
      </c>
      <c r="E4284" s="10">
        <v>40</v>
      </c>
    </row>
    <row r="4285" spans="1:5">
      <c r="A4285" t="s">
        <v>10327</v>
      </c>
      <c r="B4285" t="s">
        <v>9140</v>
      </c>
      <c r="C4285" s="10">
        <v>5</v>
      </c>
      <c r="D4285" s="10">
        <v>0.1</v>
      </c>
      <c r="E4285" s="10">
        <v>43</v>
      </c>
    </row>
    <row r="4286" spans="1:5">
      <c r="A4286" t="s">
        <v>6502</v>
      </c>
      <c r="B4286" t="s">
        <v>6503</v>
      </c>
      <c r="C4286" s="10">
        <v>5</v>
      </c>
      <c r="D4286" s="10">
        <v>0.1</v>
      </c>
      <c r="E4286" s="10">
        <v>43.08</v>
      </c>
    </row>
    <row r="4287" spans="1:5">
      <c r="A4287" t="s">
        <v>5970</v>
      </c>
      <c r="B4287" t="s">
        <v>5971</v>
      </c>
      <c r="C4287" s="10">
        <v>5</v>
      </c>
      <c r="D4287" s="10">
        <v>0.1</v>
      </c>
      <c r="E4287" s="10">
        <v>40</v>
      </c>
    </row>
    <row r="4288" spans="1:5">
      <c r="A4288" t="s">
        <v>10328</v>
      </c>
      <c r="B4288" t="s">
        <v>9141</v>
      </c>
      <c r="C4288" s="10">
        <v>5</v>
      </c>
      <c r="D4288" s="10">
        <v>0.1</v>
      </c>
      <c r="E4288" s="10">
        <v>30</v>
      </c>
    </row>
    <row r="4289" spans="1:5">
      <c r="A4289" t="s">
        <v>10329</v>
      </c>
      <c r="B4289" t="s">
        <v>9142</v>
      </c>
      <c r="C4289" s="10">
        <v>5</v>
      </c>
      <c r="D4289" s="10">
        <v>0.1</v>
      </c>
      <c r="E4289" s="10">
        <v>38.75</v>
      </c>
    </row>
    <row r="4290" spans="1:5">
      <c r="A4290" t="s">
        <v>10330</v>
      </c>
      <c r="B4290" t="s">
        <v>9143</v>
      </c>
      <c r="C4290" s="10">
        <v>5</v>
      </c>
      <c r="D4290" s="10">
        <v>0.1</v>
      </c>
      <c r="E4290" s="10">
        <v>41.5</v>
      </c>
    </row>
    <row r="4291" spans="1:5">
      <c r="A4291" t="s">
        <v>10331</v>
      </c>
      <c r="B4291" t="s">
        <v>9144</v>
      </c>
      <c r="C4291" s="10">
        <v>5</v>
      </c>
      <c r="D4291" s="10">
        <v>0.1</v>
      </c>
      <c r="E4291" s="10">
        <v>42.25</v>
      </c>
    </row>
    <row r="4292" spans="1:5">
      <c r="A4292" t="s">
        <v>5972</v>
      </c>
      <c r="B4292" t="s">
        <v>5973</v>
      </c>
      <c r="C4292" s="10">
        <v>5</v>
      </c>
      <c r="D4292" s="10">
        <v>0.1</v>
      </c>
      <c r="E4292" s="10">
        <v>40</v>
      </c>
    </row>
    <row r="4293" spans="1:5">
      <c r="A4293" t="s">
        <v>2864</v>
      </c>
      <c r="B4293" t="s">
        <v>2865</v>
      </c>
      <c r="C4293" s="10">
        <v>6</v>
      </c>
      <c r="D4293" s="10">
        <v>0.75</v>
      </c>
      <c r="E4293" s="10">
        <v>20</v>
      </c>
    </row>
    <row r="4294" spans="1:5">
      <c r="A4294" t="s">
        <v>4574</v>
      </c>
      <c r="B4294" t="s">
        <v>4575</v>
      </c>
      <c r="C4294" s="10">
        <v>6</v>
      </c>
      <c r="D4294" s="10">
        <v>0.7</v>
      </c>
      <c r="E4294" s="10">
        <v>11</v>
      </c>
    </row>
    <row r="4295" spans="1:5">
      <c r="A4295" t="s">
        <v>1257</v>
      </c>
      <c r="B4295" t="s">
        <v>1258</v>
      </c>
      <c r="C4295" s="10">
        <v>6</v>
      </c>
      <c r="D4295" s="10">
        <v>0.7</v>
      </c>
      <c r="E4295" s="10">
        <v>40</v>
      </c>
    </row>
    <row r="4296" spans="1:5">
      <c r="A4296" t="s">
        <v>10332</v>
      </c>
      <c r="B4296" t="s">
        <v>1258</v>
      </c>
      <c r="C4296" s="10">
        <v>12</v>
      </c>
      <c r="D4296" s="10">
        <v>1</v>
      </c>
      <c r="E4296" s="10">
        <v>40</v>
      </c>
    </row>
    <row r="4297" spans="1:5">
      <c r="A4297" t="s">
        <v>10333</v>
      </c>
      <c r="B4297" t="s">
        <v>9145</v>
      </c>
      <c r="C4297" s="10">
        <v>12</v>
      </c>
      <c r="D4297" s="10">
        <v>0.7</v>
      </c>
      <c r="E4297" s="10">
        <v>40</v>
      </c>
    </row>
    <row r="4298" spans="1:5">
      <c r="A4298" t="s">
        <v>5594</v>
      </c>
      <c r="B4298" t="s">
        <v>5595</v>
      </c>
      <c r="C4298" s="10">
        <v>6</v>
      </c>
      <c r="D4298" s="10">
        <v>0.7</v>
      </c>
      <c r="E4298" s="10">
        <v>43</v>
      </c>
    </row>
    <row r="4299" spans="1:5">
      <c r="A4299" t="s">
        <v>1259</v>
      </c>
      <c r="B4299" t="s">
        <v>1260</v>
      </c>
      <c r="C4299" s="10">
        <v>6</v>
      </c>
      <c r="D4299" s="10">
        <v>0.7</v>
      </c>
      <c r="E4299" s="10">
        <v>40</v>
      </c>
    </row>
    <row r="4300" spans="1:5">
      <c r="A4300" t="s">
        <v>4576</v>
      </c>
      <c r="B4300" t="s">
        <v>9146</v>
      </c>
      <c r="C4300" s="10">
        <v>6</v>
      </c>
      <c r="D4300" s="10">
        <v>0.7</v>
      </c>
      <c r="E4300" s="10">
        <v>50</v>
      </c>
    </row>
    <row r="4301" spans="1:5">
      <c r="A4301" t="s">
        <v>4577</v>
      </c>
      <c r="B4301" t="s">
        <v>4578</v>
      </c>
      <c r="C4301" s="10">
        <v>6</v>
      </c>
      <c r="D4301" s="10">
        <v>0.7</v>
      </c>
      <c r="E4301" s="10">
        <v>50</v>
      </c>
    </row>
    <row r="4302" spans="1:5">
      <c r="A4302" t="s">
        <v>5278</v>
      </c>
      <c r="B4302" t="s">
        <v>5279</v>
      </c>
      <c r="C4302" s="10">
        <v>6</v>
      </c>
      <c r="D4302" s="10">
        <v>0.7</v>
      </c>
      <c r="E4302" s="10">
        <v>46</v>
      </c>
    </row>
    <row r="4303" spans="1:5">
      <c r="A4303" t="s">
        <v>5280</v>
      </c>
      <c r="B4303" t="s">
        <v>5281</v>
      </c>
      <c r="C4303" s="10">
        <v>6</v>
      </c>
      <c r="D4303" s="10">
        <v>0.7</v>
      </c>
      <c r="E4303" s="10">
        <v>46</v>
      </c>
    </row>
    <row r="4304" spans="1:5">
      <c r="A4304" t="s">
        <v>10334</v>
      </c>
      <c r="B4304" t="s">
        <v>9147</v>
      </c>
      <c r="C4304" s="10">
        <v>6</v>
      </c>
      <c r="D4304" s="10">
        <v>0.7</v>
      </c>
      <c r="E4304" s="10">
        <v>50</v>
      </c>
    </row>
    <row r="4305" spans="1:5">
      <c r="A4305" t="s">
        <v>5282</v>
      </c>
      <c r="B4305" t="s">
        <v>5283</v>
      </c>
      <c r="C4305" s="10">
        <v>6</v>
      </c>
      <c r="D4305" s="10">
        <v>0.7</v>
      </c>
      <c r="E4305" s="10">
        <v>46</v>
      </c>
    </row>
    <row r="4306" spans="1:5">
      <c r="A4306" t="s">
        <v>5284</v>
      </c>
      <c r="B4306" t="s">
        <v>5285</v>
      </c>
      <c r="C4306" s="10">
        <v>6</v>
      </c>
      <c r="D4306" s="10">
        <v>0.7</v>
      </c>
      <c r="E4306" s="10">
        <v>46</v>
      </c>
    </row>
    <row r="4307" spans="1:5">
      <c r="A4307" t="s">
        <v>5286</v>
      </c>
      <c r="B4307" t="s">
        <v>5287</v>
      </c>
      <c r="C4307" s="10">
        <v>6</v>
      </c>
      <c r="D4307" s="10">
        <v>0.7</v>
      </c>
      <c r="E4307" s="10">
        <v>46</v>
      </c>
    </row>
    <row r="4308" spans="1:5">
      <c r="A4308" t="s">
        <v>5288</v>
      </c>
      <c r="B4308" t="s">
        <v>5289</v>
      </c>
      <c r="C4308" s="10">
        <v>6</v>
      </c>
      <c r="D4308" s="10">
        <v>0.7</v>
      </c>
      <c r="E4308" s="10">
        <v>46</v>
      </c>
    </row>
    <row r="4309" spans="1:5">
      <c r="A4309" t="s">
        <v>10335</v>
      </c>
      <c r="B4309" t="s">
        <v>9148</v>
      </c>
      <c r="C4309" s="10">
        <v>6</v>
      </c>
      <c r="D4309" s="10">
        <v>0.7</v>
      </c>
      <c r="E4309" s="10">
        <v>46</v>
      </c>
    </row>
    <row r="4310" spans="1:5">
      <c r="A4310" t="s">
        <v>5290</v>
      </c>
      <c r="B4310" t="s">
        <v>5291</v>
      </c>
      <c r="C4310" s="10">
        <v>6</v>
      </c>
      <c r="D4310" s="10">
        <v>0.7</v>
      </c>
      <c r="E4310" s="10">
        <v>46</v>
      </c>
    </row>
    <row r="4311" spans="1:5">
      <c r="A4311" t="s">
        <v>5292</v>
      </c>
      <c r="B4311" t="s">
        <v>5293</v>
      </c>
      <c r="C4311" s="10">
        <v>6</v>
      </c>
      <c r="D4311" s="10">
        <v>0.7</v>
      </c>
      <c r="E4311" s="10">
        <v>46</v>
      </c>
    </row>
    <row r="4312" spans="1:5">
      <c r="A4312" t="s">
        <v>1689</v>
      </c>
      <c r="B4312" t="s">
        <v>1690</v>
      </c>
      <c r="C4312" s="10">
        <v>6</v>
      </c>
      <c r="D4312" s="10">
        <v>0.15</v>
      </c>
      <c r="E4312" s="10">
        <v>46</v>
      </c>
    </row>
    <row r="4313" spans="1:5">
      <c r="A4313" t="s">
        <v>4579</v>
      </c>
      <c r="B4313" t="s">
        <v>4580</v>
      </c>
      <c r="C4313" s="10">
        <v>6</v>
      </c>
      <c r="D4313" s="10">
        <v>0.7</v>
      </c>
      <c r="E4313" s="10">
        <v>17</v>
      </c>
    </row>
    <row r="4314" spans="1:5">
      <c r="A4314" t="s">
        <v>10336</v>
      </c>
      <c r="B4314" t="s">
        <v>9149</v>
      </c>
      <c r="C4314" s="10">
        <v>6</v>
      </c>
      <c r="D4314" s="10">
        <v>0.7</v>
      </c>
      <c r="E4314" s="10">
        <v>30</v>
      </c>
    </row>
    <row r="4315" spans="1:5">
      <c r="A4315" t="s">
        <v>10337</v>
      </c>
      <c r="B4315" t="s">
        <v>1261</v>
      </c>
      <c r="C4315" s="10">
        <v>6</v>
      </c>
      <c r="D4315" s="10">
        <v>0.7</v>
      </c>
      <c r="E4315" s="10">
        <v>40</v>
      </c>
    </row>
    <row r="4316" spans="1:5">
      <c r="A4316" t="s">
        <v>5862</v>
      </c>
      <c r="B4316" t="s">
        <v>1261</v>
      </c>
      <c r="C4316" s="10">
        <v>12</v>
      </c>
      <c r="D4316" s="10">
        <v>0.7</v>
      </c>
      <c r="E4316" s="10">
        <v>40</v>
      </c>
    </row>
    <row r="4317" spans="1:5">
      <c r="A4317" t="s">
        <v>4918</v>
      </c>
      <c r="B4317" t="s">
        <v>4919</v>
      </c>
      <c r="C4317" s="10">
        <v>6</v>
      </c>
      <c r="D4317" s="10">
        <v>0.7</v>
      </c>
      <c r="E4317" s="10">
        <v>37.5</v>
      </c>
    </row>
    <row r="4318" spans="1:5">
      <c r="A4318" t="s">
        <v>5596</v>
      </c>
      <c r="B4318" t="s">
        <v>5597</v>
      </c>
      <c r="C4318" s="10">
        <v>6</v>
      </c>
      <c r="D4318" s="10">
        <v>0.7</v>
      </c>
      <c r="E4318" s="10">
        <v>43</v>
      </c>
    </row>
    <row r="4319" spans="1:5">
      <c r="A4319" t="s">
        <v>2980</v>
      </c>
      <c r="B4319" t="s">
        <v>2981</v>
      </c>
      <c r="C4319" s="10">
        <v>6</v>
      </c>
      <c r="D4319" s="10">
        <v>0.75</v>
      </c>
      <c r="E4319" s="10">
        <v>13</v>
      </c>
    </row>
    <row r="4320" spans="1:5">
      <c r="A4320" t="s">
        <v>2866</v>
      </c>
      <c r="B4320" t="s">
        <v>2867</v>
      </c>
      <c r="C4320" s="10">
        <v>6</v>
      </c>
      <c r="D4320" s="10">
        <v>0.75</v>
      </c>
      <c r="E4320" s="10">
        <v>13.5</v>
      </c>
    </row>
    <row r="4321" spans="1:5">
      <c r="A4321" t="s">
        <v>2982</v>
      </c>
      <c r="B4321" t="s">
        <v>2983</v>
      </c>
      <c r="C4321" s="10">
        <v>6</v>
      </c>
      <c r="D4321" s="10">
        <v>0.75</v>
      </c>
      <c r="E4321" s="10">
        <v>13</v>
      </c>
    </row>
    <row r="4322" spans="1:5">
      <c r="A4322" t="s">
        <v>2984</v>
      </c>
      <c r="B4322" t="s">
        <v>2985</v>
      </c>
      <c r="C4322" s="10">
        <v>6</v>
      </c>
      <c r="D4322" s="10">
        <v>0.75</v>
      </c>
      <c r="E4322" s="10">
        <v>13</v>
      </c>
    </row>
    <row r="4323" spans="1:5">
      <c r="A4323" t="s">
        <v>10338</v>
      </c>
      <c r="B4323" t="s">
        <v>9150</v>
      </c>
      <c r="C4323" s="10">
        <v>6</v>
      </c>
      <c r="D4323" s="10">
        <v>0.75</v>
      </c>
      <c r="E4323" s="10">
        <v>13.5</v>
      </c>
    </row>
    <row r="4324" spans="1:5">
      <c r="A4324" t="s">
        <v>2868</v>
      </c>
      <c r="B4324" t="s">
        <v>2869</v>
      </c>
      <c r="C4324" s="10">
        <v>6</v>
      </c>
      <c r="D4324" s="10">
        <v>0.75</v>
      </c>
      <c r="E4324" s="10">
        <v>13.5</v>
      </c>
    </row>
    <row r="4325" spans="1:5">
      <c r="A4325" t="s">
        <v>6920</v>
      </c>
      <c r="B4325" t="s">
        <v>6921</v>
      </c>
      <c r="C4325" s="10">
        <v>6</v>
      </c>
      <c r="D4325" s="10">
        <v>0.75</v>
      </c>
      <c r="E4325" s="10">
        <v>14.5</v>
      </c>
    </row>
    <row r="4326" spans="1:5">
      <c r="A4326" t="s">
        <v>2870</v>
      </c>
      <c r="B4326" t="s">
        <v>2871</v>
      </c>
      <c r="C4326" s="10">
        <v>6</v>
      </c>
      <c r="D4326" s="10">
        <v>0.75</v>
      </c>
      <c r="E4326" s="10">
        <v>13.5</v>
      </c>
    </row>
    <row r="4327" spans="1:5">
      <c r="A4327" t="s">
        <v>2872</v>
      </c>
      <c r="B4327" t="s">
        <v>2873</v>
      </c>
      <c r="C4327" s="10">
        <v>6</v>
      </c>
      <c r="D4327" s="10">
        <v>0.75</v>
      </c>
      <c r="E4327" s="10">
        <v>14</v>
      </c>
    </row>
    <row r="4328" spans="1:5">
      <c r="A4328" t="s">
        <v>4581</v>
      </c>
      <c r="B4328" t="s">
        <v>4582</v>
      </c>
      <c r="C4328" s="10">
        <v>6</v>
      </c>
      <c r="D4328" s="10">
        <v>0.7</v>
      </c>
      <c r="E4328" s="10">
        <v>15</v>
      </c>
    </row>
    <row r="4329" spans="1:5">
      <c r="A4329" t="s">
        <v>10339</v>
      </c>
      <c r="B4329" t="s">
        <v>9151</v>
      </c>
      <c r="C4329" s="10">
        <v>6</v>
      </c>
      <c r="D4329" s="10">
        <v>0.7</v>
      </c>
      <c r="E4329" s="10">
        <v>35</v>
      </c>
    </row>
    <row r="4330" spans="1:5">
      <c r="A4330" t="s">
        <v>10340</v>
      </c>
      <c r="B4330" t="s">
        <v>9152</v>
      </c>
      <c r="C4330" s="10">
        <v>6</v>
      </c>
      <c r="D4330" s="10">
        <v>0.75</v>
      </c>
      <c r="E4330" s="10">
        <v>14</v>
      </c>
    </row>
    <row r="4331" spans="1:5">
      <c r="A4331" t="s">
        <v>10341</v>
      </c>
      <c r="B4331" t="s">
        <v>9153</v>
      </c>
      <c r="C4331" s="10">
        <v>6</v>
      </c>
      <c r="D4331" s="10">
        <v>0.75</v>
      </c>
      <c r="E4331" s="10">
        <v>12.5</v>
      </c>
    </row>
    <row r="4332" spans="1:5">
      <c r="A4332" t="s">
        <v>3222</v>
      </c>
      <c r="B4332" t="s">
        <v>3223</v>
      </c>
      <c r="C4332" s="10">
        <v>6</v>
      </c>
      <c r="D4332" s="10">
        <v>0.75</v>
      </c>
      <c r="E4332" s="10">
        <v>12.5</v>
      </c>
    </row>
    <row r="4333" spans="1:5">
      <c r="A4333" t="s">
        <v>5294</v>
      </c>
      <c r="B4333" t="s">
        <v>5295</v>
      </c>
      <c r="C4333" s="10">
        <v>6</v>
      </c>
      <c r="D4333" s="10">
        <v>0.7</v>
      </c>
      <c r="E4333" s="10">
        <v>46</v>
      </c>
    </row>
    <row r="4334" spans="1:5">
      <c r="A4334" t="s">
        <v>6896</v>
      </c>
      <c r="B4334" t="s">
        <v>5295</v>
      </c>
      <c r="C4334" s="10">
        <v>12</v>
      </c>
      <c r="D4334" s="10">
        <v>1</v>
      </c>
      <c r="E4334" s="10">
        <v>46</v>
      </c>
    </row>
    <row r="4335" spans="1:5">
      <c r="A4335" t="s">
        <v>4583</v>
      </c>
      <c r="B4335" t="s">
        <v>4584</v>
      </c>
      <c r="C4335" s="10">
        <v>6</v>
      </c>
      <c r="D4335" s="10">
        <v>0.7</v>
      </c>
      <c r="E4335" s="10">
        <v>24</v>
      </c>
    </row>
    <row r="4336" spans="1:5">
      <c r="A4336" t="s">
        <v>1262</v>
      </c>
      <c r="B4336" t="s">
        <v>1263</v>
      </c>
      <c r="C4336" s="10">
        <v>6</v>
      </c>
      <c r="D4336" s="10">
        <v>0.7</v>
      </c>
      <c r="E4336" s="10">
        <v>40</v>
      </c>
    </row>
    <row r="4337" spans="1:5">
      <c r="A4337" t="s">
        <v>1264</v>
      </c>
      <c r="B4337" t="s">
        <v>1265</v>
      </c>
      <c r="C4337" s="10">
        <v>6</v>
      </c>
      <c r="D4337" s="10">
        <v>0.7</v>
      </c>
      <c r="E4337" s="10">
        <v>40</v>
      </c>
    </row>
    <row r="4338" spans="1:5">
      <c r="A4338" t="s">
        <v>1266</v>
      </c>
      <c r="B4338" t="s">
        <v>1267</v>
      </c>
      <c r="C4338" s="10">
        <v>6</v>
      </c>
      <c r="D4338" s="10">
        <v>0.7</v>
      </c>
      <c r="E4338" s="10">
        <v>40</v>
      </c>
    </row>
    <row r="4339" spans="1:5">
      <c r="A4339" t="s">
        <v>5598</v>
      </c>
      <c r="B4339" t="s">
        <v>5599</v>
      </c>
      <c r="C4339" s="10">
        <v>6</v>
      </c>
      <c r="D4339" s="10">
        <v>0.7</v>
      </c>
      <c r="E4339" s="10">
        <v>43</v>
      </c>
    </row>
    <row r="4340" spans="1:5">
      <c r="A4340" t="s">
        <v>1268</v>
      </c>
      <c r="B4340" t="s">
        <v>1269</v>
      </c>
      <c r="C4340" s="10">
        <v>6</v>
      </c>
      <c r="D4340" s="10">
        <v>0.7</v>
      </c>
      <c r="E4340" s="10">
        <v>40</v>
      </c>
    </row>
    <row r="4341" spans="1:5">
      <c r="A4341" t="s">
        <v>1270</v>
      </c>
      <c r="B4341" t="s">
        <v>1271</v>
      </c>
      <c r="C4341" s="10">
        <v>6</v>
      </c>
      <c r="D4341" s="10">
        <v>0.7</v>
      </c>
      <c r="E4341" s="10">
        <v>40</v>
      </c>
    </row>
    <row r="4342" spans="1:5">
      <c r="A4342" t="s">
        <v>1272</v>
      </c>
      <c r="B4342" t="s">
        <v>1273</v>
      </c>
      <c r="C4342" s="10">
        <v>6</v>
      </c>
      <c r="D4342" s="10">
        <v>0.7</v>
      </c>
      <c r="E4342" s="10">
        <v>40</v>
      </c>
    </row>
    <row r="4343" spans="1:5">
      <c r="A4343" t="s">
        <v>4585</v>
      </c>
      <c r="B4343" t="s">
        <v>1273</v>
      </c>
      <c r="C4343" s="10">
        <v>6</v>
      </c>
      <c r="D4343" s="10">
        <v>0.7</v>
      </c>
      <c r="E4343" s="10">
        <v>41</v>
      </c>
    </row>
    <row r="4344" spans="1:5">
      <c r="A4344" t="s">
        <v>5974</v>
      </c>
      <c r="B4344" t="s">
        <v>9154</v>
      </c>
      <c r="C4344" s="10">
        <v>10</v>
      </c>
      <c r="D4344" s="10">
        <v>0.2</v>
      </c>
      <c r="E4344" s="10">
        <v>40</v>
      </c>
    </row>
    <row r="4345" spans="1:5">
      <c r="A4345" t="s">
        <v>1274</v>
      </c>
      <c r="B4345" t="s">
        <v>1275</v>
      </c>
      <c r="C4345" s="10">
        <v>6</v>
      </c>
      <c r="D4345" s="10">
        <v>0.7</v>
      </c>
      <c r="E4345" s="10">
        <v>40</v>
      </c>
    </row>
    <row r="4346" spans="1:5">
      <c r="A4346" t="s">
        <v>5600</v>
      </c>
      <c r="B4346" t="s">
        <v>5601</v>
      </c>
      <c r="C4346" s="10">
        <v>6</v>
      </c>
      <c r="D4346" s="10">
        <v>0.7</v>
      </c>
      <c r="E4346" s="10">
        <v>43</v>
      </c>
    </row>
    <row r="4347" spans="1:5">
      <c r="A4347" t="s">
        <v>1276</v>
      </c>
      <c r="B4347" t="s">
        <v>1277</v>
      </c>
      <c r="C4347" s="10">
        <v>6</v>
      </c>
      <c r="D4347" s="10">
        <v>0.7</v>
      </c>
      <c r="E4347" s="10">
        <v>40</v>
      </c>
    </row>
    <row r="4348" spans="1:5">
      <c r="A4348" t="s">
        <v>10342</v>
      </c>
      <c r="B4348" t="s">
        <v>9155</v>
      </c>
      <c r="C4348" s="10">
        <v>6</v>
      </c>
      <c r="D4348" s="10">
        <v>0.7</v>
      </c>
      <c r="E4348" s="10">
        <v>43</v>
      </c>
    </row>
    <row r="4349" spans="1:5">
      <c r="A4349" t="s">
        <v>5602</v>
      </c>
      <c r="B4349" t="s">
        <v>5603</v>
      </c>
      <c r="C4349" s="10">
        <v>6</v>
      </c>
      <c r="D4349" s="10">
        <v>0.7</v>
      </c>
      <c r="E4349" s="10">
        <v>43</v>
      </c>
    </row>
    <row r="4350" spans="1:5">
      <c r="A4350" t="s">
        <v>4586</v>
      </c>
      <c r="B4350" t="s">
        <v>4587</v>
      </c>
      <c r="C4350" s="10">
        <v>6</v>
      </c>
      <c r="D4350" s="10">
        <v>0.7</v>
      </c>
      <c r="E4350" s="10">
        <v>46.9</v>
      </c>
    </row>
    <row r="4351" spans="1:5">
      <c r="A4351" t="s">
        <v>10343</v>
      </c>
      <c r="B4351" t="s">
        <v>9156</v>
      </c>
      <c r="C4351" s="10">
        <v>6</v>
      </c>
      <c r="D4351" s="10">
        <v>0.7</v>
      </c>
      <c r="E4351" s="10">
        <v>46.5</v>
      </c>
    </row>
    <row r="4352" spans="1:5">
      <c r="A4352" t="s">
        <v>6504</v>
      </c>
      <c r="B4352" t="s">
        <v>6505</v>
      </c>
      <c r="C4352" s="10">
        <v>1</v>
      </c>
      <c r="D4352" s="10">
        <v>0.7</v>
      </c>
      <c r="E4352" s="10">
        <v>43.8</v>
      </c>
    </row>
    <row r="4353" spans="1:5">
      <c r="A4353" t="s">
        <v>6506</v>
      </c>
      <c r="B4353" t="s">
        <v>6507</v>
      </c>
      <c r="C4353" s="10">
        <v>1</v>
      </c>
      <c r="D4353" s="10">
        <v>0.7</v>
      </c>
      <c r="E4353" s="10">
        <v>42</v>
      </c>
    </row>
    <row r="4354" spans="1:5">
      <c r="A4354" t="s">
        <v>6508</v>
      </c>
      <c r="B4354" t="s">
        <v>6509</v>
      </c>
      <c r="C4354" s="10">
        <v>1</v>
      </c>
      <c r="D4354" s="10">
        <v>0.7</v>
      </c>
      <c r="E4354" s="10">
        <v>43.2</v>
      </c>
    </row>
    <row r="4355" spans="1:5">
      <c r="A4355" t="s">
        <v>4588</v>
      </c>
      <c r="B4355" t="s">
        <v>2374</v>
      </c>
      <c r="C4355" s="10">
        <v>6</v>
      </c>
      <c r="D4355" s="10">
        <v>0.7</v>
      </c>
      <c r="E4355" s="10">
        <v>44</v>
      </c>
    </row>
    <row r="4356" spans="1:5">
      <c r="A4356" t="s">
        <v>6897</v>
      </c>
      <c r="B4356" t="s">
        <v>2374</v>
      </c>
      <c r="C4356" s="10">
        <v>12</v>
      </c>
      <c r="D4356" s="10">
        <v>1</v>
      </c>
      <c r="E4356" s="10">
        <v>44</v>
      </c>
    </row>
    <row r="4357" spans="1:5">
      <c r="A4357" t="s">
        <v>2373</v>
      </c>
      <c r="B4357" t="s">
        <v>2374</v>
      </c>
      <c r="C4357" s="10">
        <v>6</v>
      </c>
      <c r="D4357" s="10">
        <v>1</v>
      </c>
      <c r="E4357" s="10">
        <v>44</v>
      </c>
    </row>
    <row r="4358" spans="1:5">
      <c r="A4358" t="s">
        <v>1278</v>
      </c>
      <c r="B4358" t="s">
        <v>1279</v>
      </c>
      <c r="C4358" s="10">
        <v>6</v>
      </c>
      <c r="D4358" s="10">
        <v>0.7</v>
      </c>
      <c r="E4358" s="10">
        <v>40</v>
      </c>
    </row>
    <row r="4359" spans="1:5">
      <c r="A4359" t="s">
        <v>4589</v>
      </c>
      <c r="B4359" t="s">
        <v>4590</v>
      </c>
      <c r="C4359" s="10">
        <v>6</v>
      </c>
      <c r="D4359" s="10">
        <v>0.7</v>
      </c>
      <c r="E4359" s="10">
        <v>46.5</v>
      </c>
    </row>
    <row r="4360" spans="1:5">
      <c r="A4360" t="s">
        <v>2375</v>
      </c>
      <c r="B4360" t="s">
        <v>2376</v>
      </c>
      <c r="C4360" s="10">
        <v>6</v>
      </c>
      <c r="D4360" s="10">
        <v>1</v>
      </c>
      <c r="E4360" s="10">
        <v>41.5</v>
      </c>
    </row>
    <row r="4361" spans="1:5">
      <c r="A4361" t="s">
        <v>10344</v>
      </c>
      <c r="B4361" t="s">
        <v>9157</v>
      </c>
      <c r="C4361" s="10">
        <v>6</v>
      </c>
      <c r="D4361" s="10">
        <v>0.7</v>
      </c>
      <c r="E4361" s="10">
        <v>44.5</v>
      </c>
    </row>
    <row r="4362" spans="1:5">
      <c r="A4362" t="s">
        <v>10345</v>
      </c>
      <c r="B4362" t="s">
        <v>9158</v>
      </c>
      <c r="C4362" s="10">
        <v>6</v>
      </c>
      <c r="D4362" s="10">
        <v>1</v>
      </c>
      <c r="E4362" s="10">
        <v>40</v>
      </c>
    </row>
    <row r="4363" spans="1:5">
      <c r="A4363" t="s">
        <v>1280</v>
      </c>
      <c r="B4363" t="s">
        <v>1281</v>
      </c>
      <c r="C4363" s="10">
        <v>6</v>
      </c>
      <c r="D4363" s="10">
        <v>0.7</v>
      </c>
      <c r="E4363" s="10">
        <v>40</v>
      </c>
    </row>
    <row r="4364" spans="1:5">
      <c r="A4364" t="s">
        <v>1282</v>
      </c>
      <c r="B4364" t="s">
        <v>1283</v>
      </c>
      <c r="C4364" s="10">
        <v>6</v>
      </c>
      <c r="D4364" s="10">
        <v>0.7</v>
      </c>
      <c r="E4364" s="10">
        <v>40</v>
      </c>
    </row>
    <row r="4365" spans="1:5">
      <c r="A4365" t="s">
        <v>1284</v>
      </c>
      <c r="B4365" t="s">
        <v>1285</v>
      </c>
      <c r="C4365" s="10">
        <v>6</v>
      </c>
      <c r="D4365" s="10">
        <v>0.7</v>
      </c>
      <c r="E4365" s="10">
        <v>40</v>
      </c>
    </row>
    <row r="4366" spans="1:5">
      <c r="A4366" t="s">
        <v>10346</v>
      </c>
      <c r="B4366" t="s">
        <v>9159</v>
      </c>
      <c r="C4366" s="10">
        <v>6</v>
      </c>
      <c r="D4366" s="10">
        <v>0.7</v>
      </c>
      <c r="E4366" s="10">
        <v>40</v>
      </c>
    </row>
    <row r="4367" spans="1:5">
      <c r="A4367" t="s">
        <v>4812</v>
      </c>
      <c r="B4367" t="s">
        <v>4813</v>
      </c>
      <c r="C4367" s="10">
        <v>6</v>
      </c>
      <c r="D4367" s="10">
        <v>0.7</v>
      </c>
      <c r="E4367" s="10">
        <v>45</v>
      </c>
    </row>
    <row r="4368" spans="1:5">
      <c r="A4368" t="s">
        <v>1286</v>
      </c>
      <c r="B4368" t="s">
        <v>1287</v>
      </c>
      <c r="C4368" s="10">
        <v>6</v>
      </c>
      <c r="D4368" s="10">
        <v>0.7</v>
      </c>
      <c r="E4368" s="10">
        <v>40</v>
      </c>
    </row>
    <row r="4369" spans="1:5">
      <c r="A4369" t="s">
        <v>4920</v>
      </c>
      <c r="B4369" t="s">
        <v>4921</v>
      </c>
      <c r="C4369" s="10">
        <v>6</v>
      </c>
      <c r="D4369" s="10">
        <v>0.7</v>
      </c>
      <c r="E4369" s="10">
        <v>37.5</v>
      </c>
    </row>
    <row r="4370" spans="1:5">
      <c r="A4370" t="s">
        <v>1288</v>
      </c>
      <c r="B4370" t="s">
        <v>1289</v>
      </c>
      <c r="C4370" s="10">
        <v>6</v>
      </c>
      <c r="D4370" s="10">
        <v>0.7</v>
      </c>
      <c r="E4370" s="10">
        <v>40</v>
      </c>
    </row>
    <row r="4371" spans="1:5">
      <c r="A4371" t="s">
        <v>1290</v>
      </c>
      <c r="B4371" t="s">
        <v>1291</v>
      </c>
      <c r="C4371" s="10">
        <v>6</v>
      </c>
      <c r="D4371" s="10">
        <v>0.7</v>
      </c>
      <c r="E4371" s="10">
        <v>40</v>
      </c>
    </row>
    <row r="4372" spans="1:5">
      <c r="A4372" t="s">
        <v>1931</v>
      </c>
      <c r="B4372" t="s">
        <v>1932</v>
      </c>
      <c r="C4372" s="10">
        <v>6</v>
      </c>
      <c r="D4372" s="10">
        <v>0.5</v>
      </c>
      <c r="E4372" s="10">
        <v>42.9</v>
      </c>
    </row>
    <row r="4373" spans="1:5">
      <c r="A4373" t="s">
        <v>2377</v>
      </c>
      <c r="B4373" t="s">
        <v>2378</v>
      </c>
      <c r="C4373" s="10">
        <v>6</v>
      </c>
      <c r="D4373" s="10">
        <v>1</v>
      </c>
      <c r="E4373" s="10">
        <v>43</v>
      </c>
    </row>
    <row r="4374" spans="1:5">
      <c r="A4374" t="s">
        <v>5604</v>
      </c>
      <c r="B4374" t="s">
        <v>5605</v>
      </c>
      <c r="C4374" s="10">
        <v>6</v>
      </c>
      <c r="D4374" s="10">
        <v>0.7</v>
      </c>
      <c r="E4374" s="10">
        <v>43</v>
      </c>
    </row>
    <row r="4375" spans="1:5">
      <c r="A4375" t="s">
        <v>5296</v>
      </c>
      <c r="B4375" t="s">
        <v>5297</v>
      </c>
      <c r="C4375" s="10">
        <v>6</v>
      </c>
      <c r="D4375" s="10">
        <v>0.7</v>
      </c>
      <c r="E4375" s="10">
        <v>46</v>
      </c>
    </row>
    <row r="4376" spans="1:5">
      <c r="A4376" t="s">
        <v>10347</v>
      </c>
      <c r="B4376" t="s">
        <v>9160</v>
      </c>
      <c r="C4376" s="10">
        <v>6</v>
      </c>
      <c r="D4376" s="10">
        <v>0.7</v>
      </c>
      <c r="E4376" s="10">
        <v>46</v>
      </c>
    </row>
    <row r="4377" spans="1:5">
      <c r="A4377" t="s">
        <v>10348</v>
      </c>
      <c r="B4377" t="s">
        <v>9161</v>
      </c>
      <c r="C4377" s="10">
        <v>6</v>
      </c>
      <c r="D4377" s="10">
        <v>0.7</v>
      </c>
      <c r="E4377" s="10">
        <v>48</v>
      </c>
    </row>
    <row r="4378" spans="1:5">
      <c r="A4378" t="s">
        <v>4591</v>
      </c>
      <c r="B4378" t="s">
        <v>4592</v>
      </c>
      <c r="C4378" s="10">
        <v>6</v>
      </c>
      <c r="D4378" s="10">
        <v>0.7</v>
      </c>
      <c r="E4378" s="10">
        <v>58.6</v>
      </c>
    </row>
    <row r="4379" spans="1:5">
      <c r="A4379" t="s">
        <v>5298</v>
      </c>
      <c r="B4379" t="s">
        <v>5299</v>
      </c>
      <c r="C4379" s="10">
        <v>6</v>
      </c>
      <c r="D4379" s="10">
        <v>0.7</v>
      </c>
      <c r="E4379" s="10">
        <v>46</v>
      </c>
    </row>
    <row r="4380" spans="1:5">
      <c r="A4380" t="s">
        <v>4593</v>
      </c>
      <c r="B4380" t="s">
        <v>4594</v>
      </c>
      <c r="C4380" s="10">
        <v>6</v>
      </c>
      <c r="D4380" s="10">
        <v>0.7</v>
      </c>
      <c r="E4380" s="10">
        <v>48</v>
      </c>
    </row>
    <row r="4381" spans="1:5">
      <c r="A4381" t="s">
        <v>1292</v>
      </c>
      <c r="B4381" t="s">
        <v>9162</v>
      </c>
      <c r="C4381" s="10">
        <v>6</v>
      </c>
      <c r="D4381" s="10">
        <v>0.7</v>
      </c>
      <c r="E4381" s="10">
        <v>40</v>
      </c>
    </row>
    <row r="4382" spans="1:5">
      <c r="A4382" t="s">
        <v>1293</v>
      </c>
      <c r="B4382" t="s">
        <v>1294</v>
      </c>
      <c r="C4382" s="10">
        <v>6</v>
      </c>
      <c r="D4382" s="10">
        <v>0.7</v>
      </c>
      <c r="E4382" s="10">
        <v>40</v>
      </c>
    </row>
    <row r="4383" spans="1:5">
      <c r="A4383" t="s">
        <v>10349</v>
      </c>
      <c r="B4383" t="s">
        <v>9163</v>
      </c>
      <c r="C4383" s="10">
        <v>6</v>
      </c>
      <c r="D4383" s="10">
        <v>0.7</v>
      </c>
      <c r="E4383" s="10">
        <v>40</v>
      </c>
    </row>
    <row r="4384" spans="1:5">
      <c r="A4384" t="s">
        <v>10350</v>
      </c>
      <c r="B4384" t="s">
        <v>9163</v>
      </c>
      <c r="C4384" s="10">
        <v>6</v>
      </c>
      <c r="D4384" s="10">
        <v>0.7</v>
      </c>
      <c r="E4384" s="10">
        <v>40</v>
      </c>
    </row>
    <row r="4385" spans="1:5">
      <c r="A4385" t="s">
        <v>1295</v>
      </c>
      <c r="B4385" t="s">
        <v>1296</v>
      </c>
      <c r="C4385" s="10">
        <v>6</v>
      </c>
      <c r="D4385" s="10">
        <v>0.7</v>
      </c>
      <c r="E4385" s="10">
        <v>40</v>
      </c>
    </row>
    <row r="4386" spans="1:5">
      <c r="A4386" t="s">
        <v>1297</v>
      </c>
      <c r="B4386" t="s">
        <v>1298</v>
      </c>
      <c r="C4386" s="10">
        <v>6</v>
      </c>
      <c r="D4386" s="10">
        <v>0.7</v>
      </c>
      <c r="E4386" s="10">
        <v>40</v>
      </c>
    </row>
    <row r="4387" spans="1:5">
      <c r="A4387" t="s">
        <v>1299</v>
      </c>
      <c r="B4387" t="s">
        <v>1300</v>
      </c>
      <c r="C4387" s="10">
        <v>6</v>
      </c>
      <c r="D4387" s="10">
        <v>0.7</v>
      </c>
      <c r="E4387" s="10">
        <v>40</v>
      </c>
    </row>
    <row r="4388" spans="1:5">
      <c r="A4388" t="s">
        <v>1301</v>
      </c>
      <c r="B4388" t="s">
        <v>9164</v>
      </c>
      <c r="C4388" s="10">
        <v>6</v>
      </c>
      <c r="D4388" s="10">
        <v>0.7</v>
      </c>
      <c r="E4388" s="10">
        <v>40</v>
      </c>
    </row>
    <row r="4389" spans="1:5">
      <c r="A4389" t="s">
        <v>1303</v>
      </c>
      <c r="B4389" t="s">
        <v>1302</v>
      </c>
      <c r="C4389" s="10">
        <v>6</v>
      </c>
      <c r="D4389" s="10">
        <v>0.7</v>
      </c>
      <c r="E4389" s="10">
        <v>40</v>
      </c>
    </row>
    <row r="4390" spans="1:5">
      <c r="A4390" t="s">
        <v>10351</v>
      </c>
      <c r="B4390" t="s">
        <v>9165</v>
      </c>
      <c r="C4390" s="10">
        <v>3</v>
      </c>
      <c r="D4390" s="10">
        <v>0.7</v>
      </c>
      <c r="E4390" s="10">
        <v>43</v>
      </c>
    </row>
    <row r="4391" spans="1:5">
      <c r="A4391" t="s">
        <v>1304</v>
      </c>
      <c r="B4391" t="s">
        <v>1305</v>
      </c>
      <c r="C4391" s="10">
        <v>6</v>
      </c>
      <c r="D4391" s="10">
        <v>0.7</v>
      </c>
      <c r="E4391" s="10">
        <v>40</v>
      </c>
    </row>
    <row r="4392" spans="1:5">
      <c r="A4392" t="s">
        <v>1306</v>
      </c>
      <c r="B4392" t="s">
        <v>1307</v>
      </c>
      <c r="C4392" s="10">
        <v>6</v>
      </c>
      <c r="D4392" s="10">
        <v>0.7</v>
      </c>
      <c r="E4392" s="10">
        <v>40</v>
      </c>
    </row>
    <row r="4393" spans="1:5">
      <c r="A4393" t="s">
        <v>5975</v>
      </c>
      <c r="B4393" t="s">
        <v>5976</v>
      </c>
      <c r="C4393" s="10">
        <v>120</v>
      </c>
      <c r="D4393" s="10">
        <v>0.05</v>
      </c>
      <c r="E4393" s="10">
        <v>40</v>
      </c>
    </row>
    <row r="4394" spans="1:5">
      <c r="A4394" t="s">
        <v>10352</v>
      </c>
      <c r="B4394" t="s">
        <v>1309</v>
      </c>
      <c r="C4394" s="10">
        <v>6</v>
      </c>
      <c r="D4394" s="10">
        <v>0.2</v>
      </c>
      <c r="E4394" s="10">
        <v>40</v>
      </c>
    </row>
    <row r="4395" spans="1:5">
      <c r="A4395" t="s">
        <v>6072</v>
      </c>
      <c r="B4395" t="s">
        <v>1309</v>
      </c>
      <c r="C4395" s="10">
        <v>3</v>
      </c>
      <c r="D4395" s="10">
        <v>0.7</v>
      </c>
      <c r="E4395" s="10">
        <v>40</v>
      </c>
    </row>
    <row r="4396" spans="1:5">
      <c r="A4396" t="s">
        <v>1308</v>
      </c>
      <c r="B4396" t="s">
        <v>1309</v>
      </c>
      <c r="C4396" s="10">
        <v>6</v>
      </c>
      <c r="D4396" s="10">
        <v>0.7</v>
      </c>
      <c r="E4396" s="10">
        <v>40</v>
      </c>
    </row>
    <row r="4397" spans="1:5">
      <c r="A4397" t="s">
        <v>10353</v>
      </c>
      <c r="B4397" t="s">
        <v>9166</v>
      </c>
      <c r="C4397" s="10">
        <v>6</v>
      </c>
      <c r="D4397" s="10">
        <v>1</v>
      </c>
      <c r="E4397" s="10">
        <v>40</v>
      </c>
    </row>
    <row r="4398" spans="1:5">
      <c r="A4398" t="s">
        <v>10354</v>
      </c>
      <c r="B4398" t="s">
        <v>9167</v>
      </c>
      <c r="C4398" s="10">
        <v>6</v>
      </c>
      <c r="D4398" s="10">
        <v>0.7</v>
      </c>
      <c r="E4398" s="10">
        <v>40</v>
      </c>
    </row>
    <row r="4399" spans="1:5">
      <c r="A4399" t="s">
        <v>1310</v>
      </c>
      <c r="B4399" t="s">
        <v>1311</v>
      </c>
      <c r="C4399" s="10">
        <v>6</v>
      </c>
      <c r="D4399" s="10">
        <v>0.7</v>
      </c>
      <c r="E4399" s="10">
        <v>40</v>
      </c>
    </row>
    <row r="4400" spans="1:5">
      <c r="A4400" t="s">
        <v>10355</v>
      </c>
      <c r="B4400" t="s">
        <v>9168</v>
      </c>
      <c r="C4400" s="10">
        <v>6</v>
      </c>
      <c r="D4400" s="10">
        <v>0.7</v>
      </c>
      <c r="E4400" s="10">
        <v>43</v>
      </c>
    </row>
    <row r="4401" spans="1:5">
      <c r="A4401" t="s">
        <v>10356</v>
      </c>
      <c r="B4401" t="s">
        <v>9169</v>
      </c>
      <c r="C4401" s="10">
        <v>4</v>
      </c>
      <c r="D4401" s="10">
        <v>0.7</v>
      </c>
      <c r="E4401" s="10">
        <v>43</v>
      </c>
    </row>
    <row r="4402" spans="1:5">
      <c r="A4402" t="s">
        <v>10357</v>
      </c>
      <c r="B4402" t="s">
        <v>9170</v>
      </c>
      <c r="C4402" s="10">
        <v>6</v>
      </c>
      <c r="D4402" s="10">
        <v>0.7</v>
      </c>
      <c r="E4402" s="10">
        <v>40</v>
      </c>
    </row>
    <row r="4403" spans="1:5">
      <c r="A4403" t="s">
        <v>10358</v>
      </c>
      <c r="B4403" t="s">
        <v>9171</v>
      </c>
      <c r="C4403" s="10">
        <v>6</v>
      </c>
      <c r="D4403" s="10">
        <v>0.7</v>
      </c>
      <c r="E4403" s="10">
        <v>40</v>
      </c>
    </row>
    <row r="4404" spans="1:5">
      <c r="A4404" t="s">
        <v>4595</v>
      </c>
      <c r="B4404" t="s">
        <v>4596</v>
      </c>
      <c r="C4404" s="10">
        <v>6</v>
      </c>
      <c r="D4404" s="10">
        <v>0.7</v>
      </c>
      <c r="E4404" s="10">
        <v>48.8</v>
      </c>
    </row>
    <row r="4405" spans="1:5">
      <c r="A4405" t="s">
        <v>5606</v>
      </c>
      <c r="B4405" t="s">
        <v>5607</v>
      </c>
      <c r="C4405" s="10">
        <v>6</v>
      </c>
      <c r="D4405" s="10">
        <v>0.7</v>
      </c>
      <c r="E4405" s="10">
        <v>43</v>
      </c>
    </row>
    <row r="4406" spans="1:5">
      <c r="A4406" t="s">
        <v>10359</v>
      </c>
      <c r="B4406" t="s">
        <v>9172</v>
      </c>
      <c r="C4406" s="10">
        <v>6</v>
      </c>
      <c r="D4406" s="10">
        <v>0.7</v>
      </c>
      <c r="E4406" s="10">
        <v>40</v>
      </c>
    </row>
    <row r="4407" spans="1:5">
      <c r="A4407" t="s">
        <v>10360</v>
      </c>
      <c r="B4407" t="s">
        <v>9173</v>
      </c>
      <c r="C4407" s="10">
        <v>6</v>
      </c>
      <c r="D4407" s="10">
        <v>0.7</v>
      </c>
      <c r="E4407" s="10">
        <v>46</v>
      </c>
    </row>
    <row r="4408" spans="1:5">
      <c r="A4408" t="s">
        <v>5300</v>
      </c>
      <c r="B4408" t="s">
        <v>5301</v>
      </c>
      <c r="C4408" s="10">
        <v>6</v>
      </c>
      <c r="D4408" s="10">
        <v>0.7</v>
      </c>
      <c r="E4408" s="10">
        <v>46</v>
      </c>
    </row>
    <row r="4409" spans="1:5">
      <c r="A4409" t="s">
        <v>1312</v>
      </c>
      <c r="B4409" t="s">
        <v>1313</v>
      </c>
      <c r="C4409" s="10">
        <v>6</v>
      </c>
      <c r="D4409" s="10">
        <v>0.7</v>
      </c>
      <c r="E4409" s="10">
        <v>40</v>
      </c>
    </row>
    <row r="4410" spans="1:5">
      <c r="A4410" t="s">
        <v>1314</v>
      </c>
      <c r="B4410" t="s">
        <v>1315</v>
      </c>
      <c r="C4410" s="10">
        <v>6</v>
      </c>
      <c r="D4410" s="10">
        <v>0.7</v>
      </c>
      <c r="E4410" s="10">
        <v>40</v>
      </c>
    </row>
    <row r="4411" spans="1:5">
      <c r="A4411" t="s">
        <v>5608</v>
      </c>
      <c r="B4411" t="s">
        <v>5609</v>
      </c>
      <c r="C4411" s="10">
        <v>6</v>
      </c>
      <c r="D4411" s="10">
        <v>0.7</v>
      </c>
      <c r="E4411" s="10">
        <v>43</v>
      </c>
    </row>
    <row r="4412" spans="1:5">
      <c r="A4412" t="s">
        <v>10361</v>
      </c>
      <c r="B4412" t="s">
        <v>9174</v>
      </c>
      <c r="C4412" s="10">
        <v>6</v>
      </c>
      <c r="D4412" s="10">
        <v>0.7</v>
      </c>
      <c r="E4412" s="10">
        <v>43</v>
      </c>
    </row>
    <row r="4413" spans="1:5">
      <c r="A4413" t="s">
        <v>5610</v>
      </c>
      <c r="B4413" t="s">
        <v>5611</v>
      </c>
      <c r="C4413" s="10">
        <v>6</v>
      </c>
      <c r="D4413" s="10">
        <v>0.7</v>
      </c>
      <c r="E4413" s="10">
        <v>43</v>
      </c>
    </row>
    <row r="4414" spans="1:5">
      <c r="A4414" t="s">
        <v>10362</v>
      </c>
      <c r="B4414" t="s">
        <v>2379</v>
      </c>
      <c r="C4414" s="10">
        <v>3</v>
      </c>
      <c r="D4414" s="10">
        <v>0.7</v>
      </c>
      <c r="E4414" s="10">
        <v>47</v>
      </c>
    </row>
    <row r="4415" spans="1:5">
      <c r="A4415" t="s">
        <v>10363</v>
      </c>
      <c r="B4415" t="s">
        <v>2379</v>
      </c>
      <c r="C4415" s="10">
        <v>6</v>
      </c>
      <c r="D4415" s="10">
        <v>1</v>
      </c>
      <c r="E4415" s="10">
        <v>43</v>
      </c>
    </row>
    <row r="4416" spans="1:5">
      <c r="A4416" t="s">
        <v>6510</v>
      </c>
      <c r="B4416" t="s">
        <v>2379</v>
      </c>
      <c r="C4416" s="10">
        <v>1</v>
      </c>
      <c r="D4416" s="10">
        <v>3</v>
      </c>
      <c r="E4416" s="10">
        <v>43</v>
      </c>
    </row>
    <row r="4417" spans="1:5">
      <c r="A4417" t="s">
        <v>10364</v>
      </c>
      <c r="B4417" t="s">
        <v>9175</v>
      </c>
      <c r="C4417" s="10">
        <v>6</v>
      </c>
      <c r="D4417" s="10">
        <v>0.7</v>
      </c>
      <c r="E4417" s="10">
        <v>43</v>
      </c>
    </row>
    <row r="4418" spans="1:5">
      <c r="A4418" t="s">
        <v>2380</v>
      </c>
      <c r="B4418" t="s">
        <v>2381</v>
      </c>
      <c r="C4418" s="10">
        <v>6</v>
      </c>
      <c r="D4418" s="10">
        <v>1</v>
      </c>
      <c r="E4418" s="10">
        <v>0</v>
      </c>
    </row>
    <row r="4419" spans="1:5">
      <c r="A4419" t="s">
        <v>6511</v>
      </c>
      <c r="B4419" t="s">
        <v>6512</v>
      </c>
      <c r="C4419" s="10">
        <v>3</v>
      </c>
      <c r="D4419" s="10">
        <v>0.7</v>
      </c>
      <c r="E4419" s="10">
        <v>43</v>
      </c>
    </row>
    <row r="4420" spans="1:5">
      <c r="A4420" t="s">
        <v>1316</v>
      </c>
      <c r="B4420" t="s">
        <v>1317</v>
      </c>
      <c r="C4420" s="10">
        <v>6</v>
      </c>
      <c r="D4420" s="10">
        <v>0.7</v>
      </c>
      <c r="E4420" s="10">
        <v>40</v>
      </c>
    </row>
    <row r="4421" spans="1:5">
      <c r="A4421" t="s">
        <v>1318</v>
      </c>
      <c r="B4421" t="s">
        <v>1319</v>
      </c>
      <c r="C4421" s="10">
        <v>6</v>
      </c>
      <c r="D4421" s="10">
        <v>0.7</v>
      </c>
      <c r="E4421" s="10">
        <v>40</v>
      </c>
    </row>
    <row r="4422" spans="1:5">
      <c r="A4422" t="s">
        <v>1320</v>
      </c>
      <c r="B4422" t="s">
        <v>1321</v>
      </c>
      <c r="C4422" s="10">
        <v>6</v>
      </c>
      <c r="D4422" s="10">
        <v>0.7</v>
      </c>
      <c r="E4422" s="10">
        <v>40</v>
      </c>
    </row>
    <row r="4423" spans="1:5">
      <c r="A4423" t="s">
        <v>5612</v>
      </c>
      <c r="B4423" t="s">
        <v>5613</v>
      </c>
      <c r="C4423" s="10">
        <v>6</v>
      </c>
      <c r="D4423" s="10">
        <v>0.7</v>
      </c>
      <c r="E4423" s="10">
        <v>43</v>
      </c>
    </row>
    <row r="4424" spans="1:5">
      <c r="A4424" t="s">
        <v>5614</v>
      </c>
      <c r="B4424" t="s">
        <v>9176</v>
      </c>
      <c r="C4424" s="10">
        <v>6</v>
      </c>
      <c r="D4424" s="10">
        <v>0.7</v>
      </c>
      <c r="E4424" s="10">
        <v>43</v>
      </c>
    </row>
    <row r="4425" spans="1:5">
      <c r="A4425" t="s">
        <v>10365</v>
      </c>
      <c r="B4425" t="s">
        <v>9177</v>
      </c>
      <c r="C4425" s="10">
        <v>6</v>
      </c>
      <c r="D4425" s="10">
        <v>0.7</v>
      </c>
      <c r="E4425" s="10">
        <v>43</v>
      </c>
    </row>
    <row r="4426" spans="1:5">
      <c r="A4426" t="s">
        <v>5615</v>
      </c>
      <c r="B4426" t="s">
        <v>5616</v>
      </c>
      <c r="C4426" s="10">
        <v>6</v>
      </c>
      <c r="D4426" s="10">
        <v>0.7</v>
      </c>
      <c r="E4426" s="10">
        <v>43</v>
      </c>
    </row>
    <row r="4427" spans="1:5">
      <c r="A4427" t="s">
        <v>5617</v>
      </c>
      <c r="B4427" t="s">
        <v>9178</v>
      </c>
      <c r="C4427" s="10">
        <v>6</v>
      </c>
      <c r="D4427" s="10">
        <v>0.7</v>
      </c>
      <c r="E4427" s="10">
        <v>43</v>
      </c>
    </row>
    <row r="4428" spans="1:5">
      <c r="A4428" t="s">
        <v>5618</v>
      </c>
      <c r="B4428" t="s">
        <v>5619</v>
      </c>
      <c r="C4428" s="10">
        <v>6</v>
      </c>
      <c r="D4428" s="10">
        <v>0.7</v>
      </c>
      <c r="E4428" s="10">
        <v>43</v>
      </c>
    </row>
    <row r="4429" spans="1:5">
      <c r="A4429" t="s">
        <v>10366</v>
      </c>
      <c r="B4429" t="s">
        <v>9179</v>
      </c>
      <c r="C4429" s="10">
        <v>3</v>
      </c>
      <c r="D4429" s="10">
        <v>0.7</v>
      </c>
      <c r="E4429" s="10">
        <v>43</v>
      </c>
    </row>
    <row r="4430" spans="1:5">
      <c r="A4430" t="s">
        <v>10367</v>
      </c>
      <c r="B4430" t="s">
        <v>9180</v>
      </c>
      <c r="C4430" s="10">
        <v>3</v>
      </c>
      <c r="D4430" s="10">
        <v>0.7</v>
      </c>
      <c r="E4430" s="10">
        <v>43</v>
      </c>
    </row>
    <row r="4431" spans="1:5">
      <c r="A4431" t="s">
        <v>10368</v>
      </c>
      <c r="B4431" t="s">
        <v>9181</v>
      </c>
      <c r="C4431" s="10">
        <v>3</v>
      </c>
      <c r="D4431" s="10">
        <v>0.7</v>
      </c>
      <c r="E4431" s="10">
        <v>43</v>
      </c>
    </row>
    <row r="4432" spans="1:5">
      <c r="A4432" t="s">
        <v>6513</v>
      </c>
      <c r="B4432" t="s">
        <v>6514</v>
      </c>
      <c r="C4432" s="10">
        <v>3</v>
      </c>
      <c r="D4432" s="10">
        <v>0.7</v>
      </c>
      <c r="E4432" s="10">
        <v>43</v>
      </c>
    </row>
    <row r="4433" spans="1:5">
      <c r="A4433" t="s">
        <v>10369</v>
      </c>
      <c r="B4433" t="s">
        <v>9182</v>
      </c>
      <c r="C4433" s="10">
        <v>3</v>
      </c>
      <c r="D4433" s="10">
        <v>0.7</v>
      </c>
      <c r="E4433" s="10">
        <v>43</v>
      </c>
    </row>
    <row r="4434" spans="1:5">
      <c r="A4434" t="s">
        <v>10370</v>
      </c>
      <c r="B4434" t="s">
        <v>9183</v>
      </c>
      <c r="C4434" s="10">
        <v>3</v>
      </c>
      <c r="D4434" s="10">
        <v>0.7</v>
      </c>
      <c r="E4434" s="10">
        <v>43</v>
      </c>
    </row>
    <row r="4435" spans="1:5">
      <c r="A4435" t="s">
        <v>6515</v>
      </c>
      <c r="B4435" t="s">
        <v>6516</v>
      </c>
      <c r="C4435" s="10">
        <v>3</v>
      </c>
      <c r="D4435" s="10">
        <v>0.7</v>
      </c>
      <c r="E4435" s="10">
        <v>43</v>
      </c>
    </row>
    <row r="4436" spans="1:5">
      <c r="A4436" t="s">
        <v>10371</v>
      </c>
      <c r="B4436" t="s">
        <v>9184</v>
      </c>
      <c r="C4436" s="10">
        <v>3</v>
      </c>
      <c r="D4436" s="10">
        <v>0.7</v>
      </c>
      <c r="E4436" s="10">
        <v>43</v>
      </c>
    </row>
    <row r="4437" spans="1:5">
      <c r="A4437" t="s">
        <v>4597</v>
      </c>
      <c r="B4437" t="s">
        <v>4598</v>
      </c>
      <c r="C4437" s="10">
        <v>6</v>
      </c>
      <c r="D4437" s="10">
        <v>0.7</v>
      </c>
      <c r="E4437" s="10">
        <v>47.9</v>
      </c>
    </row>
    <row r="4438" spans="1:5">
      <c r="A4438" t="s">
        <v>10372</v>
      </c>
      <c r="B4438" t="s">
        <v>9185</v>
      </c>
      <c r="C4438" s="10">
        <v>1</v>
      </c>
      <c r="D4438" s="10">
        <v>0.7</v>
      </c>
      <c r="E4438" s="10">
        <v>42</v>
      </c>
    </row>
    <row r="4439" spans="1:5">
      <c r="A4439" t="s">
        <v>5620</v>
      </c>
      <c r="B4439" t="s">
        <v>9186</v>
      </c>
      <c r="C4439" s="10">
        <v>6</v>
      </c>
      <c r="D4439" s="10">
        <v>0.7</v>
      </c>
      <c r="E4439" s="10">
        <v>43</v>
      </c>
    </row>
    <row r="4440" spans="1:5">
      <c r="A4440" t="s">
        <v>10373</v>
      </c>
      <c r="B4440" t="s">
        <v>4600</v>
      </c>
      <c r="C4440" s="10">
        <v>12</v>
      </c>
      <c r="D4440" s="10">
        <v>0.7</v>
      </c>
      <c r="E4440" s="10">
        <v>52.5</v>
      </c>
    </row>
    <row r="4441" spans="1:5">
      <c r="A4441" t="s">
        <v>4599</v>
      </c>
      <c r="B4441" t="s">
        <v>4600</v>
      </c>
      <c r="C4441" s="10">
        <v>6</v>
      </c>
      <c r="D4441" s="10">
        <v>0.7</v>
      </c>
      <c r="E4441" s="10">
        <v>52.5</v>
      </c>
    </row>
    <row r="4442" spans="1:5">
      <c r="A4442" t="s">
        <v>4601</v>
      </c>
      <c r="B4442" t="s">
        <v>4602</v>
      </c>
      <c r="C4442" s="10">
        <v>6</v>
      </c>
      <c r="D4442" s="10">
        <v>0.7</v>
      </c>
      <c r="E4442" s="10">
        <v>50.3</v>
      </c>
    </row>
    <row r="4443" spans="1:5">
      <c r="A4443" t="s">
        <v>4603</v>
      </c>
      <c r="B4443" t="s">
        <v>4604</v>
      </c>
      <c r="C4443" s="10">
        <v>6</v>
      </c>
      <c r="D4443" s="10">
        <v>0.7</v>
      </c>
      <c r="E4443" s="10">
        <v>44.9</v>
      </c>
    </row>
    <row r="4444" spans="1:5">
      <c r="A4444" t="s">
        <v>10374</v>
      </c>
      <c r="B4444" t="s">
        <v>9187</v>
      </c>
      <c r="C4444" s="10">
        <v>6</v>
      </c>
      <c r="D4444" s="10">
        <v>0.7</v>
      </c>
      <c r="E4444" s="10">
        <v>40</v>
      </c>
    </row>
    <row r="4445" spans="1:5">
      <c r="A4445" t="s">
        <v>4605</v>
      </c>
      <c r="B4445" t="s">
        <v>4606</v>
      </c>
      <c r="C4445" s="10">
        <v>6</v>
      </c>
      <c r="D4445" s="10">
        <v>0.7</v>
      </c>
      <c r="E4445" s="10">
        <v>44</v>
      </c>
    </row>
    <row r="4446" spans="1:5">
      <c r="A4446" t="s">
        <v>10375</v>
      </c>
      <c r="B4446" t="s">
        <v>9188</v>
      </c>
      <c r="C4446" s="10">
        <v>6</v>
      </c>
      <c r="D4446" s="10">
        <v>0.7</v>
      </c>
      <c r="E4446" s="10">
        <v>41.3</v>
      </c>
    </row>
    <row r="4447" spans="1:5">
      <c r="A4447" t="s">
        <v>6517</v>
      </c>
      <c r="B4447" t="s">
        <v>6518</v>
      </c>
      <c r="C4447" s="10">
        <v>1</v>
      </c>
      <c r="D4447" s="10">
        <v>0.7</v>
      </c>
      <c r="E4447" s="10">
        <v>46</v>
      </c>
    </row>
    <row r="4448" spans="1:5">
      <c r="A4448" t="s">
        <v>10376</v>
      </c>
      <c r="B4448" t="s">
        <v>9189</v>
      </c>
      <c r="C4448" s="10">
        <v>1</v>
      </c>
      <c r="D4448" s="10">
        <v>0.7</v>
      </c>
      <c r="E4448" s="10">
        <v>45</v>
      </c>
    </row>
    <row r="4449" spans="1:5">
      <c r="A4449" t="s">
        <v>10377</v>
      </c>
      <c r="B4449" t="s">
        <v>9190</v>
      </c>
      <c r="C4449" s="10">
        <v>12</v>
      </c>
      <c r="D4449" s="10">
        <v>1</v>
      </c>
      <c r="E4449" s="10">
        <v>40</v>
      </c>
    </row>
    <row r="4450" spans="1:5">
      <c r="A4450" t="s">
        <v>10378</v>
      </c>
      <c r="B4450" t="s">
        <v>9191</v>
      </c>
      <c r="C4450" s="10">
        <v>3</v>
      </c>
      <c r="D4450" s="10">
        <v>0.7</v>
      </c>
      <c r="E4450" s="10">
        <v>43</v>
      </c>
    </row>
    <row r="4451" spans="1:5">
      <c r="A4451" t="s">
        <v>10379</v>
      </c>
      <c r="B4451" t="s">
        <v>9192</v>
      </c>
      <c r="C4451" s="10">
        <v>3</v>
      </c>
      <c r="D4451" s="10">
        <v>0.7</v>
      </c>
      <c r="E4451" s="10">
        <v>43</v>
      </c>
    </row>
    <row r="4452" spans="1:5">
      <c r="A4452" t="s">
        <v>6519</v>
      </c>
      <c r="B4452" t="s">
        <v>6520</v>
      </c>
      <c r="C4452" s="10">
        <v>3</v>
      </c>
      <c r="D4452" s="10">
        <v>0.7</v>
      </c>
      <c r="E4452" s="10">
        <v>43</v>
      </c>
    </row>
    <row r="4453" spans="1:5">
      <c r="A4453" t="s">
        <v>10380</v>
      </c>
      <c r="B4453" t="s">
        <v>9193</v>
      </c>
      <c r="C4453" s="10">
        <v>4</v>
      </c>
      <c r="D4453" s="10">
        <v>0.7</v>
      </c>
      <c r="E4453" s="10">
        <v>47.7</v>
      </c>
    </row>
    <row r="4454" spans="1:5">
      <c r="A4454" t="s">
        <v>10381</v>
      </c>
      <c r="B4454" t="s">
        <v>9194</v>
      </c>
      <c r="C4454" s="10">
        <v>6</v>
      </c>
      <c r="D4454" s="10">
        <v>0.7</v>
      </c>
      <c r="E4454" s="10">
        <v>43.8</v>
      </c>
    </row>
    <row r="4455" spans="1:5">
      <c r="A4455" t="s">
        <v>1611</v>
      </c>
      <c r="B4455" t="s">
        <v>1612</v>
      </c>
      <c r="C4455" s="10">
        <v>6</v>
      </c>
      <c r="D4455" s="10">
        <v>0.5</v>
      </c>
      <c r="E4455" s="10">
        <v>40</v>
      </c>
    </row>
    <row r="4456" spans="1:5">
      <c r="A4456" t="s">
        <v>1613</v>
      </c>
      <c r="B4456" t="s">
        <v>1614</v>
      </c>
      <c r="C4456" s="10">
        <v>6</v>
      </c>
      <c r="D4456" s="10">
        <v>0.5</v>
      </c>
      <c r="E4456" s="10">
        <v>40</v>
      </c>
    </row>
    <row r="4457" spans="1:5">
      <c r="A4457" t="s">
        <v>10382</v>
      </c>
      <c r="B4457" t="s">
        <v>9195</v>
      </c>
      <c r="C4457" s="10">
        <v>6</v>
      </c>
      <c r="D4457" s="10">
        <v>0.5</v>
      </c>
      <c r="E4457" s="10">
        <v>40</v>
      </c>
    </row>
    <row r="4458" spans="1:5">
      <c r="A4458" t="s">
        <v>1615</v>
      </c>
      <c r="B4458" t="s">
        <v>1616</v>
      </c>
      <c r="C4458" s="10">
        <v>6</v>
      </c>
      <c r="D4458" s="10">
        <v>0.5</v>
      </c>
      <c r="E4458" s="10">
        <v>40</v>
      </c>
    </row>
    <row r="4459" spans="1:5">
      <c r="A4459" t="s">
        <v>1324</v>
      </c>
      <c r="B4459" t="s">
        <v>1323</v>
      </c>
      <c r="C4459" s="10">
        <v>6</v>
      </c>
      <c r="D4459" s="10">
        <v>0.7</v>
      </c>
      <c r="E4459" s="10">
        <v>40</v>
      </c>
    </row>
    <row r="4460" spans="1:5">
      <c r="A4460" t="s">
        <v>1322</v>
      </c>
      <c r="B4460" t="s">
        <v>1323</v>
      </c>
      <c r="C4460" s="10">
        <v>6</v>
      </c>
      <c r="D4460" s="10">
        <v>0.7</v>
      </c>
      <c r="E4460" s="10">
        <v>40</v>
      </c>
    </row>
    <row r="4461" spans="1:5">
      <c r="A4461" t="s">
        <v>10383</v>
      </c>
      <c r="B4461" t="s">
        <v>1325</v>
      </c>
      <c r="C4461" s="10">
        <v>6</v>
      </c>
      <c r="D4461" s="10">
        <v>0.7</v>
      </c>
      <c r="E4461" s="10">
        <v>40</v>
      </c>
    </row>
    <row r="4462" spans="1:5">
      <c r="A4462" t="s">
        <v>1326</v>
      </c>
      <c r="B4462" t="s">
        <v>1325</v>
      </c>
      <c r="C4462" s="10">
        <v>6</v>
      </c>
      <c r="D4462" s="10">
        <v>0.7</v>
      </c>
      <c r="E4462" s="10">
        <v>40</v>
      </c>
    </row>
    <row r="4463" spans="1:5">
      <c r="A4463" t="s">
        <v>1327</v>
      </c>
      <c r="B4463" t="s">
        <v>1328</v>
      </c>
      <c r="C4463" s="10">
        <v>6</v>
      </c>
      <c r="D4463" s="10">
        <v>0.7</v>
      </c>
      <c r="E4463" s="10">
        <v>40</v>
      </c>
    </row>
    <row r="4464" spans="1:5">
      <c r="A4464" t="s">
        <v>6939</v>
      </c>
      <c r="B4464" t="s">
        <v>6940</v>
      </c>
      <c r="C4464" s="10">
        <v>6</v>
      </c>
      <c r="D4464" s="10">
        <v>0.7</v>
      </c>
      <c r="E4464" s="10">
        <v>35</v>
      </c>
    </row>
    <row r="4465" spans="1:5">
      <c r="A4465" t="s">
        <v>5863</v>
      </c>
      <c r="B4465" t="s">
        <v>5864</v>
      </c>
      <c r="C4465" s="10">
        <v>12</v>
      </c>
      <c r="D4465" s="10">
        <v>0.05</v>
      </c>
      <c r="E4465" s="10">
        <v>40</v>
      </c>
    </row>
    <row r="4466" spans="1:5">
      <c r="A4466" t="s">
        <v>6911</v>
      </c>
      <c r="B4466" t="s">
        <v>5864</v>
      </c>
      <c r="C4466" s="10">
        <v>6</v>
      </c>
      <c r="D4466" s="10">
        <v>0.7</v>
      </c>
      <c r="E4466" s="10">
        <v>40</v>
      </c>
    </row>
    <row r="4467" spans="1:5">
      <c r="A4467" t="s">
        <v>6912</v>
      </c>
      <c r="B4467" t="s">
        <v>6913</v>
      </c>
      <c r="C4467" s="10">
        <v>6</v>
      </c>
      <c r="D4467" s="10">
        <v>0.7</v>
      </c>
      <c r="E4467" s="10">
        <v>40</v>
      </c>
    </row>
    <row r="4468" spans="1:5">
      <c r="A4468" t="s">
        <v>1934</v>
      </c>
      <c r="B4468" t="s">
        <v>9196</v>
      </c>
      <c r="C4468" s="10">
        <v>6</v>
      </c>
      <c r="D4468" s="10">
        <v>0.5</v>
      </c>
      <c r="E4468" s="10">
        <v>41.2</v>
      </c>
    </row>
    <row r="4469" spans="1:5">
      <c r="A4469" t="s">
        <v>1933</v>
      </c>
      <c r="B4469" t="s">
        <v>9197</v>
      </c>
      <c r="C4469" s="10">
        <v>6</v>
      </c>
      <c r="D4469" s="10">
        <v>0.5</v>
      </c>
      <c r="E4469" s="10">
        <v>40.9</v>
      </c>
    </row>
    <row r="4470" spans="1:5">
      <c r="A4470" t="s">
        <v>10384</v>
      </c>
      <c r="B4470" t="s">
        <v>9198</v>
      </c>
      <c r="C4470" s="10">
        <v>6</v>
      </c>
      <c r="D4470" s="10">
        <v>0.7</v>
      </c>
      <c r="E4470" s="10">
        <v>43</v>
      </c>
    </row>
    <row r="4471" spans="1:5">
      <c r="A4471" t="s">
        <v>1329</v>
      </c>
      <c r="B4471" t="s">
        <v>1330</v>
      </c>
      <c r="C4471" s="10">
        <v>6</v>
      </c>
      <c r="D4471" s="10">
        <v>0.7</v>
      </c>
      <c r="E4471" s="10">
        <v>40</v>
      </c>
    </row>
    <row r="4472" spans="1:5">
      <c r="A4472" t="s">
        <v>10385</v>
      </c>
      <c r="B4472" t="s">
        <v>9199</v>
      </c>
      <c r="C4472" s="10">
        <v>6</v>
      </c>
      <c r="D4472" s="10">
        <v>0.7</v>
      </c>
      <c r="E4472" s="10">
        <v>40</v>
      </c>
    </row>
    <row r="4473" spans="1:5">
      <c r="A4473" t="s">
        <v>1331</v>
      </c>
      <c r="B4473" t="s">
        <v>1332</v>
      </c>
      <c r="C4473" s="10">
        <v>6</v>
      </c>
      <c r="D4473" s="10">
        <v>0.7</v>
      </c>
      <c r="E4473" s="10">
        <v>40</v>
      </c>
    </row>
    <row r="4474" spans="1:5">
      <c r="A4474" t="s">
        <v>1333</v>
      </c>
      <c r="B4474" t="s">
        <v>1334</v>
      </c>
      <c r="C4474" s="10">
        <v>6</v>
      </c>
      <c r="D4474" s="10">
        <v>0.7</v>
      </c>
      <c r="E4474" s="10">
        <v>40</v>
      </c>
    </row>
    <row r="4475" spans="1:5">
      <c r="A4475" t="s">
        <v>1335</v>
      </c>
      <c r="B4475" t="s">
        <v>1336</v>
      </c>
      <c r="C4475" s="10">
        <v>6</v>
      </c>
      <c r="D4475" s="10">
        <v>0.7</v>
      </c>
      <c r="E4475" s="10">
        <v>40</v>
      </c>
    </row>
    <row r="4476" spans="1:5">
      <c r="A4476" t="s">
        <v>1337</v>
      </c>
      <c r="B4476" t="s">
        <v>1338</v>
      </c>
      <c r="C4476" s="10">
        <v>6</v>
      </c>
      <c r="D4476" s="10">
        <v>0.7</v>
      </c>
      <c r="E4476" s="10">
        <v>40</v>
      </c>
    </row>
    <row r="4477" spans="1:5">
      <c r="A4477" t="s">
        <v>1339</v>
      </c>
      <c r="B4477" t="s">
        <v>1340</v>
      </c>
      <c r="C4477" s="10">
        <v>6</v>
      </c>
      <c r="D4477" s="10">
        <v>0.7</v>
      </c>
      <c r="E4477" s="10">
        <v>40</v>
      </c>
    </row>
    <row r="4478" spans="1:5">
      <c r="A4478" t="s">
        <v>10386</v>
      </c>
      <c r="B4478" t="s">
        <v>1340</v>
      </c>
      <c r="C4478" s="10">
        <v>6</v>
      </c>
      <c r="D4478" s="10">
        <v>0.7</v>
      </c>
      <c r="E4478" s="10">
        <v>40</v>
      </c>
    </row>
    <row r="4479" spans="1:5">
      <c r="A4479" t="s">
        <v>6521</v>
      </c>
      <c r="B4479" t="s">
        <v>6522</v>
      </c>
      <c r="C4479" s="10">
        <v>4</v>
      </c>
      <c r="D4479" s="10">
        <v>0.7</v>
      </c>
      <c r="E4479" s="10">
        <v>43</v>
      </c>
    </row>
    <row r="4480" spans="1:5">
      <c r="A4480" t="s">
        <v>10387</v>
      </c>
      <c r="B4480" t="s">
        <v>9200</v>
      </c>
      <c r="C4480" s="10">
        <v>6</v>
      </c>
      <c r="D4480" s="10">
        <v>0.7</v>
      </c>
      <c r="E4480" s="10">
        <v>54.2</v>
      </c>
    </row>
    <row r="4481" spans="1:5">
      <c r="A4481" t="s">
        <v>10388</v>
      </c>
      <c r="B4481" t="s">
        <v>9201</v>
      </c>
      <c r="C4481" s="10">
        <v>6</v>
      </c>
      <c r="D4481" s="10">
        <v>1</v>
      </c>
      <c r="E4481" s="10">
        <v>40</v>
      </c>
    </row>
    <row r="4482" spans="1:5">
      <c r="A4482" t="s">
        <v>10389</v>
      </c>
      <c r="B4482" t="s">
        <v>9202</v>
      </c>
      <c r="C4482" s="10">
        <v>6</v>
      </c>
      <c r="D4482" s="10">
        <v>1</v>
      </c>
      <c r="E4482" s="10">
        <v>40</v>
      </c>
    </row>
    <row r="4483" spans="1:5">
      <c r="A4483" t="s">
        <v>10390</v>
      </c>
      <c r="B4483" t="s">
        <v>9203</v>
      </c>
      <c r="C4483" s="10">
        <v>6</v>
      </c>
      <c r="D4483" s="10">
        <v>0.7</v>
      </c>
      <c r="E4483" s="10">
        <v>54.6</v>
      </c>
    </row>
    <row r="4484" spans="1:5">
      <c r="A4484" t="s">
        <v>4607</v>
      </c>
      <c r="B4484" t="s">
        <v>4608</v>
      </c>
      <c r="C4484" s="10">
        <v>6</v>
      </c>
      <c r="D4484" s="10">
        <v>0.7</v>
      </c>
      <c r="E4484" s="10">
        <v>54.6</v>
      </c>
    </row>
    <row r="4485" spans="1:5">
      <c r="A4485" t="s">
        <v>10391</v>
      </c>
      <c r="B4485" t="s">
        <v>9204</v>
      </c>
      <c r="C4485" s="10">
        <v>6</v>
      </c>
      <c r="D4485" s="10">
        <v>1</v>
      </c>
      <c r="E4485" s="10">
        <v>40</v>
      </c>
    </row>
    <row r="4486" spans="1:5">
      <c r="A4486" t="s">
        <v>4609</v>
      </c>
      <c r="B4486" t="s">
        <v>4610</v>
      </c>
      <c r="C4486" s="10">
        <v>6</v>
      </c>
      <c r="D4486" s="10">
        <v>0.7</v>
      </c>
      <c r="E4486" s="10">
        <v>58</v>
      </c>
    </row>
    <row r="4487" spans="1:5">
      <c r="A4487" t="s">
        <v>4611</v>
      </c>
      <c r="B4487" t="s">
        <v>4612</v>
      </c>
      <c r="C4487" s="10">
        <v>6</v>
      </c>
      <c r="D4487" s="10">
        <v>0.7</v>
      </c>
      <c r="E4487" s="10">
        <v>48</v>
      </c>
    </row>
    <row r="4488" spans="1:5">
      <c r="A4488" t="s">
        <v>5302</v>
      </c>
      <c r="B4488" t="s">
        <v>5303</v>
      </c>
      <c r="C4488" s="10">
        <v>6</v>
      </c>
      <c r="D4488" s="10">
        <v>0.7</v>
      </c>
      <c r="E4488" s="10">
        <v>46</v>
      </c>
    </row>
    <row r="4489" spans="1:5">
      <c r="A4489" t="s">
        <v>10392</v>
      </c>
      <c r="B4489" t="s">
        <v>9205</v>
      </c>
      <c r="C4489" s="10">
        <v>6</v>
      </c>
      <c r="D4489" s="10">
        <v>0.7</v>
      </c>
      <c r="E4489" s="10">
        <v>43</v>
      </c>
    </row>
    <row r="4490" spans="1:5">
      <c r="A4490" t="s">
        <v>1935</v>
      </c>
      <c r="B4490" t="s">
        <v>1936</v>
      </c>
      <c r="C4490" s="10">
        <v>6</v>
      </c>
      <c r="D4490" s="10">
        <v>0.5</v>
      </c>
      <c r="E4490" s="10">
        <v>35</v>
      </c>
    </row>
    <row r="4491" spans="1:5">
      <c r="A4491" t="s">
        <v>5621</v>
      </c>
      <c r="B4491" t="s">
        <v>5622</v>
      </c>
      <c r="C4491" s="10">
        <v>6</v>
      </c>
      <c r="D4491" s="10">
        <v>0.7</v>
      </c>
      <c r="E4491" s="10">
        <v>43</v>
      </c>
    </row>
    <row r="4492" spans="1:5">
      <c r="A4492" t="s">
        <v>10393</v>
      </c>
      <c r="B4492" t="s">
        <v>9206</v>
      </c>
      <c r="C4492" s="10">
        <v>6</v>
      </c>
      <c r="D4492" s="10">
        <v>0.7</v>
      </c>
      <c r="E4492" s="10">
        <v>43</v>
      </c>
    </row>
    <row r="4493" spans="1:5">
      <c r="A4493" t="s">
        <v>10394</v>
      </c>
      <c r="B4493" t="s">
        <v>9207</v>
      </c>
      <c r="C4493" s="10">
        <v>6</v>
      </c>
      <c r="D4493" s="10">
        <v>0.7</v>
      </c>
      <c r="E4493" s="10">
        <v>48</v>
      </c>
    </row>
    <row r="4494" spans="1:5">
      <c r="A4494" t="s">
        <v>5623</v>
      </c>
      <c r="B4494" t="s">
        <v>5624</v>
      </c>
      <c r="C4494" s="10">
        <v>6</v>
      </c>
      <c r="D4494" s="10">
        <v>0.7</v>
      </c>
      <c r="E4494" s="10">
        <v>43</v>
      </c>
    </row>
    <row r="4495" spans="1:5">
      <c r="A4495" t="s">
        <v>2874</v>
      </c>
      <c r="B4495" t="s">
        <v>2875</v>
      </c>
      <c r="C4495" s="10">
        <v>6</v>
      </c>
      <c r="D4495" s="10">
        <v>0.75</v>
      </c>
      <c r="E4495" s="10">
        <v>0</v>
      </c>
    </row>
    <row r="4496" spans="1:5">
      <c r="A4496" t="s">
        <v>2876</v>
      </c>
      <c r="B4496" t="s">
        <v>2877</v>
      </c>
      <c r="C4496" s="10">
        <v>6</v>
      </c>
      <c r="D4496" s="10">
        <v>0.75</v>
      </c>
      <c r="E4496" s="10">
        <v>0</v>
      </c>
    </row>
    <row r="4497" spans="1:5">
      <c r="A4497" t="s">
        <v>2878</v>
      </c>
      <c r="B4497" t="s">
        <v>2879</v>
      </c>
      <c r="C4497" s="10">
        <v>6</v>
      </c>
      <c r="D4497" s="10">
        <v>0.75</v>
      </c>
      <c r="E4497" s="10">
        <v>0</v>
      </c>
    </row>
    <row r="4498" spans="1:5">
      <c r="A4498" t="s">
        <v>6523</v>
      </c>
      <c r="B4498" t="s">
        <v>6524</v>
      </c>
      <c r="C4498" s="10">
        <v>24</v>
      </c>
      <c r="D4498" s="10">
        <v>0.2</v>
      </c>
      <c r="E4498" s="10">
        <v>0</v>
      </c>
    </row>
    <row r="4499" spans="1:5">
      <c r="A4499" t="s">
        <v>2880</v>
      </c>
      <c r="B4499" t="s">
        <v>2881</v>
      </c>
      <c r="C4499" s="10">
        <v>6</v>
      </c>
      <c r="D4499" s="10">
        <v>0.75</v>
      </c>
      <c r="E4499" s="10">
        <v>0</v>
      </c>
    </row>
    <row r="4500" spans="1:5">
      <c r="A4500" t="s">
        <v>1341</v>
      </c>
      <c r="B4500" t="s">
        <v>1342</v>
      </c>
      <c r="C4500" s="10">
        <v>6</v>
      </c>
      <c r="D4500" s="10">
        <v>0.7</v>
      </c>
      <c r="E4500" s="10">
        <v>40</v>
      </c>
    </row>
    <row r="4501" spans="1:5">
      <c r="A4501" t="s">
        <v>2382</v>
      </c>
      <c r="B4501" t="s">
        <v>2383</v>
      </c>
      <c r="C4501" s="10">
        <v>6</v>
      </c>
      <c r="D4501" s="10">
        <v>1</v>
      </c>
      <c r="E4501" s="10">
        <v>37.5</v>
      </c>
    </row>
    <row r="4502" spans="1:5">
      <c r="A4502" t="s">
        <v>4922</v>
      </c>
      <c r="B4502" t="s">
        <v>4923</v>
      </c>
      <c r="C4502" s="10">
        <v>6</v>
      </c>
      <c r="D4502" s="10">
        <v>0.7</v>
      </c>
      <c r="E4502" s="10">
        <v>37.5</v>
      </c>
    </row>
    <row r="4503" spans="1:5">
      <c r="A4503" t="s">
        <v>4613</v>
      </c>
      <c r="B4503" t="s">
        <v>4614</v>
      </c>
      <c r="C4503" s="10">
        <v>6</v>
      </c>
      <c r="D4503" s="10">
        <v>0.7</v>
      </c>
      <c r="E4503" s="10">
        <v>29.9</v>
      </c>
    </row>
    <row r="4504" spans="1:5">
      <c r="A4504" t="s">
        <v>1691</v>
      </c>
      <c r="B4504" t="s">
        <v>1692</v>
      </c>
      <c r="C4504" s="10">
        <v>6</v>
      </c>
      <c r="D4504" s="10">
        <v>0.35</v>
      </c>
      <c r="E4504" s="10">
        <v>20</v>
      </c>
    </row>
    <row r="4505" spans="1:5">
      <c r="A4505" t="s">
        <v>4615</v>
      </c>
      <c r="B4505" t="s">
        <v>1692</v>
      </c>
      <c r="C4505" s="10">
        <v>6</v>
      </c>
      <c r="D4505" s="10">
        <v>0.7</v>
      </c>
      <c r="E4505" s="10">
        <v>20</v>
      </c>
    </row>
    <row r="4506" spans="1:5">
      <c r="A4506" t="s">
        <v>4616</v>
      </c>
      <c r="B4506" t="s">
        <v>1692</v>
      </c>
      <c r="C4506" s="10">
        <v>6</v>
      </c>
      <c r="D4506" s="10">
        <v>0.7</v>
      </c>
      <c r="E4506" s="10">
        <v>20</v>
      </c>
    </row>
    <row r="4507" spans="1:5">
      <c r="A4507" t="s">
        <v>2384</v>
      </c>
      <c r="B4507" t="s">
        <v>1692</v>
      </c>
      <c r="C4507" s="10">
        <v>6</v>
      </c>
      <c r="D4507" s="10">
        <v>1</v>
      </c>
      <c r="E4507" s="10">
        <v>20</v>
      </c>
    </row>
    <row r="4508" spans="1:5">
      <c r="A4508" t="s">
        <v>4617</v>
      </c>
      <c r="B4508" t="s">
        <v>9208</v>
      </c>
      <c r="C4508" s="10">
        <v>6</v>
      </c>
      <c r="D4508" s="10">
        <v>0.7</v>
      </c>
      <c r="E4508" s="10">
        <v>20</v>
      </c>
    </row>
    <row r="4509" spans="1:5">
      <c r="A4509" t="s">
        <v>10395</v>
      </c>
      <c r="B4509" t="s">
        <v>9209</v>
      </c>
      <c r="C4509" s="10">
        <v>60</v>
      </c>
      <c r="D4509" s="10">
        <v>0.05</v>
      </c>
      <c r="E4509" s="10">
        <v>20</v>
      </c>
    </row>
    <row r="4510" spans="1:5">
      <c r="A4510" t="s">
        <v>2385</v>
      </c>
      <c r="B4510" t="s">
        <v>2386</v>
      </c>
      <c r="C4510" s="10">
        <v>6</v>
      </c>
      <c r="D4510" s="10">
        <v>1</v>
      </c>
      <c r="E4510" s="10">
        <v>33</v>
      </c>
    </row>
    <row r="4511" spans="1:5">
      <c r="A4511" t="s">
        <v>2882</v>
      </c>
      <c r="B4511" t="s">
        <v>2883</v>
      </c>
      <c r="C4511" s="10">
        <v>6</v>
      </c>
      <c r="D4511" s="10">
        <v>0.75</v>
      </c>
      <c r="E4511" s="10">
        <v>15</v>
      </c>
    </row>
    <row r="4512" spans="1:5">
      <c r="A4512" t="s">
        <v>6898</v>
      </c>
      <c r="B4512" t="s">
        <v>2883</v>
      </c>
      <c r="C4512" s="10">
        <v>12</v>
      </c>
      <c r="D4512" s="10">
        <v>1</v>
      </c>
      <c r="E4512" s="10">
        <v>15</v>
      </c>
    </row>
    <row r="4513" spans="1:5">
      <c r="A4513" t="s">
        <v>4618</v>
      </c>
      <c r="B4513" t="s">
        <v>4619</v>
      </c>
      <c r="C4513" s="10">
        <v>6</v>
      </c>
      <c r="D4513" s="10">
        <v>0.7</v>
      </c>
      <c r="E4513" s="10">
        <v>35</v>
      </c>
    </row>
    <row r="4514" spans="1:5">
      <c r="A4514" t="s">
        <v>10396</v>
      </c>
      <c r="B4514" t="s">
        <v>4619</v>
      </c>
      <c r="C4514" s="10">
        <v>6</v>
      </c>
      <c r="D4514" s="10">
        <v>0.7</v>
      </c>
      <c r="E4514" s="10">
        <v>35</v>
      </c>
    </row>
    <row r="4515" spans="1:5">
      <c r="A4515" t="s">
        <v>4620</v>
      </c>
      <c r="B4515" t="s">
        <v>4621</v>
      </c>
      <c r="C4515" s="10">
        <v>6</v>
      </c>
      <c r="D4515" s="10">
        <v>0.7</v>
      </c>
      <c r="E4515" s="10">
        <v>35</v>
      </c>
    </row>
    <row r="4516" spans="1:5">
      <c r="A4516" t="s">
        <v>1343</v>
      </c>
      <c r="B4516" t="s">
        <v>1344</v>
      </c>
      <c r="C4516" s="10">
        <v>6</v>
      </c>
      <c r="D4516" s="10">
        <v>0.7</v>
      </c>
      <c r="E4516" s="10">
        <v>40</v>
      </c>
    </row>
    <row r="4517" spans="1:5">
      <c r="A4517" t="s">
        <v>5761</v>
      </c>
      <c r="B4517" t="s">
        <v>1344</v>
      </c>
      <c r="C4517" s="10">
        <v>12</v>
      </c>
      <c r="D4517" s="10">
        <v>1</v>
      </c>
      <c r="E4517" s="10">
        <v>40</v>
      </c>
    </row>
    <row r="4518" spans="1:5">
      <c r="A4518" t="s">
        <v>4622</v>
      </c>
      <c r="B4518" t="s">
        <v>4623</v>
      </c>
      <c r="C4518" s="10">
        <v>6</v>
      </c>
      <c r="D4518" s="10">
        <v>0.7</v>
      </c>
      <c r="E4518" s="10">
        <v>46.3</v>
      </c>
    </row>
    <row r="4519" spans="1:5">
      <c r="A4519" t="s">
        <v>4624</v>
      </c>
      <c r="B4519" t="s">
        <v>4625</v>
      </c>
      <c r="C4519" s="10">
        <v>6</v>
      </c>
      <c r="D4519" s="10">
        <v>0.7</v>
      </c>
      <c r="E4519" s="10">
        <v>43.8</v>
      </c>
    </row>
    <row r="4520" spans="1:5">
      <c r="A4520" t="s">
        <v>10397</v>
      </c>
      <c r="B4520" t="s">
        <v>9210</v>
      </c>
      <c r="C4520" s="10">
        <v>6</v>
      </c>
      <c r="D4520" s="10">
        <v>0.7</v>
      </c>
      <c r="E4520" s="10">
        <v>40</v>
      </c>
    </row>
    <row r="4521" spans="1:5">
      <c r="A4521" t="s">
        <v>1345</v>
      </c>
      <c r="B4521" t="s">
        <v>1346</v>
      </c>
      <c r="C4521" s="10">
        <v>6</v>
      </c>
      <c r="D4521" s="10">
        <v>0.7</v>
      </c>
      <c r="E4521" s="10">
        <v>40</v>
      </c>
    </row>
    <row r="4522" spans="1:5">
      <c r="A4522" t="s">
        <v>1347</v>
      </c>
      <c r="B4522" t="s">
        <v>1348</v>
      </c>
      <c r="C4522" s="10">
        <v>6</v>
      </c>
      <c r="D4522" s="10">
        <v>0.7</v>
      </c>
      <c r="E4522" s="10">
        <v>40</v>
      </c>
    </row>
    <row r="4523" spans="1:5">
      <c r="A4523" t="s">
        <v>10398</v>
      </c>
      <c r="B4523" t="s">
        <v>9211</v>
      </c>
      <c r="C4523" s="10">
        <v>6</v>
      </c>
      <c r="D4523" s="10">
        <v>0.7</v>
      </c>
      <c r="E4523" s="10">
        <v>40</v>
      </c>
    </row>
    <row r="4524" spans="1:5">
      <c r="A4524" t="s">
        <v>10399</v>
      </c>
      <c r="B4524" t="s">
        <v>9212</v>
      </c>
      <c r="C4524" s="10">
        <v>6</v>
      </c>
      <c r="D4524" s="10">
        <v>0.5</v>
      </c>
      <c r="E4524" s="10">
        <v>8</v>
      </c>
    </row>
    <row r="4525" spans="1:5">
      <c r="A4525" t="s">
        <v>5625</v>
      </c>
      <c r="B4525" t="s">
        <v>2388</v>
      </c>
      <c r="C4525" s="10">
        <v>6</v>
      </c>
      <c r="D4525" s="10">
        <v>0.7</v>
      </c>
      <c r="E4525" s="10">
        <v>43</v>
      </c>
    </row>
    <row r="4526" spans="1:5">
      <c r="A4526" t="s">
        <v>2387</v>
      </c>
      <c r="B4526" t="s">
        <v>2388</v>
      </c>
      <c r="C4526" s="10">
        <v>6</v>
      </c>
      <c r="D4526" s="10">
        <v>1</v>
      </c>
      <c r="E4526" s="10">
        <v>43</v>
      </c>
    </row>
    <row r="4527" spans="1:5">
      <c r="A4527" t="s">
        <v>5304</v>
      </c>
      <c r="B4527" t="s">
        <v>5305</v>
      </c>
      <c r="C4527" s="10">
        <v>6</v>
      </c>
      <c r="D4527" s="10">
        <v>0.7</v>
      </c>
      <c r="E4527" s="10">
        <v>46</v>
      </c>
    </row>
    <row r="4528" spans="1:5">
      <c r="A4528" t="s">
        <v>5306</v>
      </c>
      <c r="B4528" t="s">
        <v>5307</v>
      </c>
      <c r="C4528" s="10">
        <v>6</v>
      </c>
      <c r="D4528" s="10">
        <v>0.7</v>
      </c>
      <c r="E4528" s="10">
        <v>46</v>
      </c>
    </row>
    <row r="4529" spans="1:5">
      <c r="A4529" t="s">
        <v>1518</v>
      </c>
      <c r="B4529" t="s">
        <v>1519</v>
      </c>
      <c r="C4529" s="10">
        <v>6</v>
      </c>
      <c r="D4529" s="10">
        <v>1</v>
      </c>
      <c r="E4529" s="10">
        <v>40</v>
      </c>
    </row>
    <row r="4530" spans="1:5">
      <c r="A4530" t="s">
        <v>4626</v>
      </c>
      <c r="B4530" t="s">
        <v>4627</v>
      </c>
      <c r="C4530" s="10">
        <v>6</v>
      </c>
      <c r="D4530" s="10">
        <v>0.7</v>
      </c>
      <c r="E4530" s="10">
        <v>57.5</v>
      </c>
    </row>
    <row r="4531" spans="1:5">
      <c r="A4531" t="s">
        <v>5308</v>
      </c>
      <c r="B4531" t="s">
        <v>5309</v>
      </c>
      <c r="C4531" s="10">
        <v>6</v>
      </c>
      <c r="D4531" s="10">
        <v>0.7</v>
      </c>
      <c r="E4531" s="10">
        <v>46</v>
      </c>
    </row>
    <row r="4532" spans="1:5">
      <c r="A4532" t="s">
        <v>5626</v>
      </c>
      <c r="B4532" t="s">
        <v>5627</v>
      </c>
      <c r="C4532" s="10">
        <v>6</v>
      </c>
      <c r="D4532" s="10">
        <v>0.7</v>
      </c>
      <c r="E4532" s="10">
        <v>43</v>
      </c>
    </row>
    <row r="4533" spans="1:5">
      <c r="A4533" t="s">
        <v>1349</v>
      </c>
      <c r="B4533" t="s">
        <v>1350</v>
      </c>
      <c r="C4533" s="10">
        <v>6</v>
      </c>
      <c r="D4533" s="10">
        <v>0.7</v>
      </c>
      <c r="E4533" s="10">
        <v>40</v>
      </c>
    </row>
    <row r="4534" spans="1:5">
      <c r="A4534" t="s">
        <v>1351</v>
      </c>
      <c r="B4534" t="s">
        <v>1352</v>
      </c>
      <c r="C4534" s="10">
        <v>6</v>
      </c>
      <c r="D4534" s="10">
        <v>0.7</v>
      </c>
      <c r="E4534" s="10">
        <v>40</v>
      </c>
    </row>
    <row r="4535" spans="1:5">
      <c r="A4535" t="s">
        <v>10400</v>
      </c>
      <c r="B4535" t="s">
        <v>9213</v>
      </c>
      <c r="C4535" s="10">
        <v>6</v>
      </c>
      <c r="D4535" s="10">
        <v>0.7</v>
      </c>
      <c r="E4535" s="10">
        <v>46</v>
      </c>
    </row>
    <row r="4536" spans="1:5">
      <c r="A4536" t="s">
        <v>10401</v>
      </c>
      <c r="B4536" t="s">
        <v>9214</v>
      </c>
      <c r="C4536" s="10">
        <v>6</v>
      </c>
      <c r="D4536" s="10">
        <v>0.7</v>
      </c>
      <c r="E4536" s="10">
        <v>40</v>
      </c>
    </row>
    <row r="4537" spans="1:5">
      <c r="A4537" t="s">
        <v>10402</v>
      </c>
      <c r="B4537" t="s">
        <v>9215</v>
      </c>
      <c r="C4537" s="10">
        <v>4</v>
      </c>
      <c r="D4537" s="10">
        <v>0.7</v>
      </c>
      <c r="E4537" s="10">
        <v>40</v>
      </c>
    </row>
    <row r="4538" spans="1:5">
      <c r="A4538" t="s">
        <v>6073</v>
      </c>
      <c r="B4538" t="s">
        <v>6074</v>
      </c>
      <c r="C4538" s="10">
        <v>4</v>
      </c>
      <c r="D4538" s="10">
        <v>0.7</v>
      </c>
      <c r="E4538" s="10">
        <v>40</v>
      </c>
    </row>
    <row r="4539" spans="1:5">
      <c r="A4539" t="s">
        <v>6525</v>
      </c>
      <c r="B4539" t="s">
        <v>6526</v>
      </c>
      <c r="C4539" s="10">
        <v>4</v>
      </c>
      <c r="D4539" s="10">
        <v>0.7</v>
      </c>
      <c r="E4539" s="10">
        <v>43</v>
      </c>
    </row>
    <row r="4540" spans="1:5">
      <c r="A4540" t="s">
        <v>10403</v>
      </c>
      <c r="B4540" t="s">
        <v>9216</v>
      </c>
      <c r="C4540" s="10">
        <v>6</v>
      </c>
      <c r="D4540" s="10">
        <v>0.7</v>
      </c>
      <c r="E4540" s="10">
        <v>40</v>
      </c>
    </row>
    <row r="4541" spans="1:5">
      <c r="A4541" t="s">
        <v>10404</v>
      </c>
      <c r="B4541" t="s">
        <v>9217</v>
      </c>
      <c r="C4541" s="10">
        <v>4</v>
      </c>
      <c r="D4541" s="10">
        <v>0.7</v>
      </c>
      <c r="E4541" s="10">
        <v>50</v>
      </c>
    </row>
    <row r="4542" spans="1:5">
      <c r="A4542" t="s">
        <v>10405</v>
      </c>
      <c r="B4542" t="s">
        <v>9218</v>
      </c>
      <c r="C4542" s="10">
        <v>6</v>
      </c>
      <c r="D4542" s="10">
        <v>0.7</v>
      </c>
      <c r="E4542" s="10">
        <v>40</v>
      </c>
    </row>
    <row r="4543" spans="1:5">
      <c r="A4543" t="s">
        <v>10406</v>
      </c>
      <c r="B4543" t="s">
        <v>9219</v>
      </c>
      <c r="C4543" s="10">
        <v>6</v>
      </c>
      <c r="D4543" s="10">
        <v>0.7</v>
      </c>
      <c r="E4543" s="10">
        <v>40</v>
      </c>
    </row>
    <row r="4544" spans="1:5">
      <c r="A4544" t="s">
        <v>1353</v>
      </c>
      <c r="B4544" t="s">
        <v>1354</v>
      </c>
      <c r="C4544" s="10">
        <v>6</v>
      </c>
      <c r="D4544" s="10">
        <v>0.7</v>
      </c>
      <c r="E4544" s="10">
        <v>40</v>
      </c>
    </row>
    <row r="4545" spans="1:5">
      <c r="A4545" t="s">
        <v>10407</v>
      </c>
      <c r="B4545" t="s">
        <v>9220</v>
      </c>
      <c r="C4545" s="10">
        <v>6</v>
      </c>
      <c r="D4545" s="10">
        <v>1</v>
      </c>
      <c r="E4545" s="10">
        <v>40</v>
      </c>
    </row>
    <row r="4546" spans="1:5">
      <c r="A4546" t="s">
        <v>10408</v>
      </c>
      <c r="B4546" t="s">
        <v>9221</v>
      </c>
      <c r="C4546" s="10">
        <v>6</v>
      </c>
      <c r="D4546" s="10">
        <v>0.7</v>
      </c>
      <c r="E4546" s="10">
        <v>40</v>
      </c>
    </row>
    <row r="4547" spans="1:5">
      <c r="A4547" t="s">
        <v>1355</v>
      </c>
      <c r="B4547" t="s">
        <v>1356</v>
      </c>
      <c r="C4547" s="10">
        <v>6</v>
      </c>
      <c r="D4547" s="10">
        <v>0.7</v>
      </c>
      <c r="E4547" s="10">
        <v>40</v>
      </c>
    </row>
    <row r="4548" spans="1:5">
      <c r="A4548" t="s">
        <v>10409</v>
      </c>
      <c r="B4548" t="s">
        <v>9222</v>
      </c>
      <c r="C4548" s="10">
        <v>6</v>
      </c>
      <c r="D4548" s="10">
        <v>1</v>
      </c>
      <c r="E4548" s="10">
        <v>40</v>
      </c>
    </row>
    <row r="4549" spans="1:5">
      <c r="A4549" t="s">
        <v>10410</v>
      </c>
      <c r="B4549" t="s">
        <v>9223</v>
      </c>
      <c r="C4549" s="10">
        <v>6</v>
      </c>
      <c r="D4549" s="10">
        <v>0.7</v>
      </c>
      <c r="E4549" s="10">
        <v>40</v>
      </c>
    </row>
    <row r="4550" spans="1:5">
      <c r="A4550" t="s">
        <v>10411</v>
      </c>
      <c r="B4550" t="s">
        <v>9224</v>
      </c>
      <c r="C4550" s="10">
        <v>12</v>
      </c>
      <c r="D4550" s="10">
        <v>0.7</v>
      </c>
      <c r="E4550" s="10">
        <v>40</v>
      </c>
    </row>
    <row r="4551" spans="1:5">
      <c r="A4551" t="s">
        <v>10412</v>
      </c>
      <c r="B4551" t="s">
        <v>9225</v>
      </c>
      <c r="C4551" s="10">
        <v>12</v>
      </c>
      <c r="D4551" s="10">
        <v>0.7</v>
      </c>
      <c r="E4551" s="10">
        <v>40</v>
      </c>
    </row>
    <row r="4552" spans="1:5">
      <c r="A4552" t="s">
        <v>5310</v>
      </c>
      <c r="B4552" t="s">
        <v>5311</v>
      </c>
      <c r="C4552" s="10">
        <v>6</v>
      </c>
      <c r="D4552" s="10">
        <v>0.7</v>
      </c>
      <c r="E4552" s="10">
        <v>46</v>
      </c>
    </row>
    <row r="4553" spans="1:5">
      <c r="A4553" t="s">
        <v>10413</v>
      </c>
      <c r="B4553" t="s">
        <v>9226</v>
      </c>
      <c r="C4553" s="10">
        <v>6</v>
      </c>
      <c r="D4553" s="10">
        <v>0.7</v>
      </c>
      <c r="E4553" s="10">
        <v>38</v>
      </c>
    </row>
    <row r="4554" spans="1:5">
      <c r="A4554" t="s">
        <v>10414</v>
      </c>
      <c r="B4554" t="s">
        <v>9227</v>
      </c>
      <c r="C4554" s="10">
        <v>12</v>
      </c>
      <c r="D4554" s="10">
        <v>0.7</v>
      </c>
      <c r="E4554" s="10">
        <v>38</v>
      </c>
    </row>
    <row r="4555" spans="1:5">
      <c r="A4555" t="s">
        <v>2389</v>
      </c>
      <c r="B4555" t="s">
        <v>2390</v>
      </c>
      <c r="C4555" s="10">
        <v>6</v>
      </c>
      <c r="D4555" s="10">
        <v>1</v>
      </c>
      <c r="E4555" s="10">
        <v>38</v>
      </c>
    </row>
    <row r="4556" spans="1:5">
      <c r="A4556" t="s">
        <v>1520</v>
      </c>
      <c r="B4556" t="s">
        <v>1521</v>
      </c>
      <c r="C4556" s="10">
        <v>6</v>
      </c>
      <c r="D4556" s="10">
        <v>1</v>
      </c>
      <c r="E4556" s="10">
        <v>40</v>
      </c>
    </row>
    <row r="4557" spans="1:5">
      <c r="A4557" t="s">
        <v>1357</v>
      </c>
      <c r="B4557" t="s">
        <v>1358</v>
      </c>
      <c r="C4557" s="10">
        <v>6</v>
      </c>
      <c r="D4557" s="10">
        <v>0.7</v>
      </c>
      <c r="E4557" s="10">
        <v>40</v>
      </c>
    </row>
    <row r="4558" spans="1:5">
      <c r="A4558" t="s">
        <v>6527</v>
      </c>
      <c r="B4558" t="s">
        <v>6528</v>
      </c>
      <c r="C4558" s="10">
        <v>1</v>
      </c>
      <c r="D4558" s="10">
        <v>0.7</v>
      </c>
      <c r="E4558" s="10">
        <v>38</v>
      </c>
    </row>
    <row r="4559" spans="1:5">
      <c r="A4559" t="s">
        <v>2391</v>
      </c>
      <c r="B4559" t="s">
        <v>2392</v>
      </c>
      <c r="C4559" s="10">
        <v>6</v>
      </c>
      <c r="D4559" s="10">
        <v>1</v>
      </c>
      <c r="E4559" s="10">
        <v>38</v>
      </c>
    </row>
    <row r="4560" spans="1:5">
      <c r="A4560" t="s">
        <v>10415</v>
      </c>
      <c r="B4560" t="s">
        <v>9228</v>
      </c>
      <c r="C4560" s="10">
        <v>6</v>
      </c>
      <c r="D4560" s="10">
        <v>0.7</v>
      </c>
      <c r="E4560" s="10">
        <v>38</v>
      </c>
    </row>
    <row r="4561" spans="1:5">
      <c r="A4561" t="s">
        <v>2986</v>
      </c>
      <c r="B4561" t="s">
        <v>2987</v>
      </c>
      <c r="C4561" s="10">
        <v>6</v>
      </c>
      <c r="D4561" s="10">
        <v>0.75</v>
      </c>
      <c r="E4561" s="10">
        <v>13</v>
      </c>
    </row>
    <row r="4562" spans="1:5">
      <c r="A4562" t="s">
        <v>10416</v>
      </c>
      <c r="B4562" t="s">
        <v>9229</v>
      </c>
      <c r="C4562" s="10">
        <v>12</v>
      </c>
      <c r="D4562" s="10">
        <v>0.7</v>
      </c>
      <c r="E4562" s="10">
        <v>35</v>
      </c>
    </row>
    <row r="4563" spans="1:5">
      <c r="A4563" t="s">
        <v>3094</v>
      </c>
      <c r="B4563" t="s">
        <v>3093</v>
      </c>
      <c r="C4563" s="10">
        <v>6</v>
      </c>
      <c r="D4563" s="10">
        <v>0.75</v>
      </c>
      <c r="E4563" s="10">
        <v>12</v>
      </c>
    </row>
    <row r="4564" spans="1:5">
      <c r="A4564" t="s">
        <v>2884</v>
      </c>
      <c r="B4564" t="s">
        <v>2885</v>
      </c>
      <c r="C4564" s="10">
        <v>6</v>
      </c>
      <c r="D4564" s="10">
        <v>0.75</v>
      </c>
      <c r="E4564" s="10">
        <v>7</v>
      </c>
    </row>
    <row r="4565" spans="1:5">
      <c r="A4565" t="s">
        <v>2886</v>
      </c>
      <c r="B4565" t="s">
        <v>2887</v>
      </c>
      <c r="C4565" s="10">
        <v>6</v>
      </c>
      <c r="D4565" s="10">
        <v>0.75</v>
      </c>
      <c r="E4565" s="10">
        <v>7</v>
      </c>
    </row>
    <row r="4566" spans="1:5">
      <c r="A4566" t="s">
        <v>4628</v>
      </c>
      <c r="B4566" t="s">
        <v>4629</v>
      </c>
      <c r="C4566" s="10">
        <v>6</v>
      </c>
      <c r="D4566" s="10">
        <v>0.7</v>
      </c>
      <c r="E4566" s="10">
        <v>35</v>
      </c>
    </row>
    <row r="4567" spans="1:5">
      <c r="A4567" t="s">
        <v>4630</v>
      </c>
      <c r="B4567" t="s">
        <v>4631</v>
      </c>
      <c r="C4567" s="10">
        <v>6</v>
      </c>
      <c r="D4567" s="10">
        <v>0.7</v>
      </c>
      <c r="E4567" s="10">
        <v>17</v>
      </c>
    </row>
    <row r="4568" spans="1:5">
      <c r="A4568" t="s">
        <v>4632</v>
      </c>
      <c r="B4568" t="s">
        <v>4633</v>
      </c>
      <c r="C4568" s="10">
        <v>6</v>
      </c>
      <c r="D4568" s="10">
        <v>0.7</v>
      </c>
      <c r="E4568" s="10">
        <v>17</v>
      </c>
    </row>
    <row r="4569" spans="1:5">
      <c r="A4569" t="s">
        <v>4634</v>
      </c>
      <c r="B4569" t="s">
        <v>4635</v>
      </c>
      <c r="C4569" s="10">
        <v>6</v>
      </c>
      <c r="D4569" s="10">
        <v>0.7</v>
      </c>
      <c r="E4569" s="10">
        <v>17</v>
      </c>
    </row>
    <row r="4570" spans="1:5">
      <c r="A4570" t="s">
        <v>6529</v>
      </c>
      <c r="B4570" t="s">
        <v>4635</v>
      </c>
      <c r="C4570" s="10">
        <v>1</v>
      </c>
      <c r="D4570" s="10">
        <v>4.55</v>
      </c>
      <c r="E4570" s="10">
        <v>17</v>
      </c>
    </row>
    <row r="4571" spans="1:5">
      <c r="A4571" t="s">
        <v>10417</v>
      </c>
      <c r="B4571" t="s">
        <v>9230</v>
      </c>
      <c r="C4571" s="10">
        <v>8</v>
      </c>
      <c r="D4571" s="10">
        <v>0.5</v>
      </c>
      <c r="E4571" s="10">
        <v>4.5</v>
      </c>
    </row>
    <row r="4572" spans="1:5">
      <c r="A4572" t="s">
        <v>6530</v>
      </c>
      <c r="B4572" t="s">
        <v>6531</v>
      </c>
      <c r="C4572" s="10">
        <v>8</v>
      </c>
      <c r="D4572" s="10">
        <v>0.5</v>
      </c>
      <c r="E4572" s="10">
        <v>4.3</v>
      </c>
    </row>
    <row r="4573" spans="1:5">
      <c r="A4573" t="s">
        <v>6532</v>
      </c>
      <c r="B4573" t="s">
        <v>6533</v>
      </c>
      <c r="C4573" s="10">
        <v>24</v>
      </c>
      <c r="D4573" s="10">
        <v>0.33</v>
      </c>
      <c r="E4573" s="10">
        <v>4.7</v>
      </c>
    </row>
    <row r="4574" spans="1:5">
      <c r="A4574" t="s">
        <v>6534</v>
      </c>
      <c r="B4574" t="s">
        <v>6533</v>
      </c>
      <c r="C4574" s="10">
        <v>8</v>
      </c>
      <c r="D4574" s="10">
        <v>0.5</v>
      </c>
      <c r="E4574" s="10">
        <v>4.7</v>
      </c>
    </row>
    <row r="4575" spans="1:5">
      <c r="A4575" t="s">
        <v>10418</v>
      </c>
      <c r="B4575" t="s">
        <v>9231</v>
      </c>
      <c r="C4575" s="10">
        <v>8</v>
      </c>
      <c r="D4575" s="10">
        <v>0.5</v>
      </c>
      <c r="E4575" s="10">
        <v>4.7</v>
      </c>
    </row>
    <row r="4576" spans="1:5">
      <c r="A4576" t="s">
        <v>10419</v>
      </c>
      <c r="B4576" t="s">
        <v>9232</v>
      </c>
      <c r="C4576" s="10">
        <v>1</v>
      </c>
      <c r="D4576" s="10">
        <v>1.5</v>
      </c>
      <c r="E4576" s="10">
        <v>4.7</v>
      </c>
    </row>
    <row r="4577" spans="1:5">
      <c r="A4577" t="s">
        <v>10420</v>
      </c>
      <c r="B4577" t="s">
        <v>9233</v>
      </c>
      <c r="C4577" s="10">
        <v>12</v>
      </c>
      <c r="D4577" s="10">
        <v>0.33</v>
      </c>
      <c r="E4577" s="10">
        <v>6</v>
      </c>
    </row>
    <row r="4578" spans="1:5">
      <c r="A4578" t="s">
        <v>10421</v>
      </c>
      <c r="B4578" t="s">
        <v>9234</v>
      </c>
      <c r="C4578" s="10">
        <v>8</v>
      </c>
      <c r="D4578" s="10">
        <v>0.5</v>
      </c>
      <c r="E4578" s="10">
        <v>4.7</v>
      </c>
    </row>
    <row r="4579" spans="1:5">
      <c r="A4579" t="s">
        <v>10422</v>
      </c>
      <c r="B4579" t="s">
        <v>9235</v>
      </c>
      <c r="C4579" s="10">
        <v>12</v>
      </c>
      <c r="D4579" s="10">
        <v>0.33</v>
      </c>
      <c r="E4579" s="10">
        <v>4.8</v>
      </c>
    </row>
    <row r="4580" spans="1:5">
      <c r="A4580" t="s">
        <v>2988</v>
      </c>
      <c r="B4580" t="s">
        <v>2989</v>
      </c>
      <c r="C4580" s="10">
        <v>6</v>
      </c>
      <c r="D4580" s="10">
        <v>0.75</v>
      </c>
      <c r="E4580" s="10">
        <v>13</v>
      </c>
    </row>
    <row r="4581" spans="1:5">
      <c r="A4581" t="s">
        <v>2990</v>
      </c>
      <c r="B4581" t="s">
        <v>2991</v>
      </c>
      <c r="C4581" s="10">
        <v>6</v>
      </c>
      <c r="D4581" s="10">
        <v>0.75</v>
      </c>
      <c r="E4581" s="10">
        <v>13</v>
      </c>
    </row>
    <row r="4582" spans="1:5">
      <c r="A4582" t="s">
        <v>3224</v>
      </c>
      <c r="B4582" t="s">
        <v>3225</v>
      </c>
      <c r="C4582" s="10">
        <v>6</v>
      </c>
      <c r="D4582" s="10">
        <v>0.75</v>
      </c>
      <c r="E4582" s="10">
        <v>12.5</v>
      </c>
    </row>
    <row r="4583" spans="1:5">
      <c r="A4583" t="s">
        <v>6535</v>
      </c>
      <c r="B4583" t="s">
        <v>6536</v>
      </c>
      <c r="C4583" s="10">
        <v>3</v>
      </c>
      <c r="D4583" s="10">
        <v>1.5</v>
      </c>
      <c r="E4583" s="10">
        <v>12.5</v>
      </c>
    </row>
    <row r="4584" spans="1:5">
      <c r="A4584" t="s">
        <v>2992</v>
      </c>
      <c r="B4584" t="s">
        <v>2993</v>
      </c>
      <c r="C4584" s="10">
        <v>6</v>
      </c>
      <c r="D4584" s="10">
        <v>0.75</v>
      </c>
      <c r="E4584" s="10">
        <v>13</v>
      </c>
    </row>
    <row r="4585" spans="1:5">
      <c r="A4585" t="s">
        <v>2994</v>
      </c>
      <c r="B4585" t="s">
        <v>2995</v>
      </c>
      <c r="C4585" s="10">
        <v>6</v>
      </c>
      <c r="D4585" s="10">
        <v>0.75</v>
      </c>
      <c r="E4585" s="10">
        <v>13</v>
      </c>
    </row>
    <row r="4586" spans="1:5">
      <c r="A4586" t="s">
        <v>2996</v>
      </c>
      <c r="B4586" t="s">
        <v>2997</v>
      </c>
      <c r="C4586" s="10">
        <v>6</v>
      </c>
      <c r="D4586" s="10">
        <v>0.75</v>
      </c>
      <c r="E4586" s="10">
        <v>13</v>
      </c>
    </row>
    <row r="4587" spans="1:5">
      <c r="A4587" t="s">
        <v>2998</v>
      </c>
      <c r="B4587" t="s">
        <v>2999</v>
      </c>
      <c r="C4587" s="10">
        <v>6</v>
      </c>
      <c r="D4587" s="10">
        <v>0.75</v>
      </c>
      <c r="E4587" s="10">
        <v>13</v>
      </c>
    </row>
    <row r="4588" spans="1:5">
      <c r="A4588" t="s">
        <v>5865</v>
      </c>
      <c r="B4588" t="s">
        <v>5866</v>
      </c>
      <c r="C4588" s="10">
        <v>12</v>
      </c>
      <c r="D4588" s="10">
        <v>0.7</v>
      </c>
      <c r="E4588" s="10">
        <v>40</v>
      </c>
    </row>
    <row r="4589" spans="1:5">
      <c r="A4589" t="s">
        <v>10423</v>
      </c>
      <c r="B4589" t="s">
        <v>1360</v>
      </c>
      <c r="C4589" s="10">
        <v>12</v>
      </c>
      <c r="D4589" s="10">
        <v>0.7</v>
      </c>
      <c r="E4589" s="10">
        <v>40</v>
      </c>
    </row>
    <row r="4590" spans="1:5">
      <c r="A4590" t="s">
        <v>1359</v>
      </c>
      <c r="B4590" t="s">
        <v>1360</v>
      </c>
      <c r="C4590" s="10">
        <v>6</v>
      </c>
      <c r="D4590" s="10">
        <v>0.7</v>
      </c>
      <c r="E4590" s="10">
        <v>40</v>
      </c>
    </row>
    <row r="4591" spans="1:5">
      <c r="A4591" t="s">
        <v>1522</v>
      </c>
      <c r="B4591" t="s">
        <v>1360</v>
      </c>
      <c r="C4591" s="10">
        <v>6</v>
      </c>
      <c r="D4591" s="10">
        <v>1</v>
      </c>
      <c r="E4591" s="10">
        <v>40</v>
      </c>
    </row>
    <row r="4592" spans="1:5">
      <c r="A4592" t="s">
        <v>10424</v>
      </c>
      <c r="B4592" t="s">
        <v>9236</v>
      </c>
      <c r="C4592" s="10">
        <v>6</v>
      </c>
      <c r="D4592" s="10">
        <v>0.7</v>
      </c>
      <c r="E4592" s="10">
        <v>40</v>
      </c>
    </row>
    <row r="4593" spans="1:5">
      <c r="A4593" t="s">
        <v>1361</v>
      </c>
      <c r="B4593" t="s">
        <v>1362</v>
      </c>
      <c r="C4593" s="10">
        <v>6</v>
      </c>
      <c r="D4593" s="10">
        <v>0.7</v>
      </c>
      <c r="E4593" s="10">
        <v>40</v>
      </c>
    </row>
    <row r="4594" spans="1:5">
      <c r="A4594" t="s">
        <v>4636</v>
      </c>
      <c r="B4594" t="s">
        <v>4637</v>
      </c>
      <c r="C4594" s="10">
        <v>6</v>
      </c>
      <c r="D4594" s="10">
        <v>0.7</v>
      </c>
      <c r="E4594" s="10">
        <v>41.3</v>
      </c>
    </row>
    <row r="4595" spans="1:5">
      <c r="A4595" t="s">
        <v>10425</v>
      </c>
      <c r="B4595" t="s">
        <v>9237</v>
      </c>
      <c r="C4595" s="10">
        <v>6</v>
      </c>
      <c r="D4595" s="10">
        <v>0.7</v>
      </c>
      <c r="E4595" s="10">
        <v>41.3</v>
      </c>
    </row>
    <row r="4596" spans="1:5">
      <c r="A4596" t="s">
        <v>10426</v>
      </c>
      <c r="B4596" t="s">
        <v>9238</v>
      </c>
      <c r="C4596" s="10">
        <v>6</v>
      </c>
      <c r="D4596" s="10">
        <v>0.7</v>
      </c>
      <c r="E4596" s="10">
        <v>40</v>
      </c>
    </row>
    <row r="4597" spans="1:5">
      <c r="A4597" t="s">
        <v>5628</v>
      </c>
      <c r="B4597" t="s">
        <v>2393</v>
      </c>
      <c r="C4597" s="10">
        <v>6</v>
      </c>
      <c r="D4597" s="10">
        <v>0.7</v>
      </c>
      <c r="E4597" s="10">
        <v>43</v>
      </c>
    </row>
    <row r="4598" spans="1:5">
      <c r="A4598" t="s">
        <v>5629</v>
      </c>
      <c r="B4598" t="s">
        <v>2393</v>
      </c>
      <c r="C4598" s="10">
        <v>6</v>
      </c>
      <c r="D4598" s="10">
        <v>0.7</v>
      </c>
      <c r="E4598" s="10">
        <v>43</v>
      </c>
    </row>
    <row r="4599" spans="1:5">
      <c r="A4599" t="s">
        <v>10427</v>
      </c>
      <c r="B4599" t="s">
        <v>2393</v>
      </c>
      <c r="C4599" s="10">
        <v>6</v>
      </c>
      <c r="D4599" s="10">
        <v>1</v>
      </c>
      <c r="E4599" s="10">
        <v>43</v>
      </c>
    </row>
    <row r="4600" spans="1:5">
      <c r="A4600" t="s">
        <v>5630</v>
      </c>
      <c r="B4600" t="s">
        <v>5631</v>
      </c>
      <c r="C4600" s="10">
        <v>6</v>
      </c>
      <c r="D4600" s="10">
        <v>0.7</v>
      </c>
      <c r="E4600" s="10">
        <v>43</v>
      </c>
    </row>
    <row r="4601" spans="1:5">
      <c r="A4601" t="s">
        <v>5633</v>
      </c>
      <c r="B4601" t="s">
        <v>5634</v>
      </c>
      <c r="C4601" s="10">
        <v>6</v>
      </c>
      <c r="D4601" s="10">
        <v>0.7</v>
      </c>
      <c r="E4601" s="10">
        <v>43</v>
      </c>
    </row>
    <row r="4602" spans="1:5">
      <c r="A4602" t="s">
        <v>5632</v>
      </c>
      <c r="B4602" t="s">
        <v>9239</v>
      </c>
      <c r="C4602" s="10">
        <v>6</v>
      </c>
      <c r="D4602" s="10">
        <v>0.7</v>
      </c>
      <c r="E4602" s="10">
        <v>43</v>
      </c>
    </row>
    <row r="4603" spans="1:5">
      <c r="A4603" t="s">
        <v>5635</v>
      </c>
      <c r="B4603" t="s">
        <v>5636</v>
      </c>
      <c r="C4603" s="10">
        <v>6</v>
      </c>
      <c r="D4603" s="10">
        <v>0.7</v>
      </c>
      <c r="E4603" s="10">
        <v>43</v>
      </c>
    </row>
    <row r="4604" spans="1:5">
      <c r="A4604" t="s">
        <v>5637</v>
      </c>
      <c r="B4604" t="s">
        <v>5638</v>
      </c>
      <c r="C4604" s="10">
        <v>6</v>
      </c>
      <c r="D4604" s="10">
        <v>0.7</v>
      </c>
      <c r="E4604" s="10">
        <v>43</v>
      </c>
    </row>
    <row r="4605" spans="1:5">
      <c r="A4605" t="s">
        <v>6789</v>
      </c>
      <c r="B4605" t="s">
        <v>6790</v>
      </c>
      <c r="C4605" s="10">
        <v>12</v>
      </c>
      <c r="D4605" s="10">
        <v>0.2</v>
      </c>
      <c r="E4605" s="10">
        <v>43</v>
      </c>
    </row>
    <row r="4606" spans="1:5">
      <c r="A4606" t="s">
        <v>4638</v>
      </c>
      <c r="B4606" t="s">
        <v>4639</v>
      </c>
      <c r="C4606" s="10">
        <v>6</v>
      </c>
      <c r="D4606" s="10">
        <v>0.7</v>
      </c>
      <c r="E4606" s="10">
        <v>56.1</v>
      </c>
    </row>
    <row r="4607" spans="1:5">
      <c r="A4607" t="s">
        <v>5312</v>
      </c>
      <c r="B4607" t="s">
        <v>5313</v>
      </c>
      <c r="C4607" s="10">
        <v>6</v>
      </c>
      <c r="D4607" s="10">
        <v>0.7</v>
      </c>
      <c r="E4607" s="10">
        <v>46</v>
      </c>
    </row>
    <row r="4608" spans="1:5">
      <c r="A4608" t="s">
        <v>5314</v>
      </c>
      <c r="B4608" t="s">
        <v>5315</v>
      </c>
      <c r="C4608" s="10">
        <v>6</v>
      </c>
      <c r="D4608" s="10">
        <v>0.7</v>
      </c>
      <c r="E4608" s="10">
        <v>46</v>
      </c>
    </row>
    <row r="4609" spans="1:5">
      <c r="A4609" t="s">
        <v>10428</v>
      </c>
      <c r="B4609" t="s">
        <v>9240</v>
      </c>
      <c r="C4609" s="10">
        <v>12</v>
      </c>
      <c r="D4609" s="10">
        <v>0.5</v>
      </c>
      <c r="E4609" s="10">
        <v>16</v>
      </c>
    </row>
    <row r="4610" spans="1:5">
      <c r="A4610" t="s">
        <v>10429</v>
      </c>
      <c r="B4610" t="s">
        <v>9241</v>
      </c>
      <c r="C4610" s="10">
        <v>12</v>
      </c>
      <c r="D4610" s="10">
        <v>0.5</v>
      </c>
      <c r="E4610" s="10">
        <v>16</v>
      </c>
    </row>
    <row r="4611" spans="1:5">
      <c r="A4611" t="s">
        <v>10430</v>
      </c>
      <c r="B4611" t="s">
        <v>9242</v>
      </c>
      <c r="C4611" s="10">
        <v>6</v>
      </c>
      <c r="D4611" s="10">
        <v>0.7</v>
      </c>
      <c r="E4611" s="10">
        <v>40</v>
      </c>
    </row>
    <row r="4612" spans="1:5">
      <c r="A4612" t="s">
        <v>5639</v>
      </c>
      <c r="B4612" t="s">
        <v>5640</v>
      </c>
      <c r="C4612" s="10">
        <v>6</v>
      </c>
      <c r="D4612" s="10">
        <v>0.7</v>
      </c>
      <c r="E4612" s="10">
        <v>43</v>
      </c>
    </row>
    <row r="4613" spans="1:5">
      <c r="A4613" t="s">
        <v>5641</v>
      </c>
      <c r="B4613" t="s">
        <v>5642</v>
      </c>
      <c r="C4613" s="10">
        <v>6</v>
      </c>
      <c r="D4613" s="10">
        <v>0.7</v>
      </c>
      <c r="E4613" s="10">
        <v>43</v>
      </c>
    </row>
    <row r="4614" spans="1:5">
      <c r="A4614" t="s">
        <v>1363</v>
      </c>
      <c r="B4614" t="s">
        <v>1364</v>
      </c>
      <c r="C4614" s="10">
        <v>6</v>
      </c>
      <c r="D4614" s="10">
        <v>0.7</v>
      </c>
      <c r="E4614" s="10">
        <v>40</v>
      </c>
    </row>
    <row r="4615" spans="1:5">
      <c r="A4615" t="s">
        <v>1365</v>
      </c>
      <c r="B4615" t="s">
        <v>1366</v>
      </c>
      <c r="C4615" s="10">
        <v>6</v>
      </c>
      <c r="D4615" s="10">
        <v>0.7</v>
      </c>
      <c r="E4615" s="10">
        <v>40</v>
      </c>
    </row>
    <row r="4616" spans="1:5">
      <c r="A4616" t="s">
        <v>1367</v>
      </c>
      <c r="B4616" t="s">
        <v>1368</v>
      </c>
      <c r="C4616" s="10">
        <v>6</v>
      </c>
      <c r="D4616" s="10">
        <v>0.7</v>
      </c>
      <c r="E4616" s="10">
        <v>40</v>
      </c>
    </row>
    <row r="4617" spans="1:5">
      <c r="A4617" t="s">
        <v>3000</v>
      </c>
      <c r="B4617" t="s">
        <v>3001</v>
      </c>
      <c r="C4617" s="10">
        <v>6</v>
      </c>
      <c r="D4617" s="10">
        <v>0.75</v>
      </c>
      <c r="E4617" s="10">
        <v>13</v>
      </c>
    </row>
    <row r="4618" spans="1:5">
      <c r="A4618" t="s">
        <v>6538</v>
      </c>
      <c r="B4618" t="s">
        <v>6537</v>
      </c>
      <c r="C4618" s="10">
        <v>96</v>
      </c>
      <c r="D4618" s="10">
        <v>0.02</v>
      </c>
      <c r="E4618" s="10">
        <v>44</v>
      </c>
    </row>
    <row r="4619" spans="1:5">
      <c r="A4619" t="s">
        <v>6539</v>
      </c>
      <c r="B4619" t="s">
        <v>6537</v>
      </c>
      <c r="C4619" s="10">
        <v>120</v>
      </c>
      <c r="D4619" s="10">
        <v>0.02</v>
      </c>
      <c r="E4619" s="10">
        <v>44</v>
      </c>
    </row>
    <row r="4620" spans="1:5">
      <c r="A4620" t="s">
        <v>4640</v>
      </c>
      <c r="B4620" t="s">
        <v>4641</v>
      </c>
      <c r="C4620" s="10">
        <v>6</v>
      </c>
      <c r="D4620" s="10">
        <v>0.7</v>
      </c>
      <c r="E4620" s="10">
        <v>43.1</v>
      </c>
    </row>
    <row r="4621" spans="1:5">
      <c r="A4621" t="s">
        <v>10431</v>
      </c>
      <c r="B4621" t="s">
        <v>9243</v>
      </c>
      <c r="C4621" s="10">
        <v>6</v>
      </c>
      <c r="D4621" s="10">
        <v>0.5</v>
      </c>
      <c r="E4621" s="10">
        <v>40</v>
      </c>
    </row>
    <row r="4622" spans="1:5">
      <c r="A4622" t="s">
        <v>1617</v>
      </c>
      <c r="B4622" t="s">
        <v>1618</v>
      </c>
      <c r="C4622" s="10">
        <v>6</v>
      </c>
      <c r="D4622" s="10">
        <v>0.5</v>
      </c>
      <c r="E4622" s="10">
        <v>40</v>
      </c>
    </row>
    <row r="4623" spans="1:5">
      <c r="A4623" t="s">
        <v>1619</v>
      </c>
      <c r="B4623" t="s">
        <v>1370</v>
      </c>
      <c r="C4623" s="10">
        <v>6</v>
      </c>
      <c r="D4623" s="10">
        <v>0.5</v>
      </c>
      <c r="E4623" s="10">
        <v>40</v>
      </c>
    </row>
    <row r="4624" spans="1:5">
      <c r="A4624" t="s">
        <v>1369</v>
      </c>
      <c r="B4624" t="s">
        <v>1370</v>
      </c>
      <c r="C4624" s="10">
        <v>6</v>
      </c>
      <c r="D4624" s="10">
        <v>0.7</v>
      </c>
      <c r="E4624" s="10">
        <v>40</v>
      </c>
    </row>
    <row r="4625" spans="1:5">
      <c r="A4625" t="s">
        <v>1523</v>
      </c>
      <c r="B4625" t="s">
        <v>1370</v>
      </c>
      <c r="C4625" s="10">
        <v>6</v>
      </c>
      <c r="D4625" s="10">
        <v>1</v>
      </c>
      <c r="E4625" s="10">
        <v>40</v>
      </c>
    </row>
    <row r="4626" spans="1:5">
      <c r="A4626" t="s">
        <v>6075</v>
      </c>
      <c r="B4626" t="s">
        <v>6076</v>
      </c>
      <c r="C4626" s="10">
        <v>3</v>
      </c>
      <c r="D4626" s="10">
        <v>0.7</v>
      </c>
      <c r="E4626" s="10">
        <v>40</v>
      </c>
    </row>
    <row r="4627" spans="1:5">
      <c r="A4627" t="s">
        <v>6077</v>
      </c>
      <c r="B4627" t="s">
        <v>6076</v>
      </c>
      <c r="C4627" s="10">
        <v>3</v>
      </c>
      <c r="D4627" s="10">
        <v>0.7</v>
      </c>
      <c r="E4627" s="10">
        <v>40</v>
      </c>
    </row>
    <row r="4628" spans="1:5">
      <c r="A4628" t="s">
        <v>2394</v>
      </c>
      <c r="B4628" t="s">
        <v>2395</v>
      </c>
      <c r="C4628" s="10">
        <v>6</v>
      </c>
      <c r="D4628" s="10">
        <v>1</v>
      </c>
      <c r="E4628" s="10">
        <v>34.5</v>
      </c>
    </row>
    <row r="4629" spans="1:5">
      <c r="A4629" t="s">
        <v>4642</v>
      </c>
      <c r="B4629" t="s">
        <v>2397</v>
      </c>
      <c r="C4629" s="10">
        <v>6</v>
      </c>
      <c r="D4629" s="10">
        <v>0.7</v>
      </c>
      <c r="E4629" s="10">
        <v>21</v>
      </c>
    </row>
    <row r="4630" spans="1:5">
      <c r="A4630" t="s">
        <v>2396</v>
      </c>
      <c r="B4630" t="s">
        <v>2397</v>
      </c>
      <c r="C4630" s="10">
        <v>6</v>
      </c>
      <c r="D4630" s="10">
        <v>1</v>
      </c>
      <c r="E4630" s="10">
        <v>21</v>
      </c>
    </row>
    <row r="4631" spans="1:5">
      <c r="A4631" t="s">
        <v>4643</v>
      </c>
      <c r="B4631" t="s">
        <v>4644</v>
      </c>
      <c r="C4631" s="10">
        <v>6</v>
      </c>
      <c r="D4631" s="10">
        <v>0.7</v>
      </c>
      <c r="E4631" s="10">
        <v>41.5</v>
      </c>
    </row>
    <row r="4632" spans="1:5">
      <c r="A4632" t="s">
        <v>1937</v>
      </c>
      <c r="B4632" t="s">
        <v>1938</v>
      </c>
      <c r="C4632" s="10">
        <v>6</v>
      </c>
      <c r="D4632" s="10">
        <v>0.5</v>
      </c>
      <c r="E4632" s="10">
        <v>41.5</v>
      </c>
    </row>
    <row r="4633" spans="1:5">
      <c r="A4633" t="s">
        <v>5130</v>
      </c>
      <c r="B4633" t="s">
        <v>5131</v>
      </c>
      <c r="C4633" s="10">
        <v>6</v>
      </c>
      <c r="D4633" s="10">
        <v>0.7</v>
      </c>
      <c r="E4633" s="10">
        <v>38</v>
      </c>
    </row>
    <row r="4634" spans="1:5">
      <c r="A4634" t="s">
        <v>10432</v>
      </c>
      <c r="B4634" t="s">
        <v>9244</v>
      </c>
      <c r="C4634" s="10">
        <v>6</v>
      </c>
      <c r="D4634" s="10">
        <v>0.75</v>
      </c>
      <c r="E4634" s="10">
        <v>19</v>
      </c>
    </row>
    <row r="4635" spans="1:5">
      <c r="A4635" t="s">
        <v>2398</v>
      </c>
      <c r="B4635" t="s">
        <v>2399</v>
      </c>
      <c r="C4635" s="10">
        <v>6</v>
      </c>
      <c r="D4635" s="10">
        <v>1</v>
      </c>
      <c r="E4635" s="10">
        <v>35</v>
      </c>
    </row>
    <row r="4636" spans="1:5">
      <c r="A4636" t="s">
        <v>1524</v>
      </c>
      <c r="B4636" t="s">
        <v>1525</v>
      </c>
      <c r="C4636" s="10">
        <v>6</v>
      </c>
      <c r="D4636" s="10">
        <v>1</v>
      </c>
      <c r="E4636" s="10">
        <v>40</v>
      </c>
    </row>
    <row r="4637" spans="1:5">
      <c r="A4637" t="s">
        <v>2400</v>
      </c>
      <c r="B4637" t="s">
        <v>2401</v>
      </c>
      <c r="C4637" s="10">
        <v>6</v>
      </c>
      <c r="D4637" s="10">
        <v>1</v>
      </c>
      <c r="E4637" s="10">
        <v>35</v>
      </c>
    </row>
    <row r="4638" spans="1:5">
      <c r="A4638" t="s">
        <v>2402</v>
      </c>
      <c r="B4638" t="s">
        <v>2403</v>
      </c>
      <c r="C4638" s="10">
        <v>6</v>
      </c>
      <c r="D4638" s="10">
        <v>1</v>
      </c>
      <c r="E4638" s="10">
        <v>35</v>
      </c>
    </row>
    <row r="4639" spans="1:5">
      <c r="A4639" t="s">
        <v>2404</v>
      </c>
      <c r="B4639" t="s">
        <v>2405</v>
      </c>
      <c r="C4639" s="10">
        <v>6</v>
      </c>
      <c r="D4639" s="10">
        <v>1</v>
      </c>
      <c r="E4639" s="10">
        <v>35</v>
      </c>
    </row>
    <row r="4640" spans="1:5">
      <c r="A4640" t="s">
        <v>3095</v>
      </c>
      <c r="B4640" t="s">
        <v>3096</v>
      </c>
      <c r="C4640" s="10">
        <v>6</v>
      </c>
      <c r="D4640" s="10">
        <v>0.75</v>
      </c>
      <c r="E4640" s="10">
        <v>12</v>
      </c>
    </row>
    <row r="4641" spans="1:5">
      <c r="A4641" t="s">
        <v>3097</v>
      </c>
      <c r="B4641" t="s">
        <v>3098</v>
      </c>
      <c r="C4641" s="10">
        <v>6</v>
      </c>
      <c r="D4641" s="10">
        <v>0.75</v>
      </c>
      <c r="E4641" s="10">
        <v>12</v>
      </c>
    </row>
    <row r="4642" spans="1:5">
      <c r="A4642" t="s">
        <v>1693</v>
      </c>
      <c r="B4642" t="s">
        <v>1694</v>
      </c>
      <c r="C4642" s="10">
        <v>6</v>
      </c>
      <c r="D4642" s="10">
        <v>0.35</v>
      </c>
      <c r="E4642" s="10">
        <v>24</v>
      </c>
    </row>
    <row r="4643" spans="1:5">
      <c r="A4643" t="s">
        <v>1526</v>
      </c>
      <c r="B4643" t="s">
        <v>1527</v>
      </c>
      <c r="C4643" s="10">
        <v>6</v>
      </c>
      <c r="D4643" s="10">
        <v>1</v>
      </c>
      <c r="E4643" s="10">
        <v>40</v>
      </c>
    </row>
    <row r="4644" spans="1:5">
      <c r="A4644" t="s">
        <v>1371</v>
      </c>
      <c r="B4644" t="s">
        <v>1372</v>
      </c>
      <c r="C4644" s="10">
        <v>6</v>
      </c>
      <c r="D4644" s="10">
        <v>0.7</v>
      </c>
      <c r="E4644" s="10">
        <v>40</v>
      </c>
    </row>
    <row r="4645" spans="1:5">
      <c r="A4645" t="s">
        <v>5762</v>
      </c>
      <c r="B4645" t="s">
        <v>1372</v>
      </c>
      <c r="C4645" s="10">
        <v>12</v>
      </c>
      <c r="D4645" s="10">
        <v>1</v>
      </c>
      <c r="E4645" s="10">
        <v>40</v>
      </c>
    </row>
    <row r="4646" spans="1:5">
      <c r="A4646" t="s">
        <v>5132</v>
      </c>
      <c r="B4646" t="s">
        <v>1529</v>
      </c>
      <c r="C4646" s="10">
        <v>6</v>
      </c>
      <c r="D4646" s="10">
        <v>0.7</v>
      </c>
      <c r="E4646" s="10">
        <v>38</v>
      </c>
    </row>
    <row r="4647" spans="1:5">
      <c r="A4647" t="s">
        <v>1528</v>
      </c>
      <c r="B4647" t="s">
        <v>1529</v>
      </c>
      <c r="C4647" s="10">
        <v>6</v>
      </c>
      <c r="D4647" s="10">
        <v>1</v>
      </c>
      <c r="E4647" s="10">
        <v>40</v>
      </c>
    </row>
    <row r="4648" spans="1:5">
      <c r="A4648" t="s">
        <v>4645</v>
      </c>
      <c r="B4648" t="s">
        <v>4646</v>
      </c>
      <c r="C4648" s="10">
        <v>6</v>
      </c>
      <c r="D4648" s="10">
        <v>0.7</v>
      </c>
      <c r="E4648" s="10">
        <v>40.799999999999997</v>
      </c>
    </row>
    <row r="4649" spans="1:5">
      <c r="A4649" t="s">
        <v>6540</v>
      </c>
      <c r="B4649" t="s">
        <v>6541</v>
      </c>
      <c r="C4649" s="10">
        <v>10</v>
      </c>
      <c r="D4649" s="10">
        <v>0.7</v>
      </c>
      <c r="E4649" s="10">
        <v>35</v>
      </c>
    </row>
    <row r="4650" spans="1:5">
      <c r="A4650" t="s">
        <v>6542</v>
      </c>
      <c r="B4650" t="s">
        <v>6543</v>
      </c>
      <c r="C4650" s="10">
        <v>8</v>
      </c>
      <c r="D4650" s="10">
        <v>0.7</v>
      </c>
      <c r="E4650" s="10">
        <v>35</v>
      </c>
    </row>
    <row r="4651" spans="1:5">
      <c r="A4651" t="s">
        <v>6544</v>
      </c>
      <c r="B4651" t="s">
        <v>6545</v>
      </c>
      <c r="C4651" s="10">
        <v>8</v>
      </c>
      <c r="D4651" s="10">
        <v>0.7</v>
      </c>
      <c r="E4651" s="10">
        <v>35</v>
      </c>
    </row>
    <row r="4652" spans="1:5">
      <c r="A4652" t="s">
        <v>4647</v>
      </c>
      <c r="B4652" t="s">
        <v>2407</v>
      </c>
      <c r="C4652" s="10">
        <v>6</v>
      </c>
      <c r="D4652" s="10">
        <v>0.7</v>
      </c>
      <c r="E4652" s="10">
        <v>39</v>
      </c>
    </row>
    <row r="4653" spans="1:5">
      <c r="A4653" t="s">
        <v>2406</v>
      </c>
      <c r="B4653" t="s">
        <v>2407</v>
      </c>
      <c r="C4653" s="10">
        <v>6</v>
      </c>
      <c r="D4653" s="10">
        <v>1</v>
      </c>
      <c r="E4653" s="10">
        <v>39</v>
      </c>
    </row>
    <row r="4654" spans="1:5">
      <c r="A4654" t="s">
        <v>4648</v>
      </c>
      <c r="B4654" t="s">
        <v>4649</v>
      </c>
      <c r="C4654" s="10">
        <v>6</v>
      </c>
      <c r="D4654" s="10">
        <v>0.7</v>
      </c>
      <c r="E4654" s="10">
        <v>25</v>
      </c>
    </row>
    <row r="4655" spans="1:5">
      <c r="A4655" t="s">
        <v>3099</v>
      </c>
      <c r="B4655" t="s">
        <v>3100</v>
      </c>
      <c r="C4655" s="10">
        <v>6</v>
      </c>
      <c r="D4655" s="10">
        <v>0.75</v>
      </c>
      <c r="E4655" s="10">
        <v>12</v>
      </c>
    </row>
    <row r="4656" spans="1:5">
      <c r="A4656" t="s">
        <v>3101</v>
      </c>
      <c r="B4656" t="s">
        <v>3102</v>
      </c>
      <c r="C4656" s="10">
        <v>6</v>
      </c>
      <c r="D4656" s="10">
        <v>0.75</v>
      </c>
      <c r="E4656" s="10">
        <v>12</v>
      </c>
    </row>
    <row r="4657" spans="1:5">
      <c r="A4657" t="s">
        <v>3103</v>
      </c>
      <c r="B4657" t="s">
        <v>3104</v>
      </c>
      <c r="C4657" s="10">
        <v>6</v>
      </c>
      <c r="D4657" s="10">
        <v>0.75</v>
      </c>
      <c r="E4657" s="10">
        <v>12</v>
      </c>
    </row>
    <row r="4658" spans="1:5">
      <c r="A4658" t="s">
        <v>3105</v>
      </c>
      <c r="B4658" t="s">
        <v>3106</v>
      </c>
      <c r="C4658" s="10">
        <v>6</v>
      </c>
      <c r="D4658" s="10">
        <v>0.75</v>
      </c>
      <c r="E4658" s="10">
        <v>12</v>
      </c>
    </row>
    <row r="4659" spans="1:5">
      <c r="A4659" t="s">
        <v>6546</v>
      </c>
      <c r="B4659" t="s">
        <v>3106</v>
      </c>
      <c r="C4659" s="10">
        <v>3</v>
      </c>
      <c r="D4659" s="10">
        <v>1.5</v>
      </c>
      <c r="E4659" s="10">
        <v>12</v>
      </c>
    </row>
    <row r="4660" spans="1:5">
      <c r="A4660" t="s">
        <v>6791</v>
      </c>
      <c r="B4660" t="s">
        <v>3106</v>
      </c>
      <c r="C4660" s="10">
        <v>12</v>
      </c>
      <c r="D4660" s="10">
        <v>375</v>
      </c>
      <c r="E4660" s="10">
        <v>12</v>
      </c>
    </row>
    <row r="4661" spans="1:5">
      <c r="A4661" t="s">
        <v>3107</v>
      </c>
      <c r="B4661" t="s">
        <v>3108</v>
      </c>
      <c r="C4661" s="10">
        <v>6</v>
      </c>
      <c r="D4661" s="10">
        <v>0.75</v>
      </c>
      <c r="E4661" s="10">
        <v>12</v>
      </c>
    </row>
    <row r="4662" spans="1:5">
      <c r="A4662" t="s">
        <v>10433</v>
      </c>
      <c r="B4662" t="s">
        <v>9245</v>
      </c>
      <c r="C4662" s="10">
        <v>1</v>
      </c>
      <c r="D4662" s="10">
        <v>3</v>
      </c>
      <c r="E4662" s="10">
        <v>12</v>
      </c>
    </row>
    <row r="4663" spans="1:5">
      <c r="A4663" t="s">
        <v>10434</v>
      </c>
      <c r="B4663" t="s">
        <v>9246</v>
      </c>
      <c r="C4663" s="10">
        <v>6</v>
      </c>
      <c r="D4663" s="10">
        <v>0.75</v>
      </c>
      <c r="E4663" s="10">
        <v>12.5</v>
      </c>
    </row>
    <row r="4664" spans="1:5">
      <c r="A4664" t="s">
        <v>3109</v>
      </c>
      <c r="B4664" t="s">
        <v>3110</v>
      </c>
      <c r="C4664" s="10">
        <v>6</v>
      </c>
      <c r="D4664" s="10">
        <v>0.75</v>
      </c>
      <c r="E4664" s="10">
        <v>12</v>
      </c>
    </row>
    <row r="4665" spans="1:5">
      <c r="A4665" t="s">
        <v>10435</v>
      </c>
      <c r="B4665" t="s">
        <v>9247</v>
      </c>
      <c r="C4665" s="10">
        <v>6</v>
      </c>
      <c r="D4665" s="10">
        <v>0.75</v>
      </c>
      <c r="E4665" s="10">
        <v>12</v>
      </c>
    </row>
    <row r="4666" spans="1:5">
      <c r="A4666" t="s">
        <v>10436</v>
      </c>
      <c r="B4666" t="s">
        <v>9248</v>
      </c>
      <c r="C4666" s="10">
        <v>6</v>
      </c>
      <c r="D4666" s="10">
        <v>0.75</v>
      </c>
      <c r="E4666" s="10">
        <v>12.5</v>
      </c>
    </row>
    <row r="4667" spans="1:5">
      <c r="A4667" t="s">
        <v>10437</v>
      </c>
      <c r="B4667" t="s">
        <v>9249</v>
      </c>
      <c r="C4667" s="10">
        <v>6</v>
      </c>
      <c r="D4667" s="10">
        <v>0.75</v>
      </c>
      <c r="E4667" s="10">
        <v>12.5</v>
      </c>
    </row>
    <row r="4668" spans="1:5">
      <c r="A4668" t="s">
        <v>3111</v>
      </c>
      <c r="B4668" t="s">
        <v>3112</v>
      </c>
      <c r="C4668" s="10">
        <v>6</v>
      </c>
      <c r="D4668" s="10">
        <v>0.75</v>
      </c>
      <c r="E4668" s="10">
        <v>12</v>
      </c>
    </row>
    <row r="4669" spans="1:5">
      <c r="A4669" t="s">
        <v>3113</v>
      </c>
      <c r="B4669" t="s">
        <v>3114</v>
      </c>
      <c r="C4669" s="10">
        <v>6</v>
      </c>
      <c r="D4669" s="10">
        <v>0.75</v>
      </c>
      <c r="E4669" s="10">
        <v>12</v>
      </c>
    </row>
    <row r="4670" spans="1:5">
      <c r="A4670" t="s">
        <v>3226</v>
      </c>
      <c r="B4670" t="s">
        <v>3227</v>
      </c>
      <c r="C4670" s="10">
        <v>6</v>
      </c>
      <c r="D4670" s="10">
        <v>0.75</v>
      </c>
      <c r="E4670" s="10">
        <v>12.5</v>
      </c>
    </row>
    <row r="4671" spans="1:5">
      <c r="A4671" t="s">
        <v>3228</v>
      </c>
      <c r="B4671" t="s">
        <v>9250</v>
      </c>
      <c r="C4671" s="10">
        <v>6</v>
      </c>
      <c r="D4671" s="10">
        <v>0.75</v>
      </c>
      <c r="E4671" s="10">
        <v>12.5</v>
      </c>
    </row>
    <row r="4672" spans="1:5">
      <c r="A4672" t="s">
        <v>3115</v>
      </c>
      <c r="B4672" t="s">
        <v>3116</v>
      </c>
      <c r="C4672" s="10">
        <v>6</v>
      </c>
      <c r="D4672" s="10">
        <v>0.75</v>
      </c>
      <c r="E4672" s="10">
        <v>12</v>
      </c>
    </row>
    <row r="4673" spans="1:5">
      <c r="A4673" t="s">
        <v>1939</v>
      </c>
      <c r="B4673" t="s">
        <v>1940</v>
      </c>
      <c r="C4673" s="10">
        <v>6</v>
      </c>
      <c r="D4673" s="10">
        <v>0.5</v>
      </c>
      <c r="E4673" s="10">
        <v>16</v>
      </c>
    </row>
    <row r="4674" spans="1:5">
      <c r="A4674" t="s">
        <v>1941</v>
      </c>
      <c r="B4674" t="s">
        <v>1942</v>
      </c>
      <c r="C4674" s="10">
        <v>6</v>
      </c>
      <c r="D4674" s="10">
        <v>0.5</v>
      </c>
      <c r="E4674" s="10">
        <v>16</v>
      </c>
    </row>
    <row r="4675" spans="1:5">
      <c r="A4675" t="s">
        <v>4650</v>
      </c>
      <c r="B4675" t="s">
        <v>4651</v>
      </c>
      <c r="C4675" s="10">
        <v>6</v>
      </c>
      <c r="D4675" s="10">
        <v>0.7</v>
      </c>
      <c r="E4675" s="10">
        <v>30</v>
      </c>
    </row>
    <row r="4676" spans="1:5">
      <c r="A4676" t="s">
        <v>10438</v>
      </c>
      <c r="B4676" t="s">
        <v>9251</v>
      </c>
      <c r="C4676" s="10">
        <v>6</v>
      </c>
      <c r="D4676" s="10">
        <v>0.7</v>
      </c>
      <c r="E4676" s="10">
        <v>30</v>
      </c>
    </row>
    <row r="4677" spans="1:5">
      <c r="A4677" t="s">
        <v>10439</v>
      </c>
      <c r="B4677" t="s">
        <v>2409</v>
      </c>
      <c r="C4677" s="10">
        <v>96</v>
      </c>
      <c r="D4677" s="10">
        <v>0.05</v>
      </c>
      <c r="E4677" s="10">
        <v>30</v>
      </c>
    </row>
    <row r="4678" spans="1:5">
      <c r="A4678" t="s">
        <v>6792</v>
      </c>
      <c r="B4678" t="s">
        <v>2409</v>
      </c>
      <c r="C4678" s="10">
        <v>12</v>
      </c>
      <c r="D4678" s="10">
        <v>0.35</v>
      </c>
      <c r="E4678" s="10">
        <v>30</v>
      </c>
    </row>
    <row r="4679" spans="1:5">
      <c r="A4679" t="s">
        <v>4652</v>
      </c>
      <c r="B4679" t="s">
        <v>2409</v>
      </c>
      <c r="C4679" s="10">
        <v>6</v>
      </c>
      <c r="D4679" s="10">
        <v>0.7</v>
      </c>
      <c r="E4679" s="10">
        <v>30</v>
      </c>
    </row>
    <row r="4680" spans="1:5">
      <c r="A4680" t="s">
        <v>2408</v>
      </c>
      <c r="B4680" t="s">
        <v>2409</v>
      </c>
      <c r="C4680" s="10">
        <v>6</v>
      </c>
      <c r="D4680" s="10">
        <v>1</v>
      </c>
      <c r="E4680" s="10">
        <v>30</v>
      </c>
    </row>
    <row r="4681" spans="1:5">
      <c r="A4681" t="s">
        <v>10440</v>
      </c>
      <c r="B4681" t="s">
        <v>9252</v>
      </c>
      <c r="C4681" s="10">
        <v>6</v>
      </c>
      <c r="D4681" s="10">
        <v>0.7</v>
      </c>
      <c r="E4681" s="10">
        <v>30</v>
      </c>
    </row>
    <row r="4682" spans="1:5">
      <c r="A4682" t="s">
        <v>10441</v>
      </c>
      <c r="B4682" t="s">
        <v>9253</v>
      </c>
      <c r="C4682" s="10">
        <v>6</v>
      </c>
      <c r="D4682" s="10">
        <v>0.7</v>
      </c>
      <c r="E4682" s="10">
        <v>30</v>
      </c>
    </row>
    <row r="4683" spans="1:5">
      <c r="A4683" t="s">
        <v>10442</v>
      </c>
      <c r="B4683" t="s">
        <v>9254</v>
      </c>
      <c r="C4683" s="10">
        <v>6</v>
      </c>
      <c r="D4683" s="10">
        <v>0.5</v>
      </c>
      <c r="E4683" s="10">
        <v>30</v>
      </c>
    </row>
    <row r="4684" spans="1:5">
      <c r="A4684" t="s">
        <v>2888</v>
      </c>
      <c r="B4684" t="s">
        <v>2889</v>
      </c>
      <c r="C4684" s="10">
        <v>6</v>
      </c>
      <c r="D4684" s="10">
        <v>0.75</v>
      </c>
      <c r="E4684" s="10">
        <v>13.5</v>
      </c>
    </row>
    <row r="4685" spans="1:5">
      <c r="A4685" t="s">
        <v>1373</v>
      </c>
      <c r="B4685" t="s">
        <v>1374</v>
      </c>
      <c r="C4685" s="10">
        <v>6</v>
      </c>
      <c r="D4685" s="10">
        <v>0.7</v>
      </c>
      <c r="E4685" s="10">
        <v>40</v>
      </c>
    </row>
    <row r="4686" spans="1:5">
      <c r="A4686" t="s">
        <v>10443</v>
      </c>
      <c r="B4686" t="s">
        <v>9255</v>
      </c>
      <c r="C4686" s="10">
        <v>6</v>
      </c>
      <c r="D4686" s="10">
        <v>0.7</v>
      </c>
      <c r="E4686" s="10">
        <v>43</v>
      </c>
    </row>
    <row r="4687" spans="1:5">
      <c r="A4687" t="s">
        <v>1375</v>
      </c>
      <c r="B4687" t="s">
        <v>1376</v>
      </c>
      <c r="C4687" s="10">
        <v>6</v>
      </c>
      <c r="D4687" s="10">
        <v>0.7</v>
      </c>
      <c r="E4687" s="10">
        <v>40</v>
      </c>
    </row>
    <row r="4688" spans="1:5">
      <c r="A4688" t="s">
        <v>10444</v>
      </c>
      <c r="B4688" t="s">
        <v>1377</v>
      </c>
      <c r="C4688" s="10">
        <v>6</v>
      </c>
      <c r="D4688" s="10">
        <v>0.7</v>
      </c>
      <c r="E4688" s="10">
        <v>40</v>
      </c>
    </row>
    <row r="4689" spans="1:5">
      <c r="A4689" t="s">
        <v>1378</v>
      </c>
      <c r="B4689" t="s">
        <v>1379</v>
      </c>
      <c r="C4689" s="10">
        <v>6</v>
      </c>
      <c r="D4689" s="10">
        <v>0.7</v>
      </c>
      <c r="E4689" s="10">
        <v>40</v>
      </c>
    </row>
    <row r="4690" spans="1:5">
      <c r="A4690" t="s">
        <v>1380</v>
      </c>
      <c r="B4690" t="s">
        <v>1379</v>
      </c>
      <c r="C4690" s="10">
        <v>6</v>
      </c>
      <c r="D4690" s="10">
        <v>0.7</v>
      </c>
      <c r="E4690" s="10">
        <v>40</v>
      </c>
    </row>
    <row r="4691" spans="1:5">
      <c r="A4691" t="s">
        <v>4653</v>
      </c>
      <c r="B4691" t="s">
        <v>4654</v>
      </c>
      <c r="C4691" s="10">
        <v>6</v>
      </c>
      <c r="D4691" s="10">
        <v>0.7</v>
      </c>
      <c r="E4691" s="10">
        <v>17.2</v>
      </c>
    </row>
    <row r="4692" spans="1:5">
      <c r="A4692" t="s">
        <v>6547</v>
      </c>
      <c r="B4692" t="s">
        <v>6548</v>
      </c>
      <c r="C4692" s="10">
        <v>15</v>
      </c>
      <c r="D4692" s="10">
        <v>0.7</v>
      </c>
      <c r="E4692" s="10">
        <v>14</v>
      </c>
    </row>
    <row r="4693" spans="1:5">
      <c r="A4693" t="s">
        <v>10445</v>
      </c>
      <c r="B4693" t="s">
        <v>9256</v>
      </c>
      <c r="C4693" s="10">
        <v>6</v>
      </c>
      <c r="D4693" s="10">
        <v>0.35</v>
      </c>
      <c r="E4693" s="10">
        <v>15</v>
      </c>
    </row>
    <row r="4694" spans="1:5">
      <c r="A4694" t="s">
        <v>1943</v>
      </c>
      <c r="B4694" t="s">
        <v>1944</v>
      </c>
      <c r="C4694" s="10">
        <v>6</v>
      </c>
      <c r="D4694" s="10">
        <v>0.5</v>
      </c>
      <c r="E4694" s="10">
        <v>14</v>
      </c>
    </row>
    <row r="4695" spans="1:5">
      <c r="A4695" t="s">
        <v>4655</v>
      </c>
      <c r="B4695" t="s">
        <v>1944</v>
      </c>
      <c r="C4695" s="10">
        <v>6</v>
      </c>
      <c r="D4695" s="10">
        <v>0.7</v>
      </c>
      <c r="E4695" s="10">
        <v>14</v>
      </c>
    </row>
    <row r="4696" spans="1:5">
      <c r="A4696" t="s">
        <v>10446</v>
      </c>
      <c r="B4696" t="s">
        <v>9257</v>
      </c>
      <c r="C4696" s="10">
        <v>6</v>
      </c>
      <c r="D4696" s="10">
        <v>0.7</v>
      </c>
      <c r="E4696" s="10">
        <v>50</v>
      </c>
    </row>
    <row r="4697" spans="1:5">
      <c r="A4697" t="s">
        <v>10447</v>
      </c>
      <c r="B4697" t="s">
        <v>9258</v>
      </c>
      <c r="C4697" s="10">
        <v>6</v>
      </c>
      <c r="D4697" s="10">
        <v>0.7</v>
      </c>
      <c r="E4697" s="10">
        <v>50</v>
      </c>
    </row>
    <row r="4698" spans="1:5">
      <c r="A4698" t="s">
        <v>10448</v>
      </c>
      <c r="B4698" t="s">
        <v>9259</v>
      </c>
      <c r="C4698" s="10">
        <v>6</v>
      </c>
      <c r="D4698" s="10">
        <v>0.7</v>
      </c>
      <c r="E4698" s="10">
        <v>45.8</v>
      </c>
    </row>
    <row r="4699" spans="1:5">
      <c r="A4699" t="s">
        <v>2410</v>
      </c>
      <c r="B4699" t="s">
        <v>2411</v>
      </c>
      <c r="C4699" s="10">
        <v>6</v>
      </c>
      <c r="D4699" s="10">
        <v>1</v>
      </c>
      <c r="E4699" s="10">
        <v>32</v>
      </c>
    </row>
    <row r="4700" spans="1:5">
      <c r="A4700" t="s">
        <v>2412</v>
      </c>
      <c r="B4700" t="s">
        <v>2413</v>
      </c>
      <c r="C4700" s="10">
        <v>6</v>
      </c>
      <c r="D4700" s="10">
        <v>1</v>
      </c>
      <c r="E4700" s="10">
        <v>35</v>
      </c>
    </row>
    <row r="4701" spans="1:5">
      <c r="A4701" t="s">
        <v>1381</v>
      </c>
      <c r="B4701" t="s">
        <v>1382</v>
      </c>
      <c r="C4701" s="10">
        <v>6</v>
      </c>
      <c r="D4701" s="10">
        <v>0.7</v>
      </c>
      <c r="E4701" s="10">
        <v>40</v>
      </c>
    </row>
    <row r="4702" spans="1:5">
      <c r="A4702" t="s">
        <v>2414</v>
      </c>
      <c r="B4702" t="s">
        <v>2415</v>
      </c>
      <c r="C4702" s="10">
        <v>6</v>
      </c>
      <c r="D4702" s="10">
        <v>1</v>
      </c>
      <c r="E4702" s="10">
        <v>36</v>
      </c>
    </row>
    <row r="4703" spans="1:5">
      <c r="A4703" t="s">
        <v>10449</v>
      </c>
      <c r="B4703" t="s">
        <v>9260</v>
      </c>
      <c r="C4703" s="10">
        <v>6</v>
      </c>
      <c r="D4703" s="10">
        <v>0.7</v>
      </c>
      <c r="E4703" s="10">
        <v>43</v>
      </c>
    </row>
    <row r="4704" spans="1:5">
      <c r="A4704" t="s">
        <v>5643</v>
      </c>
      <c r="B4704" t="s">
        <v>5644</v>
      </c>
      <c r="C4704" s="10">
        <v>6</v>
      </c>
      <c r="D4704" s="10">
        <v>0.7</v>
      </c>
      <c r="E4704" s="10">
        <v>43</v>
      </c>
    </row>
    <row r="4705" spans="1:5">
      <c r="A4705" t="s">
        <v>10450</v>
      </c>
      <c r="B4705" t="s">
        <v>9261</v>
      </c>
      <c r="C4705" s="10">
        <v>6</v>
      </c>
      <c r="D4705" s="10">
        <v>0.7</v>
      </c>
      <c r="E4705" s="10">
        <v>43</v>
      </c>
    </row>
    <row r="4706" spans="1:5">
      <c r="A4706" t="s">
        <v>5645</v>
      </c>
      <c r="B4706" t="s">
        <v>5646</v>
      </c>
      <c r="C4706" s="10">
        <v>6</v>
      </c>
      <c r="D4706" s="10">
        <v>0.7</v>
      </c>
      <c r="E4706" s="10">
        <v>43</v>
      </c>
    </row>
    <row r="4707" spans="1:5">
      <c r="A4707" t="s">
        <v>10451</v>
      </c>
      <c r="B4707" t="s">
        <v>9262</v>
      </c>
      <c r="C4707" s="10">
        <v>6</v>
      </c>
      <c r="D4707" s="10">
        <v>0.7</v>
      </c>
      <c r="E4707" s="10">
        <v>46</v>
      </c>
    </row>
    <row r="4708" spans="1:5">
      <c r="A4708" t="s">
        <v>5763</v>
      </c>
      <c r="B4708" t="s">
        <v>5764</v>
      </c>
      <c r="C4708" s="10">
        <v>12</v>
      </c>
      <c r="D4708" s="10">
        <v>1</v>
      </c>
      <c r="E4708" s="10">
        <v>40</v>
      </c>
    </row>
    <row r="4709" spans="1:5">
      <c r="A4709" t="s">
        <v>5647</v>
      </c>
      <c r="B4709" t="s">
        <v>5648</v>
      </c>
      <c r="C4709" s="10">
        <v>6</v>
      </c>
      <c r="D4709" s="10">
        <v>0.7</v>
      </c>
      <c r="E4709" s="10">
        <v>43</v>
      </c>
    </row>
    <row r="4710" spans="1:5">
      <c r="A4710" t="s">
        <v>4656</v>
      </c>
      <c r="B4710" t="s">
        <v>4657</v>
      </c>
      <c r="C4710" s="10">
        <v>6</v>
      </c>
      <c r="D4710" s="10">
        <v>0.7</v>
      </c>
      <c r="E4710" s="10">
        <v>41.3</v>
      </c>
    </row>
    <row r="4711" spans="1:5">
      <c r="A4711" t="s">
        <v>5649</v>
      </c>
      <c r="B4711" t="s">
        <v>5650</v>
      </c>
      <c r="C4711" s="10">
        <v>6</v>
      </c>
      <c r="D4711" s="10">
        <v>0.7</v>
      </c>
      <c r="E4711" s="10">
        <v>43</v>
      </c>
    </row>
    <row r="4712" spans="1:5">
      <c r="A4712" t="s">
        <v>5651</v>
      </c>
      <c r="B4712" t="s">
        <v>5652</v>
      </c>
      <c r="C4712" s="10">
        <v>6</v>
      </c>
      <c r="D4712" s="10">
        <v>0.7</v>
      </c>
      <c r="E4712" s="10">
        <v>43</v>
      </c>
    </row>
    <row r="4713" spans="1:5">
      <c r="A4713" t="s">
        <v>10452</v>
      </c>
      <c r="B4713" t="s">
        <v>9263</v>
      </c>
      <c r="C4713" s="10">
        <v>6</v>
      </c>
      <c r="D4713" s="10">
        <v>0.7</v>
      </c>
      <c r="E4713" s="10">
        <v>43</v>
      </c>
    </row>
    <row r="4714" spans="1:5">
      <c r="A4714" t="s">
        <v>4658</v>
      </c>
      <c r="B4714" t="s">
        <v>4659</v>
      </c>
      <c r="C4714" s="10">
        <v>6</v>
      </c>
      <c r="D4714" s="10">
        <v>0.7</v>
      </c>
      <c r="E4714" s="10">
        <v>47</v>
      </c>
    </row>
    <row r="4715" spans="1:5">
      <c r="A4715" t="s">
        <v>8302</v>
      </c>
      <c r="B4715" t="s">
        <v>9264</v>
      </c>
      <c r="C4715" s="10">
        <v>6</v>
      </c>
      <c r="D4715" s="10">
        <v>0.7</v>
      </c>
      <c r="E4715" s="10">
        <v>43</v>
      </c>
    </row>
    <row r="4716" spans="1:5">
      <c r="A4716" t="s">
        <v>5653</v>
      </c>
      <c r="B4716" t="s">
        <v>5654</v>
      </c>
      <c r="C4716" s="10">
        <v>6</v>
      </c>
      <c r="D4716" s="10">
        <v>0.7</v>
      </c>
      <c r="E4716" s="10">
        <v>43</v>
      </c>
    </row>
    <row r="4717" spans="1:5">
      <c r="A4717" t="s">
        <v>8301</v>
      </c>
      <c r="B4717" t="s">
        <v>9265</v>
      </c>
      <c r="C4717" s="10">
        <v>6</v>
      </c>
      <c r="D4717" s="10">
        <v>0.7</v>
      </c>
      <c r="E4717" s="10">
        <v>43</v>
      </c>
    </row>
    <row r="4718" spans="1:5">
      <c r="A4718" t="s">
        <v>5655</v>
      </c>
      <c r="B4718" t="s">
        <v>5656</v>
      </c>
      <c r="C4718" s="10">
        <v>6</v>
      </c>
      <c r="D4718" s="10">
        <v>0.7</v>
      </c>
      <c r="E4718" s="10">
        <v>43</v>
      </c>
    </row>
    <row r="4719" spans="1:5">
      <c r="A4719" t="s">
        <v>5657</v>
      </c>
      <c r="B4719" t="s">
        <v>5658</v>
      </c>
      <c r="C4719" s="10">
        <v>6</v>
      </c>
      <c r="D4719" s="10">
        <v>0.7</v>
      </c>
      <c r="E4719" s="10">
        <v>43</v>
      </c>
    </row>
    <row r="4720" spans="1:5">
      <c r="A4720" t="s">
        <v>8304</v>
      </c>
      <c r="B4720" t="s">
        <v>5659</v>
      </c>
      <c r="C4720" s="10">
        <v>6</v>
      </c>
      <c r="D4720" s="10">
        <v>0.7</v>
      </c>
      <c r="E4720" s="10">
        <v>43</v>
      </c>
    </row>
    <row r="4721" spans="1:5">
      <c r="A4721" t="s">
        <v>10453</v>
      </c>
      <c r="B4721" t="s">
        <v>5660</v>
      </c>
      <c r="C4721" s="10">
        <v>6</v>
      </c>
      <c r="D4721" s="10">
        <v>0.7</v>
      </c>
      <c r="E4721" s="10">
        <v>43</v>
      </c>
    </row>
    <row r="4722" spans="1:5">
      <c r="A4722" t="s">
        <v>5765</v>
      </c>
      <c r="B4722" t="s">
        <v>5766</v>
      </c>
      <c r="C4722" s="10">
        <v>12</v>
      </c>
      <c r="D4722" s="10">
        <v>1</v>
      </c>
      <c r="E4722" s="10">
        <v>40</v>
      </c>
    </row>
    <row r="4723" spans="1:5">
      <c r="A4723" t="s">
        <v>2890</v>
      </c>
      <c r="B4723" t="s">
        <v>2891</v>
      </c>
      <c r="C4723" s="10">
        <v>6</v>
      </c>
      <c r="D4723" s="10">
        <v>0.75</v>
      </c>
      <c r="E4723" s="10">
        <v>10</v>
      </c>
    </row>
    <row r="4724" spans="1:5">
      <c r="A4724" t="s">
        <v>4660</v>
      </c>
      <c r="B4724" t="s">
        <v>4661</v>
      </c>
      <c r="C4724" s="10">
        <v>6</v>
      </c>
      <c r="D4724" s="10">
        <v>0.7</v>
      </c>
      <c r="E4724" s="10">
        <v>50.5</v>
      </c>
    </row>
    <row r="4725" spans="1:5">
      <c r="A4725" t="s">
        <v>6793</v>
      </c>
      <c r="B4725" t="s">
        <v>4661</v>
      </c>
      <c r="C4725" s="10">
        <v>12</v>
      </c>
      <c r="D4725" s="10">
        <v>0.7</v>
      </c>
      <c r="E4725" s="10">
        <v>50.5</v>
      </c>
    </row>
    <row r="4726" spans="1:5">
      <c r="A4726" t="s">
        <v>6794</v>
      </c>
      <c r="B4726" t="s">
        <v>4662</v>
      </c>
      <c r="C4726" s="10">
        <v>12</v>
      </c>
      <c r="D4726" s="10">
        <v>0.7</v>
      </c>
      <c r="E4726" s="10">
        <v>40.5</v>
      </c>
    </row>
    <row r="4727" spans="1:5">
      <c r="A4727" t="s">
        <v>6899</v>
      </c>
      <c r="B4727" t="s">
        <v>4662</v>
      </c>
      <c r="C4727" s="10">
        <v>12</v>
      </c>
      <c r="D4727" s="10">
        <v>1</v>
      </c>
      <c r="E4727" s="10">
        <v>40.5</v>
      </c>
    </row>
    <row r="4728" spans="1:5">
      <c r="A4728" t="s">
        <v>4663</v>
      </c>
      <c r="B4728" t="s">
        <v>4664</v>
      </c>
      <c r="C4728" s="10">
        <v>6</v>
      </c>
      <c r="D4728" s="10">
        <v>0.7</v>
      </c>
      <c r="E4728" s="10">
        <v>35.5</v>
      </c>
    </row>
    <row r="4729" spans="1:5">
      <c r="A4729" t="s">
        <v>2416</v>
      </c>
      <c r="B4729" t="s">
        <v>2417</v>
      </c>
      <c r="C4729" s="10">
        <v>6</v>
      </c>
      <c r="D4729" s="10">
        <v>1</v>
      </c>
      <c r="E4729" s="10">
        <v>43</v>
      </c>
    </row>
    <row r="4730" spans="1:5">
      <c r="A4730" t="s">
        <v>10454</v>
      </c>
      <c r="B4730" t="s">
        <v>9266</v>
      </c>
      <c r="C4730" s="10">
        <v>6</v>
      </c>
      <c r="D4730" s="10">
        <v>0.7</v>
      </c>
      <c r="E4730" s="10">
        <v>58.4</v>
      </c>
    </row>
    <row r="4731" spans="1:5">
      <c r="A4731" t="s">
        <v>10455</v>
      </c>
      <c r="B4731" t="s">
        <v>9267</v>
      </c>
      <c r="C4731" s="10">
        <v>6</v>
      </c>
      <c r="D4731" s="10">
        <v>0.7</v>
      </c>
      <c r="E4731" s="10">
        <v>40.5</v>
      </c>
    </row>
    <row r="4732" spans="1:5">
      <c r="A4732" t="s">
        <v>10456</v>
      </c>
      <c r="B4732" t="s">
        <v>9268</v>
      </c>
      <c r="C4732" s="10">
        <v>6</v>
      </c>
      <c r="D4732" s="10">
        <v>0.75</v>
      </c>
      <c r="E4732" s="10">
        <v>15</v>
      </c>
    </row>
    <row r="4733" spans="1:5">
      <c r="A4733" t="s">
        <v>2892</v>
      </c>
      <c r="B4733" t="s">
        <v>2893</v>
      </c>
      <c r="C4733" s="10">
        <v>6</v>
      </c>
      <c r="D4733" s="10">
        <v>0.75</v>
      </c>
      <c r="E4733" s="10">
        <v>18</v>
      </c>
    </row>
    <row r="4734" spans="1:5">
      <c r="A4734" t="s">
        <v>4665</v>
      </c>
      <c r="B4734" t="s">
        <v>4666</v>
      </c>
      <c r="C4734" s="10">
        <v>6</v>
      </c>
      <c r="D4734" s="10">
        <v>0.7</v>
      </c>
      <c r="E4734" s="10">
        <v>55.2</v>
      </c>
    </row>
    <row r="4735" spans="1:5">
      <c r="A4735" t="s">
        <v>4667</v>
      </c>
      <c r="B4735" t="s">
        <v>4668</v>
      </c>
      <c r="C4735" s="10">
        <v>6</v>
      </c>
      <c r="D4735" s="10">
        <v>0.7</v>
      </c>
      <c r="E4735" s="10">
        <v>57.2</v>
      </c>
    </row>
    <row r="4736" spans="1:5">
      <c r="A4736" t="s">
        <v>4669</v>
      </c>
      <c r="B4736" t="s">
        <v>4670</v>
      </c>
      <c r="C4736" s="10">
        <v>6</v>
      </c>
      <c r="D4736" s="10">
        <v>0.7</v>
      </c>
      <c r="E4736" s="10">
        <v>47</v>
      </c>
    </row>
    <row r="4737" spans="1:5">
      <c r="A4737" t="s">
        <v>6549</v>
      </c>
      <c r="B4737" t="s">
        <v>4670</v>
      </c>
      <c r="C4737" s="10">
        <v>3</v>
      </c>
      <c r="D4737" s="10">
        <v>1.75</v>
      </c>
      <c r="E4737" s="10">
        <v>47</v>
      </c>
    </row>
    <row r="4738" spans="1:5">
      <c r="A4738" t="s">
        <v>4671</v>
      </c>
      <c r="B4738" t="s">
        <v>4672</v>
      </c>
      <c r="C4738" s="10">
        <v>6</v>
      </c>
      <c r="D4738" s="10">
        <v>0.7</v>
      </c>
      <c r="E4738" s="10">
        <v>53.5</v>
      </c>
    </row>
    <row r="4739" spans="1:5">
      <c r="A4739" t="s">
        <v>1383</v>
      </c>
      <c r="B4739" t="s">
        <v>1384</v>
      </c>
      <c r="C4739" s="10">
        <v>6</v>
      </c>
      <c r="D4739" s="10">
        <v>0.7</v>
      </c>
      <c r="E4739" s="10">
        <v>40</v>
      </c>
    </row>
    <row r="4740" spans="1:5">
      <c r="A4740" t="s">
        <v>1530</v>
      </c>
      <c r="B4740" t="s">
        <v>1384</v>
      </c>
      <c r="C4740" s="10">
        <v>6</v>
      </c>
      <c r="D4740" s="10">
        <v>1</v>
      </c>
      <c r="E4740" s="10">
        <v>40</v>
      </c>
    </row>
    <row r="4741" spans="1:5">
      <c r="A4741" t="s">
        <v>10457</v>
      </c>
      <c r="B4741" t="s">
        <v>1384</v>
      </c>
      <c r="C4741" s="10">
        <v>6</v>
      </c>
      <c r="D4741" s="10">
        <v>1.5</v>
      </c>
      <c r="E4741" s="10">
        <v>40</v>
      </c>
    </row>
    <row r="4742" spans="1:5">
      <c r="A4742" t="s">
        <v>5977</v>
      </c>
      <c r="B4742" t="s">
        <v>5868</v>
      </c>
      <c r="C4742" s="10">
        <v>8</v>
      </c>
      <c r="D4742" s="10">
        <v>0.2</v>
      </c>
      <c r="E4742" s="10">
        <v>40</v>
      </c>
    </row>
    <row r="4743" spans="1:5">
      <c r="A4743" t="s">
        <v>5978</v>
      </c>
      <c r="B4743" t="s">
        <v>5868</v>
      </c>
      <c r="C4743" s="10">
        <v>24</v>
      </c>
      <c r="D4743" s="10">
        <v>0.2</v>
      </c>
      <c r="E4743" s="10">
        <v>40</v>
      </c>
    </row>
    <row r="4744" spans="1:5">
      <c r="A4744" t="s">
        <v>5867</v>
      </c>
      <c r="B4744" t="s">
        <v>5868</v>
      </c>
      <c r="C4744" s="10">
        <v>12</v>
      </c>
      <c r="D4744" s="10">
        <v>0.7</v>
      </c>
      <c r="E4744" s="10">
        <v>40</v>
      </c>
    </row>
    <row r="4745" spans="1:5">
      <c r="A4745" t="s">
        <v>6550</v>
      </c>
      <c r="B4745" t="s">
        <v>6551</v>
      </c>
      <c r="C4745" s="10">
        <v>24</v>
      </c>
      <c r="D4745" s="10">
        <v>275</v>
      </c>
      <c r="E4745" s="10">
        <v>4</v>
      </c>
    </row>
    <row r="4746" spans="1:5">
      <c r="A4746" t="s">
        <v>4673</v>
      </c>
      <c r="B4746" t="s">
        <v>4674</v>
      </c>
      <c r="C4746" s="10">
        <v>6</v>
      </c>
      <c r="D4746" s="10">
        <v>0.7</v>
      </c>
      <c r="E4746" s="10">
        <v>4</v>
      </c>
    </row>
    <row r="4747" spans="1:5">
      <c r="A4747" t="s">
        <v>5316</v>
      </c>
      <c r="B4747" t="s">
        <v>5317</v>
      </c>
      <c r="C4747" s="10">
        <v>6</v>
      </c>
      <c r="D4747" s="10">
        <v>0.7</v>
      </c>
      <c r="E4747" s="10">
        <v>46</v>
      </c>
    </row>
    <row r="4748" spans="1:5">
      <c r="A4748" t="s">
        <v>4675</v>
      </c>
      <c r="B4748" t="s">
        <v>4676</v>
      </c>
      <c r="C4748" s="10">
        <v>6</v>
      </c>
      <c r="D4748" s="10">
        <v>0.7</v>
      </c>
      <c r="E4748" s="10">
        <v>58</v>
      </c>
    </row>
    <row r="4749" spans="1:5">
      <c r="A4749" t="s">
        <v>5318</v>
      </c>
      <c r="B4749" t="s">
        <v>5319</v>
      </c>
      <c r="C4749" s="10">
        <v>6</v>
      </c>
      <c r="D4749" s="10">
        <v>0.7</v>
      </c>
      <c r="E4749" s="10">
        <v>46</v>
      </c>
    </row>
    <row r="4750" spans="1:5">
      <c r="A4750" t="s">
        <v>5320</v>
      </c>
      <c r="B4750" t="s">
        <v>5321</v>
      </c>
      <c r="C4750" s="10">
        <v>6</v>
      </c>
      <c r="D4750" s="10">
        <v>0.7</v>
      </c>
      <c r="E4750" s="10">
        <v>46</v>
      </c>
    </row>
    <row r="4751" spans="1:5">
      <c r="A4751" t="s">
        <v>5322</v>
      </c>
      <c r="B4751" t="s">
        <v>5323</v>
      </c>
      <c r="C4751" s="10">
        <v>6</v>
      </c>
      <c r="D4751" s="10">
        <v>0.7</v>
      </c>
      <c r="E4751" s="10">
        <v>46</v>
      </c>
    </row>
    <row r="4752" spans="1:5">
      <c r="A4752" t="s">
        <v>4677</v>
      </c>
      <c r="B4752" t="s">
        <v>2418</v>
      </c>
      <c r="C4752" s="10">
        <v>6</v>
      </c>
      <c r="D4752" s="10">
        <v>0.7</v>
      </c>
      <c r="E4752" s="10">
        <v>43.2</v>
      </c>
    </row>
    <row r="4753" spans="1:5">
      <c r="A4753" t="s">
        <v>4678</v>
      </c>
      <c r="B4753" t="s">
        <v>2418</v>
      </c>
      <c r="C4753" s="10">
        <v>6</v>
      </c>
      <c r="D4753" s="10">
        <v>0.7</v>
      </c>
      <c r="E4753" s="10">
        <v>43.2</v>
      </c>
    </row>
    <row r="4754" spans="1:5">
      <c r="A4754" t="s">
        <v>8306</v>
      </c>
      <c r="B4754" t="s">
        <v>2418</v>
      </c>
      <c r="C4754" s="10">
        <v>6</v>
      </c>
      <c r="D4754" s="10">
        <v>1</v>
      </c>
      <c r="E4754" s="10">
        <v>43.2</v>
      </c>
    </row>
    <row r="4755" spans="1:5">
      <c r="A4755" t="s">
        <v>10458</v>
      </c>
      <c r="B4755" t="s">
        <v>9269</v>
      </c>
      <c r="C4755" s="10">
        <v>6</v>
      </c>
      <c r="D4755" s="10">
        <v>1</v>
      </c>
      <c r="E4755" s="10">
        <v>45.2</v>
      </c>
    </row>
    <row r="4756" spans="1:5">
      <c r="A4756" t="s">
        <v>6552</v>
      </c>
      <c r="B4756" t="s">
        <v>9270</v>
      </c>
      <c r="C4756" s="10">
        <v>3</v>
      </c>
      <c r="D4756" s="10">
        <v>0.7</v>
      </c>
      <c r="E4756" s="10">
        <v>45.2</v>
      </c>
    </row>
    <row r="4757" spans="1:5">
      <c r="A4757" t="s">
        <v>10459</v>
      </c>
      <c r="B4757" t="s">
        <v>9271</v>
      </c>
      <c r="C4757" s="10">
        <v>6</v>
      </c>
      <c r="D4757" s="10">
        <v>1</v>
      </c>
      <c r="E4757" s="10">
        <v>43.2</v>
      </c>
    </row>
    <row r="4758" spans="1:5">
      <c r="A4758" t="s">
        <v>4679</v>
      </c>
      <c r="B4758" t="s">
        <v>4680</v>
      </c>
      <c r="C4758" s="10">
        <v>6</v>
      </c>
      <c r="D4758" s="10">
        <v>0.7</v>
      </c>
      <c r="E4758" s="10">
        <v>43.2</v>
      </c>
    </row>
    <row r="4759" spans="1:5">
      <c r="A4759" t="s">
        <v>4681</v>
      </c>
      <c r="B4759" t="s">
        <v>4682</v>
      </c>
      <c r="C4759" s="10">
        <v>6</v>
      </c>
      <c r="D4759" s="10">
        <v>0.7</v>
      </c>
      <c r="E4759" s="10">
        <v>45.2</v>
      </c>
    </row>
    <row r="4760" spans="1:5">
      <c r="A4760" t="s">
        <v>4683</v>
      </c>
      <c r="B4760" t="s">
        <v>4684</v>
      </c>
      <c r="C4760" s="10">
        <v>6</v>
      </c>
      <c r="D4760" s="10">
        <v>0.7</v>
      </c>
      <c r="E4760" s="10">
        <v>45.2</v>
      </c>
    </row>
    <row r="4761" spans="1:5">
      <c r="A4761" t="s">
        <v>4685</v>
      </c>
      <c r="B4761" t="s">
        <v>4686</v>
      </c>
      <c r="C4761" s="10">
        <v>6</v>
      </c>
      <c r="D4761" s="10">
        <v>0.7</v>
      </c>
      <c r="E4761" s="10">
        <v>25</v>
      </c>
    </row>
    <row r="4762" spans="1:5">
      <c r="A4762" t="s">
        <v>1620</v>
      </c>
      <c r="B4762" t="s">
        <v>1621</v>
      </c>
      <c r="C4762" s="10">
        <v>6</v>
      </c>
      <c r="D4762" s="10">
        <v>0.2</v>
      </c>
      <c r="E4762" s="10">
        <v>40</v>
      </c>
    </row>
    <row r="4763" spans="1:5">
      <c r="A4763" t="s">
        <v>4814</v>
      </c>
      <c r="B4763" t="s">
        <v>4815</v>
      </c>
      <c r="C4763" s="10">
        <v>6</v>
      </c>
      <c r="D4763" s="10">
        <v>0.7</v>
      </c>
      <c r="E4763" s="10">
        <v>45</v>
      </c>
    </row>
    <row r="4764" spans="1:5">
      <c r="A4764" t="s">
        <v>4687</v>
      </c>
      <c r="B4764" t="s">
        <v>4688</v>
      </c>
      <c r="C4764" s="10">
        <v>6</v>
      </c>
      <c r="D4764" s="10">
        <v>0.7</v>
      </c>
      <c r="E4764" s="10">
        <v>63</v>
      </c>
    </row>
    <row r="4765" spans="1:5">
      <c r="A4765" t="s">
        <v>1385</v>
      </c>
      <c r="B4765" t="s">
        <v>1386</v>
      </c>
      <c r="C4765" s="10">
        <v>6</v>
      </c>
      <c r="D4765" s="10">
        <v>0.7</v>
      </c>
      <c r="E4765" s="10">
        <v>40</v>
      </c>
    </row>
    <row r="4766" spans="1:5">
      <c r="A4766" t="s">
        <v>10460</v>
      </c>
      <c r="B4766" t="s">
        <v>9272</v>
      </c>
      <c r="C4766" s="10">
        <v>6</v>
      </c>
      <c r="D4766" s="10">
        <v>0.7</v>
      </c>
      <c r="E4766" s="10">
        <v>40</v>
      </c>
    </row>
    <row r="4767" spans="1:5">
      <c r="A4767" t="s">
        <v>10461</v>
      </c>
      <c r="B4767" t="s">
        <v>9273</v>
      </c>
      <c r="C4767" s="10">
        <v>6</v>
      </c>
      <c r="D4767" s="10">
        <v>0.7</v>
      </c>
      <c r="E4767" s="10">
        <v>46</v>
      </c>
    </row>
    <row r="4768" spans="1:5">
      <c r="A4768" t="s">
        <v>5324</v>
      </c>
      <c r="B4768" t="s">
        <v>5325</v>
      </c>
      <c r="C4768" s="10">
        <v>6</v>
      </c>
      <c r="D4768" s="10">
        <v>0.7</v>
      </c>
      <c r="E4768" s="10">
        <v>46</v>
      </c>
    </row>
    <row r="4769" spans="1:5">
      <c r="A4769" t="s">
        <v>4924</v>
      </c>
      <c r="B4769" t="s">
        <v>2420</v>
      </c>
      <c r="C4769" s="10">
        <v>6</v>
      </c>
      <c r="D4769" s="10">
        <v>0.7</v>
      </c>
      <c r="E4769" s="10">
        <v>37.5</v>
      </c>
    </row>
    <row r="4770" spans="1:5">
      <c r="A4770" t="s">
        <v>2419</v>
      </c>
      <c r="B4770" t="s">
        <v>2420</v>
      </c>
      <c r="C4770" s="10">
        <v>6</v>
      </c>
      <c r="D4770" s="10">
        <v>1</v>
      </c>
      <c r="E4770" s="10">
        <v>37.5</v>
      </c>
    </row>
    <row r="4771" spans="1:5">
      <c r="A4771" t="s">
        <v>1945</v>
      </c>
      <c r="B4771" t="s">
        <v>1946</v>
      </c>
      <c r="C4771" s="10">
        <v>6</v>
      </c>
      <c r="D4771" s="10">
        <v>0.5</v>
      </c>
      <c r="E4771" s="10">
        <v>35</v>
      </c>
    </row>
    <row r="4772" spans="1:5">
      <c r="A4772" t="s">
        <v>1387</v>
      </c>
      <c r="B4772" t="s">
        <v>1388</v>
      </c>
      <c r="C4772" s="10">
        <v>6</v>
      </c>
      <c r="D4772" s="10">
        <v>0.7</v>
      </c>
      <c r="E4772" s="10">
        <v>40</v>
      </c>
    </row>
    <row r="4773" spans="1:5">
      <c r="A4773" t="s">
        <v>10462</v>
      </c>
      <c r="B4773" t="s">
        <v>9274</v>
      </c>
      <c r="C4773" s="10">
        <v>6</v>
      </c>
      <c r="D4773" s="10">
        <v>0.7</v>
      </c>
      <c r="E4773" s="10">
        <v>40</v>
      </c>
    </row>
    <row r="4774" spans="1:5">
      <c r="A4774" t="s">
        <v>5133</v>
      </c>
      <c r="B4774" t="s">
        <v>5134</v>
      </c>
      <c r="C4774" s="10">
        <v>6</v>
      </c>
      <c r="D4774" s="10">
        <v>0.7</v>
      </c>
      <c r="E4774" s="10">
        <v>38</v>
      </c>
    </row>
    <row r="4775" spans="1:5">
      <c r="A4775" t="s">
        <v>5135</v>
      </c>
      <c r="B4775" t="s">
        <v>5136</v>
      </c>
      <c r="C4775" s="10">
        <v>6</v>
      </c>
      <c r="D4775" s="10">
        <v>0.7</v>
      </c>
      <c r="E4775" s="10">
        <v>38</v>
      </c>
    </row>
    <row r="4776" spans="1:5">
      <c r="A4776" t="s">
        <v>6553</v>
      </c>
      <c r="B4776" t="s">
        <v>6554</v>
      </c>
      <c r="C4776" s="10">
        <v>24</v>
      </c>
      <c r="D4776" s="10">
        <v>0.05</v>
      </c>
      <c r="E4776" s="10">
        <v>38</v>
      </c>
    </row>
    <row r="4777" spans="1:5">
      <c r="A4777" t="s">
        <v>2421</v>
      </c>
      <c r="B4777" t="s">
        <v>2422</v>
      </c>
      <c r="C4777" s="10">
        <v>6</v>
      </c>
      <c r="D4777" s="10">
        <v>1</v>
      </c>
      <c r="E4777" s="10">
        <v>15</v>
      </c>
    </row>
    <row r="4778" spans="1:5">
      <c r="A4778" t="s">
        <v>5661</v>
      </c>
      <c r="B4778" t="s">
        <v>5662</v>
      </c>
      <c r="C4778" s="10">
        <v>6</v>
      </c>
      <c r="D4778" s="10">
        <v>0.7</v>
      </c>
      <c r="E4778" s="10">
        <v>43</v>
      </c>
    </row>
    <row r="4779" spans="1:5">
      <c r="A4779" t="s">
        <v>10463</v>
      </c>
      <c r="B4779" t="s">
        <v>1622</v>
      </c>
      <c r="C4779" s="10">
        <v>6</v>
      </c>
      <c r="D4779" s="10">
        <v>0.5</v>
      </c>
      <c r="E4779" s="10">
        <v>40</v>
      </c>
    </row>
    <row r="4780" spans="1:5">
      <c r="A4780" t="s">
        <v>5869</v>
      </c>
      <c r="B4780" t="s">
        <v>1622</v>
      </c>
      <c r="C4780" s="10">
        <v>12</v>
      </c>
      <c r="D4780" s="10">
        <v>0.7</v>
      </c>
      <c r="E4780" s="10">
        <v>40</v>
      </c>
    </row>
    <row r="4781" spans="1:5">
      <c r="A4781" t="s">
        <v>6555</v>
      </c>
      <c r="B4781" t="s">
        <v>6556</v>
      </c>
      <c r="C4781" s="10">
        <v>3</v>
      </c>
      <c r="D4781" s="10">
        <v>0.7</v>
      </c>
      <c r="E4781" s="10">
        <v>46</v>
      </c>
    </row>
    <row r="4782" spans="1:5">
      <c r="A4782" t="s">
        <v>2423</v>
      </c>
      <c r="B4782" t="s">
        <v>2424</v>
      </c>
      <c r="C4782" s="10">
        <v>6</v>
      </c>
      <c r="D4782" s="10">
        <v>1</v>
      </c>
      <c r="E4782" s="10">
        <v>38</v>
      </c>
    </row>
    <row r="4783" spans="1:5">
      <c r="A4783" t="s">
        <v>1695</v>
      </c>
      <c r="B4783" t="s">
        <v>1696</v>
      </c>
      <c r="C4783" s="10">
        <v>6</v>
      </c>
      <c r="D4783" s="10">
        <v>375</v>
      </c>
      <c r="E4783" s="10">
        <v>15.15</v>
      </c>
    </row>
    <row r="4784" spans="1:5">
      <c r="A4784" t="s">
        <v>10464</v>
      </c>
      <c r="B4784" t="s">
        <v>9275</v>
      </c>
      <c r="C4784" s="10">
        <v>6</v>
      </c>
      <c r="D4784" s="10">
        <v>0.75</v>
      </c>
      <c r="E4784" s="10">
        <v>17</v>
      </c>
    </row>
    <row r="4785" spans="1:5">
      <c r="A4785" t="s">
        <v>2425</v>
      </c>
      <c r="B4785" t="s">
        <v>2426</v>
      </c>
      <c r="C4785" s="10">
        <v>6</v>
      </c>
      <c r="D4785" s="10">
        <v>1</v>
      </c>
      <c r="E4785" s="10">
        <v>15</v>
      </c>
    </row>
    <row r="4786" spans="1:5">
      <c r="A4786" t="s">
        <v>2427</v>
      </c>
      <c r="B4786" t="s">
        <v>2428</v>
      </c>
      <c r="C4786" s="10">
        <v>6</v>
      </c>
      <c r="D4786" s="10">
        <v>1</v>
      </c>
      <c r="E4786" s="10">
        <v>18</v>
      </c>
    </row>
    <row r="4787" spans="1:5">
      <c r="A4787" t="s">
        <v>2429</v>
      </c>
      <c r="B4787" t="s">
        <v>2430</v>
      </c>
      <c r="C4787" s="10">
        <v>6</v>
      </c>
      <c r="D4787" s="10">
        <v>1</v>
      </c>
      <c r="E4787" s="10">
        <v>18</v>
      </c>
    </row>
    <row r="4788" spans="1:5">
      <c r="A4788" t="s">
        <v>2894</v>
      </c>
      <c r="B4788" t="s">
        <v>2895</v>
      </c>
      <c r="C4788" s="10">
        <v>6</v>
      </c>
      <c r="D4788" s="10">
        <v>0.75</v>
      </c>
      <c r="E4788" s="10">
        <v>20</v>
      </c>
    </row>
    <row r="4789" spans="1:5">
      <c r="A4789" t="s">
        <v>2431</v>
      </c>
      <c r="B4789" t="s">
        <v>2432</v>
      </c>
      <c r="C4789" s="10">
        <v>6</v>
      </c>
      <c r="D4789" s="10">
        <v>1</v>
      </c>
      <c r="E4789" s="10">
        <v>15</v>
      </c>
    </row>
    <row r="4790" spans="1:5">
      <c r="A4790" t="s">
        <v>1389</v>
      </c>
      <c r="B4790" t="s">
        <v>1390</v>
      </c>
      <c r="C4790" s="10">
        <v>6</v>
      </c>
      <c r="D4790" s="10">
        <v>0.7</v>
      </c>
      <c r="E4790" s="10">
        <v>40</v>
      </c>
    </row>
    <row r="4791" spans="1:5">
      <c r="A4791" t="s">
        <v>10465</v>
      </c>
      <c r="B4791" t="s">
        <v>9276</v>
      </c>
      <c r="C4791" s="10">
        <v>6</v>
      </c>
      <c r="D4791" s="10">
        <v>0.7</v>
      </c>
      <c r="E4791" s="10">
        <v>40</v>
      </c>
    </row>
    <row r="4792" spans="1:5">
      <c r="A4792" t="s">
        <v>5870</v>
      </c>
      <c r="B4792" t="s">
        <v>5871</v>
      </c>
      <c r="C4792" s="10">
        <v>12</v>
      </c>
      <c r="D4792" s="10">
        <v>0.35</v>
      </c>
      <c r="E4792" s="10">
        <v>40</v>
      </c>
    </row>
    <row r="4793" spans="1:5">
      <c r="A4793" t="s">
        <v>1531</v>
      </c>
      <c r="B4793" t="s">
        <v>1532</v>
      </c>
      <c r="C4793" s="10">
        <v>6</v>
      </c>
      <c r="D4793" s="10">
        <v>1</v>
      </c>
      <c r="E4793" s="10">
        <v>40</v>
      </c>
    </row>
    <row r="4794" spans="1:5">
      <c r="A4794" t="s">
        <v>10466</v>
      </c>
      <c r="B4794" t="s">
        <v>9277</v>
      </c>
      <c r="C4794" s="10">
        <v>6</v>
      </c>
      <c r="D4794" s="10">
        <v>0.7</v>
      </c>
      <c r="E4794" s="10">
        <v>40</v>
      </c>
    </row>
    <row r="4795" spans="1:5">
      <c r="A4795" t="s">
        <v>5663</v>
      </c>
      <c r="B4795" t="s">
        <v>2434</v>
      </c>
      <c r="C4795" s="10">
        <v>6</v>
      </c>
      <c r="D4795" s="10">
        <v>0.7</v>
      </c>
      <c r="E4795" s="10">
        <v>43</v>
      </c>
    </row>
    <row r="4796" spans="1:5">
      <c r="A4796" t="s">
        <v>2433</v>
      </c>
      <c r="B4796" t="s">
        <v>2434</v>
      </c>
      <c r="C4796" s="10">
        <v>6</v>
      </c>
      <c r="D4796" s="10">
        <v>1</v>
      </c>
      <c r="E4796" s="10">
        <v>43</v>
      </c>
    </row>
    <row r="4797" spans="1:5">
      <c r="A4797" t="s">
        <v>5664</v>
      </c>
      <c r="B4797" t="s">
        <v>5665</v>
      </c>
      <c r="C4797" s="10">
        <v>6</v>
      </c>
      <c r="D4797" s="10">
        <v>0.7</v>
      </c>
      <c r="E4797" s="10">
        <v>43</v>
      </c>
    </row>
    <row r="4798" spans="1:5">
      <c r="A4798" t="s">
        <v>1391</v>
      </c>
      <c r="B4798" t="s">
        <v>1392</v>
      </c>
      <c r="C4798" s="10">
        <v>6</v>
      </c>
      <c r="D4798" s="10">
        <v>0.7</v>
      </c>
      <c r="E4798" s="10">
        <v>40</v>
      </c>
    </row>
    <row r="4799" spans="1:5">
      <c r="A4799" t="s">
        <v>6557</v>
      </c>
      <c r="B4799" t="s">
        <v>6558</v>
      </c>
      <c r="C4799" s="10">
        <v>3</v>
      </c>
      <c r="D4799" s="10">
        <v>0.7</v>
      </c>
      <c r="E4799" s="10">
        <v>45</v>
      </c>
    </row>
    <row r="4800" spans="1:5">
      <c r="A4800" t="s">
        <v>1393</v>
      </c>
      <c r="B4800" t="s">
        <v>1394</v>
      </c>
      <c r="C4800" s="10">
        <v>6</v>
      </c>
      <c r="D4800" s="10">
        <v>0.7</v>
      </c>
      <c r="E4800" s="10">
        <v>40</v>
      </c>
    </row>
    <row r="4801" spans="1:5">
      <c r="A4801" t="s">
        <v>4689</v>
      </c>
      <c r="B4801" t="s">
        <v>4690</v>
      </c>
      <c r="C4801" s="10">
        <v>6</v>
      </c>
      <c r="D4801" s="10">
        <v>0.7</v>
      </c>
      <c r="E4801" s="10">
        <v>32</v>
      </c>
    </row>
    <row r="4802" spans="1:5">
      <c r="A4802" t="s">
        <v>6559</v>
      </c>
      <c r="B4802" t="s">
        <v>6079</v>
      </c>
      <c r="C4802" s="10">
        <v>10</v>
      </c>
      <c r="D4802" s="10">
        <v>0.5</v>
      </c>
      <c r="E4802" s="10">
        <v>38</v>
      </c>
    </row>
    <row r="4803" spans="1:5">
      <c r="A4803" t="s">
        <v>6078</v>
      </c>
      <c r="B4803" t="s">
        <v>6079</v>
      </c>
      <c r="C4803" s="10">
        <v>10</v>
      </c>
      <c r="D4803" s="10">
        <v>0.7</v>
      </c>
      <c r="E4803" s="10">
        <v>40</v>
      </c>
    </row>
    <row r="4804" spans="1:5">
      <c r="A4804" t="s">
        <v>6560</v>
      </c>
      <c r="B4804" t="s">
        <v>6079</v>
      </c>
      <c r="C4804" s="10">
        <v>10</v>
      </c>
      <c r="D4804" s="10">
        <v>0.7</v>
      </c>
      <c r="E4804" s="10">
        <v>38</v>
      </c>
    </row>
    <row r="4805" spans="1:5">
      <c r="A4805" t="s">
        <v>5872</v>
      </c>
      <c r="B4805" t="s">
        <v>1396</v>
      </c>
      <c r="C4805" s="10">
        <v>12</v>
      </c>
      <c r="D4805" s="10">
        <v>0.5</v>
      </c>
      <c r="E4805" s="10">
        <v>40</v>
      </c>
    </row>
    <row r="4806" spans="1:5">
      <c r="A4806" t="s">
        <v>1395</v>
      </c>
      <c r="B4806" t="s">
        <v>1396</v>
      </c>
      <c r="C4806" s="10">
        <v>6</v>
      </c>
      <c r="D4806" s="10">
        <v>0.7</v>
      </c>
      <c r="E4806" s="10">
        <v>40</v>
      </c>
    </row>
    <row r="4807" spans="1:5">
      <c r="A4807" t="s">
        <v>6795</v>
      </c>
      <c r="B4807" t="s">
        <v>6796</v>
      </c>
      <c r="C4807" s="10">
        <v>12</v>
      </c>
      <c r="D4807" s="10">
        <v>0.5</v>
      </c>
      <c r="E4807" s="10">
        <v>30</v>
      </c>
    </row>
    <row r="4808" spans="1:5">
      <c r="A4808" t="s">
        <v>6797</v>
      </c>
      <c r="B4808" t="s">
        <v>6798</v>
      </c>
      <c r="C4808" s="10">
        <v>12</v>
      </c>
      <c r="D4808" s="10">
        <v>0.5</v>
      </c>
      <c r="E4808" s="10">
        <v>30</v>
      </c>
    </row>
    <row r="4809" spans="1:5">
      <c r="A4809" t="s">
        <v>6799</v>
      </c>
      <c r="B4809" t="s">
        <v>4692</v>
      </c>
      <c r="C4809" s="10">
        <v>12</v>
      </c>
      <c r="D4809" s="10">
        <v>0.5</v>
      </c>
      <c r="E4809" s="10">
        <v>34</v>
      </c>
    </row>
    <row r="4810" spans="1:5">
      <c r="A4810" t="s">
        <v>4691</v>
      </c>
      <c r="B4810" t="s">
        <v>4692</v>
      </c>
      <c r="C4810" s="10">
        <v>6</v>
      </c>
      <c r="D4810" s="10">
        <v>0.7</v>
      </c>
      <c r="E4810" s="10">
        <v>34</v>
      </c>
    </row>
    <row r="4811" spans="1:5">
      <c r="A4811" t="s">
        <v>5979</v>
      </c>
      <c r="B4811" t="s">
        <v>4926</v>
      </c>
      <c r="C4811" s="10">
        <v>15</v>
      </c>
      <c r="D4811" s="10">
        <v>0.5</v>
      </c>
      <c r="E4811" s="10">
        <v>40</v>
      </c>
    </row>
    <row r="4812" spans="1:5">
      <c r="A4812" t="s">
        <v>4925</v>
      </c>
      <c r="B4812" t="s">
        <v>4926</v>
      </c>
      <c r="C4812" s="10">
        <v>6</v>
      </c>
      <c r="D4812" s="10">
        <v>0.7</v>
      </c>
      <c r="E4812" s="10">
        <v>37.5</v>
      </c>
    </row>
    <row r="4813" spans="1:5">
      <c r="A4813" t="s">
        <v>1397</v>
      </c>
      <c r="B4813" t="s">
        <v>1398</v>
      </c>
      <c r="C4813" s="10">
        <v>6</v>
      </c>
      <c r="D4813" s="10">
        <v>0.7</v>
      </c>
      <c r="E4813" s="10">
        <v>40</v>
      </c>
    </row>
    <row r="4814" spans="1:5">
      <c r="A4814" t="s">
        <v>1533</v>
      </c>
      <c r="B4814" t="s">
        <v>1398</v>
      </c>
      <c r="C4814" s="10">
        <v>6</v>
      </c>
      <c r="D4814" s="10">
        <v>1</v>
      </c>
      <c r="E4814" s="10">
        <v>40</v>
      </c>
    </row>
    <row r="4815" spans="1:5">
      <c r="A4815" t="s">
        <v>5873</v>
      </c>
      <c r="B4815" t="s">
        <v>5874</v>
      </c>
      <c r="C4815" s="10">
        <v>12</v>
      </c>
      <c r="D4815" s="10">
        <v>0.5</v>
      </c>
      <c r="E4815" s="10">
        <v>40</v>
      </c>
    </row>
    <row r="4816" spans="1:5">
      <c r="A4816" t="s">
        <v>1947</v>
      </c>
      <c r="B4816" t="s">
        <v>1948</v>
      </c>
      <c r="C4816" s="10">
        <v>6</v>
      </c>
      <c r="D4816" s="10">
        <v>0.5</v>
      </c>
      <c r="E4816" s="10">
        <v>38</v>
      </c>
    </row>
    <row r="4817" spans="1:5">
      <c r="A4817" t="s">
        <v>2435</v>
      </c>
      <c r="B4817" t="s">
        <v>1948</v>
      </c>
      <c r="C4817" s="10">
        <v>6</v>
      </c>
      <c r="D4817" s="10">
        <v>1</v>
      </c>
      <c r="E4817" s="10">
        <v>38</v>
      </c>
    </row>
    <row r="4818" spans="1:5">
      <c r="A4818" t="s">
        <v>1949</v>
      </c>
      <c r="B4818" t="s">
        <v>1950</v>
      </c>
      <c r="C4818" s="10">
        <v>6</v>
      </c>
      <c r="D4818" s="10">
        <v>0.5</v>
      </c>
      <c r="E4818" s="10">
        <v>38</v>
      </c>
    </row>
    <row r="4819" spans="1:5">
      <c r="A4819" t="s">
        <v>2436</v>
      </c>
      <c r="B4819" t="s">
        <v>1950</v>
      </c>
      <c r="C4819" s="10">
        <v>6</v>
      </c>
      <c r="D4819" s="10">
        <v>1</v>
      </c>
      <c r="E4819" s="10">
        <v>38</v>
      </c>
    </row>
    <row r="4820" spans="1:5">
      <c r="A4820" t="s">
        <v>1951</v>
      </c>
      <c r="B4820" t="s">
        <v>1952</v>
      </c>
      <c r="C4820" s="10">
        <v>6</v>
      </c>
      <c r="D4820" s="10">
        <v>0.5</v>
      </c>
      <c r="E4820" s="10">
        <v>38</v>
      </c>
    </row>
    <row r="4821" spans="1:5">
      <c r="A4821" t="s">
        <v>2437</v>
      </c>
      <c r="B4821" t="s">
        <v>1952</v>
      </c>
      <c r="C4821" s="10">
        <v>6</v>
      </c>
      <c r="D4821" s="10">
        <v>1</v>
      </c>
      <c r="E4821" s="10">
        <v>38</v>
      </c>
    </row>
    <row r="4822" spans="1:5">
      <c r="A4822" t="s">
        <v>1953</v>
      </c>
      <c r="B4822" t="s">
        <v>1954</v>
      </c>
      <c r="C4822" s="10">
        <v>6</v>
      </c>
      <c r="D4822" s="10">
        <v>0.5</v>
      </c>
      <c r="E4822" s="10">
        <v>38</v>
      </c>
    </row>
    <row r="4823" spans="1:5">
      <c r="A4823" t="s">
        <v>2438</v>
      </c>
      <c r="B4823" t="s">
        <v>1954</v>
      </c>
      <c r="C4823" s="10">
        <v>6</v>
      </c>
      <c r="D4823" s="10">
        <v>1</v>
      </c>
      <c r="E4823" s="10">
        <v>38</v>
      </c>
    </row>
    <row r="4824" spans="1:5">
      <c r="A4824" t="s">
        <v>1955</v>
      </c>
      <c r="B4824" t="s">
        <v>1956</v>
      </c>
      <c r="C4824" s="10">
        <v>6</v>
      </c>
      <c r="D4824" s="10">
        <v>0.5</v>
      </c>
      <c r="E4824" s="10">
        <v>38</v>
      </c>
    </row>
    <row r="4825" spans="1:5">
      <c r="A4825" t="s">
        <v>2439</v>
      </c>
      <c r="B4825" t="s">
        <v>1956</v>
      </c>
      <c r="C4825" s="10">
        <v>6</v>
      </c>
      <c r="D4825" s="10">
        <v>1</v>
      </c>
      <c r="E4825" s="10">
        <v>38</v>
      </c>
    </row>
    <row r="4826" spans="1:5">
      <c r="A4826" t="s">
        <v>4693</v>
      </c>
      <c r="B4826" t="s">
        <v>4694</v>
      </c>
      <c r="C4826" s="10">
        <v>6</v>
      </c>
      <c r="D4826" s="10">
        <v>0.7</v>
      </c>
      <c r="E4826" s="10">
        <v>24</v>
      </c>
    </row>
    <row r="4827" spans="1:5">
      <c r="A4827" t="s">
        <v>4695</v>
      </c>
      <c r="B4827" t="s">
        <v>4696</v>
      </c>
      <c r="C4827" s="10">
        <v>6</v>
      </c>
      <c r="D4827" s="10">
        <v>0.7</v>
      </c>
      <c r="E4827" s="10">
        <v>24</v>
      </c>
    </row>
    <row r="4828" spans="1:5">
      <c r="A4828" t="s">
        <v>4697</v>
      </c>
      <c r="B4828" t="s">
        <v>4698</v>
      </c>
      <c r="C4828" s="10">
        <v>6</v>
      </c>
      <c r="D4828" s="10">
        <v>0.7</v>
      </c>
      <c r="E4828" s="10">
        <v>24</v>
      </c>
    </row>
    <row r="4829" spans="1:5">
      <c r="A4829" t="s">
        <v>4699</v>
      </c>
      <c r="B4829" t="s">
        <v>4700</v>
      </c>
      <c r="C4829" s="10">
        <v>6</v>
      </c>
      <c r="D4829" s="10">
        <v>0.7</v>
      </c>
      <c r="E4829" s="10">
        <v>24</v>
      </c>
    </row>
    <row r="4830" spans="1:5">
      <c r="A4830" t="s">
        <v>2440</v>
      </c>
      <c r="B4830" t="s">
        <v>2441</v>
      </c>
      <c r="C4830" s="10">
        <v>6</v>
      </c>
      <c r="D4830" s="10">
        <v>1</v>
      </c>
      <c r="E4830" s="10">
        <v>44.5</v>
      </c>
    </row>
    <row r="4831" spans="1:5">
      <c r="A4831" t="s">
        <v>4701</v>
      </c>
      <c r="B4831" t="s">
        <v>4702</v>
      </c>
      <c r="C4831" s="10">
        <v>6</v>
      </c>
      <c r="D4831" s="10">
        <v>0.7</v>
      </c>
      <c r="E4831" s="10">
        <v>44</v>
      </c>
    </row>
    <row r="4832" spans="1:5">
      <c r="A4832" t="s">
        <v>4703</v>
      </c>
      <c r="B4832" t="s">
        <v>4704</v>
      </c>
      <c r="C4832" s="10">
        <v>6</v>
      </c>
      <c r="D4832" s="10">
        <v>0.7</v>
      </c>
      <c r="E4832" s="10">
        <v>44.5</v>
      </c>
    </row>
    <row r="4833" spans="1:5">
      <c r="A4833" t="s">
        <v>1399</v>
      </c>
      <c r="B4833" t="s">
        <v>1400</v>
      </c>
      <c r="C4833" s="10">
        <v>6</v>
      </c>
      <c r="D4833" s="10">
        <v>0.7</v>
      </c>
      <c r="E4833" s="10">
        <v>40</v>
      </c>
    </row>
    <row r="4834" spans="1:5">
      <c r="A4834" t="s">
        <v>10467</v>
      </c>
      <c r="B4834" t="s">
        <v>9278</v>
      </c>
      <c r="C4834" s="10">
        <v>6</v>
      </c>
      <c r="D4834" s="10">
        <v>0.7</v>
      </c>
      <c r="E4834" s="10">
        <v>20</v>
      </c>
    </row>
    <row r="4835" spans="1:5">
      <c r="A4835" t="s">
        <v>4705</v>
      </c>
      <c r="B4835" t="s">
        <v>4706</v>
      </c>
      <c r="C4835" s="10">
        <v>6</v>
      </c>
      <c r="D4835" s="10">
        <v>0.7</v>
      </c>
      <c r="E4835" s="10">
        <v>20</v>
      </c>
    </row>
    <row r="4836" spans="1:5">
      <c r="A4836" t="s">
        <v>1623</v>
      </c>
      <c r="B4836" t="s">
        <v>1624</v>
      </c>
      <c r="C4836" s="10">
        <v>6</v>
      </c>
      <c r="D4836" s="10">
        <v>0.5</v>
      </c>
      <c r="E4836" s="10">
        <v>40</v>
      </c>
    </row>
    <row r="4837" spans="1:5">
      <c r="A4837" t="s">
        <v>4707</v>
      </c>
      <c r="B4837" t="s">
        <v>4708</v>
      </c>
      <c r="C4837" s="10">
        <v>6</v>
      </c>
      <c r="D4837" s="10">
        <v>0.7</v>
      </c>
      <c r="E4837" s="10">
        <v>24</v>
      </c>
    </row>
    <row r="4838" spans="1:5">
      <c r="A4838" t="s">
        <v>1957</v>
      </c>
      <c r="B4838" t="s">
        <v>1958</v>
      </c>
      <c r="C4838" s="10">
        <v>6</v>
      </c>
      <c r="D4838" s="10">
        <v>0.5</v>
      </c>
      <c r="E4838" s="10">
        <v>35</v>
      </c>
    </row>
    <row r="4839" spans="1:5">
      <c r="A4839" t="s">
        <v>2442</v>
      </c>
      <c r="B4839" t="s">
        <v>1958</v>
      </c>
      <c r="C4839" s="10">
        <v>6</v>
      </c>
      <c r="D4839" s="10">
        <v>1</v>
      </c>
      <c r="E4839" s="10">
        <v>35</v>
      </c>
    </row>
    <row r="4840" spans="1:5">
      <c r="A4840" t="s">
        <v>4709</v>
      </c>
      <c r="B4840" t="s">
        <v>4710</v>
      </c>
      <c r="C4840" s="10">
        <v>6</v>
      </c>
      <c r="D4840" s="10">
        <v>0.7</v>
      </c>
      <c r="E4840" s="10">
        <v>22</v>
      </c>
    </row>
    <row r="4841" spans="1:5">
      <c r="A4841" t="s">
        <v>1401</v>
      </c>
      <c r="B4841" t="s">
        <v>1402</v>
      </c>
      <c r="C4841" s="10">
        <v>6</v>
      </c>
      <c r="D4841" s="10">
        <v>0.7</v>
      </c>
      <c r="E4841" s="10">
        <v>40</v>
      </c>
    </row>
    <row r="4842" spans="1:5">
      <c r="A4842" t="s">
        <v>4711</v>
      </c>
      <c r="B4842" t="s">
        <v>4712</v>
      </c>
      <c r="C4842" s="10">
        <v>6</v>
      </c>
      <c r="D4842" s="10">
        <v>0.7</v>
      </c>
      <c r="E4842" s="10">
        <v>22</v>
      </c>
    </row>
    <row r="4843" spans="1:5">
      <c r="A4843" t="s">
        <v>1959</v>
      </c>
      <c r="B4843" t="s">
        <v>1960</v>
      </c>
      <c r="C4843" s="10">
        <v>6</v>
      </c>
      <c r="D4843" s="10">
        <v>0.5</v>
      </c>
      <c r="E4843" s="10">
        <v>38</v>
      </c>
    </row>
    <row r="4844" spans="1:5">
      <c r="A4844" t="s">
        <v>2443</v>
      </c>
      <c r="B4844" t="s">
        <v>1960</v>
      </c>
      <c r="C4844" s="10">
        <v>6</v>
      </c>
      <c r="D4844" s="10">
        <v>1</v>
      </c>
      <c r="E4844" s="10">
        <v>38</v>
      </c>
    </row>
    <row r="4845" spans="1:5">
      <c r="A4845" t="s">
        <v>4713</v>
      </c>
      <c r="B4845" t="s">
        <v>4714</v>
      </c>
      <c r="C4845" s="10">
        <v>6</v>
      </c>
      <c r="D4845" s="10">
        <v>0.7</v>
      </c>
      <c r="E4845" s="10">
        <v>28</v>
      </c>
    </row>
    <row r="4846" spans="1:5">
      <c r="A4846" t="s">
        <v>2444</v>
      </c>
      <c r="B4846" t="s">
        <v>2445</v>
      </c>
      <c r="C4846" s="10">
        <v>6</v>
      </c>
      <c r="D4846" s="10">
        <v>1</v>
      </c>
      <c r="E4846" s="10">
        <v>35</v>
      </c>
    </row>
    <row r="4847" spans="1:5">
      <c r="A4847" t="s">
        <v>4715</v>
      </c>
      <c r="B4847" t="s">
        <v>4716</v>
      </c>
      <c r="C4847" s="10">
        <v>6</v>
      </c>
      <c r="D4847" s="10">
        <v>0.7</v>
      </c>
      <c r="E4847" s="10">
        <v>22</v>
      </c>
    </row>
    <row r="4848" spans="1:5">
      <c r="A4848" t="s">
        <v>2446</v>
      </c>
      <c r="B4848" t="s">
        <v>2447</v>
      </c>
      <c r="C4848" s="10">
        <v>6</v>
      </c>
      <c r="D4848" s="10">
        <v>1</v>
      </c>
      <c r="E4848" s="10">
        <v>35</v>
      </c>
    </row>
    <row r="4849" spans="1:5">
      <c r="A4849" t="s">
        <v>4717</v>
      </c>
      <c r="B4849" t="s">
        <v>4718</v>
      </c>
      <c r="C4849" s="10">
        <v>6</v>
      </c>
      <c r="D4849" s="10">
        <v>0.7</v>
      </c>
      <c r="E4849" s="10">
        <v>14</v>
      </c>
    </row>
    <row r="4850" spans="1:5">
      <c r="A4850" t="s">
        <v>1961</v>
      </c>
      <c r="B4850" t="s">
        <v>1962</v>
      </c>
      <c r="C4850" s="10">
        <v>6</v>
      </c>
      <c r="D4850" s="10">
        <v>0.5</v>
      </c>
      <c r="E4850" s="10">
        <v>14</v>
      </c>
    </row>
    <row r="4851" spans="1:5">
      <c r="A4851" t="s">
        <v>5980</v>
      </c>
      <c r="B4851" t="s">
        <v>5768</v>
      </c>
      <c r="C4851" s="10">
        <v>60</v>
      </c>
      <c r="D4851" s="10">
        <v>0.1</v>
      </c>
      <c r="E4851" s="10">
        <v>40</v>
      </c>
    </row>
    <row r="4852" spans="1:5">
      <c r="A4852" t="s">
        <v>5981</v>
      </c>
      <c r="B4852" t="s">
        <v>5768</v>
      </c>
      <c r="C4852" s="10">
        <v>20</v>
      </c>
      <c r="D4852" s="10">
        <v>0.2</v>
      </c>
      <c r="E4852" s="10">
        <v>40</v>
      </c>
    </row>
    <row r="4853" spans="1:5">
      <c r="A4853" t="s">
        <v>5875</v>
      </c>
      <c r="B4853" t="s">
        <v>5768</v>
      </c>
      <c r="C4853" s="10">
        <v>12</v>
      </c>
      <c r="D4853" s="10">
        <v>0.7</v>
      </c>
      <c r="E4853" s="10">
        <v>40</v>
      </c>
    </row>
    <row r="4854" spans="1:5">
      <c r="A4854" t="s">
        <v>5767</v>
      </c>
      <c r="B4854" t="s">
        <v>5768</v>
      </c>
      <c r="C4854" s="10">
        <v>12</v>
      </c>
      <c r="D4854" s="10">
        <v>1</v>
      </c>
      <c r="E4854" s="10">
        <v>40</v>
      </c>
    </row>
    <row r="4855" spans="1:5">
      <c r="A4855" t="s">
        <v>7701</v>
      </c>
      <c r="B4855" t="s">
        <v>7702</v>
      </c>
      <c r="C4855" s="10">
        <v>6</v>
      </c>
      <c r="D4855" s="10">
        <v>0.7</v>
      </c>
      <c r="E4855" s="10">
        <v>43</v>
      </c>
    </row>
    <row r="4856" spans="1:5">
      <c r="A4856" t="s">
        <v>7971</v>
      </c>
      <c r="B4856" t="s">
        <v>9279</v>
      </c>
      <c r="C4856" s="10">
        <v>12</v>
      </c>
      <c r="D4856" s="10">
        <v>1</v>
      </c>
      <c r="E4856" s="10">
        <v>38</v>
      </c>
    </row>
    <row r="4857" spans="1:5">
      <c r="A4857" t="s">
        <v>10468</v>
      </c>
      <c r="B4857" t="s">
        <v>9280</v>
      </c>
      <c r="C4857" s="10">
        <v>6</v>
      </c>
      <c r="D4857" s="10">
        <v>0.7</v>
      </c>
      <c r="E4857" s="10">
        <v>40</v>
      </c>
    </row>
    <row r="4858" spans="1:5">
      <c r="A4858" t="s">
        <v>7705</v>
      </c>
      <c r="B4858" t="s">
        <v>7706</v>
      </c>
      <c r="C4858" s="10">
        <v>6</v>
      </c>
      <c r="D4858" s="10">
        <v>0.7</v>
      </c>
      <c r="E4858" s="10">
        <v>43</v>
      </c>
    </row>
    <row r="4859" spans="1:5">
      <c r="A4859" t="s">
        <v>6972</v>
      </c>
      <c r="B4859" t="s">
        <v>6973</v>
      </c>
      <c r="C4859" s="10">
        <v>6</v>
      </c>
      <c r="D4859" s="10">
        <v>0.7</v>
      </c>
      <c r="E4859" s="10">
        <v>40</v>
      </c>
    </row>
    <row r="4860" spans="1:5">
      <c r="A4860" t="s">
        <v>6974</v>
      </c>
      <c r="B4860" t="s">
        <v>6975</v>
      </c>
      <c r="C4860" s="10">
        <v>6</v>
      </c>
      <c r="D4860" s="10">
        <v>0.7</v>
      </c>
      <c r="E4860" s="10">
        <v>40</v>
      </c>
    </row>
    <row r="4861" spans="1:5">
      <c r="A4861" t="s">
        <v>7196</v>
      </c>
      <c r="B4861" t="s">
        <v>7197</v>
      </c>
      <c r="C4861" s="10">
        <v>6</v>
      </c>
      <c r="D4861" s="10">
        <v>1.5</v>
      </c>
      <c r="E4861" s="10">
        <v>40</v>
      </c>
    </row>
    <row r="4862" spans="1:5">
      <c r="A4862" t="s">
        <v>6976</v>
      </c>
      <c r="B4862" t="s">
        <v>6977</v>
      </c>
      <c r="C4862" s="10">
        <v>6</v>
      </c>
      <c r="D4862" s="10">
        <v>0.7</v>
      </c>
      <c r="E4862" s="10">
        <v>40</v>
      </c>
    </row>
    <row r="4863" spans="1:5">
      <c r="A4863" t="s">
        <v>7198</v>
      </c>
      <c r="B4863" t="s">
        <v>7199</v>
      </c>
      <c r="C4863" s="10">
        <v>6</v>
      </c>
      <c r="D4863" s="10">
        <v>1.5</v>
      </c>
      <c r="E4863" s="10">
        <v>40</v>
      </c>
    </row>
    <row r="4864" spans="1:5">
      <c r="A4864" t="s">
        <v>7202</v>
      </c>
      <c r="B4864" t="s">
        <v>7203</v>
      </c>
      <c r="C4864" s="10">
        <v>6</v>
      </c>
      <c r="D4864" s="10">
        <v>0.5</v>
      </c>
      <c r="E4864" s="10">
        <v>40</v>
      </c>
    </row>
    <row r="4865" spans="1:5">
      <c r="A4865" t="s">
        <v>7263</v>
      </c>
      <c r="B4865" t="s">
        <v>1966</v>
      </c>
      <c r="C4865" s="10">
        <v>6</v>
      </c>
      <c r="D4865" s="10">
        <v>1</v>
      </c>
      <c r="E4865" s="10">
        <v>17</v>
      </c>
    </row>
    <row r="4866" spans="1:5">
      <c r="A4866" t="s">
        <v>7410</v>
      </c>
      <c r="B4866" t="s">
        <v>7411</v>
      </c>
      <c r="C4866" s="10">
        <v>6</v>
      </c>
      <c r="D4866" s="10">
        <v>0.7</v>
      </c>
      <c r="E4866" s="10">
        <v>62.8</v>
      </c>
    </row>
    <row r="4867" spans="1:5">
      <c r="A4867" t="s">
        <v>7707</v>
      </c>
      <c r="B4867" t="s">
        <v>5329</v>
      </c>
      <c r="C4867" s="10">
        <v>6</v>
      </c>
      <c r="D4867" s="10">
        <v>0.7</v>
      </c>
      <c r="E4867" s="10">
        <v>43</v>
      </c>
    </row>
    <row r="4868" spans="1:5">
      <c r="A4868" t="s">
        <v>7654</v>
      </c>
      <c r="B4868" t="s">
        <v>7655</v>
      </c>
      <c r="C4868" s="10">
        <v>6</v>
      </c>
      <c r="D4868" s="10">
        <v>0.7</v>
      </c>
      <c r="E4868" s="10">
        <v>46</v>
      </c>
    </row>
    <row r="4869" spans="1:5">
      <c r="A4869" t="s">
        <v>7710</v>
      </c>
      <c r="B4869" t="s">
        <v>7711</v>
      </c>
      <c r="C4869" s="10">
        <v>6</v>
      </c>
      <c r="D4869" s="10">
        <v>0.7</v>
      </c>
      <c r="E4869" s="10">
        <v>43</v>
      </c>
    </row>
    <row r="4870" spans="1:5">
      <c r="A4870" t="s">
        <v>10469</v>
      </c>
      <c r="B4870" t="s">
        <v>9281</v>
      </c>
      <c r="C4870" s="10">
        <v>6</v>
      </c>
      <c r="D4870" s="10">
        <v>0.75</v>
      </c>
      <c r="E4870" s="10">
        <v>13</v>
      </c>
    </row>
    <row r="4871" spans="1:5">
      <c r="A4871" t="s">
        <v>7656</v>
      </c>
      <c r="B4871" t="s">
        <v>7657</v>
      </c>
      <c r="C4871" s="10">
        <v>6</v>
      </c>
      <c r="D4871" s="10">
        <v>0.7</v>
      </c>
      <c r="E4871" s="10">
        <v>46</v>
      </c>
    </row>
    <row r="4872" spans="1:5">
      <c r="A4872" t="s">
        <v>7658</v>
      </c>
      <c r="B4872" t="s">
        <v>7659</v>
      </c>
      <c r="C4872" s="10">
        <v>6</v>
      </c>
      <c r="D4872" s="10">
        <v>0.7</v>
      </c>
      <c r="E4872" s="10">
        <v>46</v>
      </c>
    </row>
    <row r="4873" spans="1:5">
      <c r="A4873" t="s">
        <v>7414</v>
      </c>
      <c r="B4873" t="s">
        <v>1979</v>
      </c>
      <c r="C4873" s="10">
        <v>6</v>
      </c>
      <c r="D4873" s="10">
        <v>0.7</v>
      </c>
      <c r="E4873" s="10">
        <v>46.6</v>
      </c>
    </row>
    <row r="4874" spans="1:5">
      <c r="A4874" t="s">
        <v>10470</v>
      </c>
      <c r="B4874" t="s">
        <v>9282</v>
      </c>
      <c r="C4874" s="10">
        <v>6</v>
      </c>
      <c r="D4874" s="10">
        <v>0.7</v>
      </c>
      <c r="E4874" s="10">
        <v>50.9</v>
      </c>
    </row>
    <row r="4875" spans="1:5">
      <c r="A4875" t="s">
        <v>7370</v>
      </c>
      <c r="B4875" t="s">
        <v>3123</v>
      </c>
      <c r="C4875" s="10">
        <v>6</v>
      </c>
      <c r="D4875" s="10">
        <v>0.75</v>
      </c>
      <c r="E4875" s="10">
        <v>12.5</v>
      </c>
    </row>
    <row r="4876" spans="1:5">
      <c r="A4876" t="s">
        <v>7419</v>
      </c>
      <c r="B4876" t="s">
        <v>7420</v>
      </c>
      <c r="C4876" s="10">
        <v>6</v>
      </c>
      <c r="D4876" s="10">
        <v>0.7</v>
      </c>
      <c r="E4876" s="10">
        <v>35.200000000000003</v>
      </c>
    </row>
    <row r="4877" spans="1:5">
      <c r="A4877" t="s">
        <v>10471</v>
      </c>
      <c r="B4877" t="s">
        <v>9283</v>
      </c>
      <c r="C4877" s="10">
        <v>6</v>
      </c>
      <c r="D4877" s="10">
        <v>0.75</v>
      </c>
      <c r="E4877" s="10">
        <v>12</v>
      </c>
    </row>
    <row r="4878" spans="1:5">
      <c r="A4878" t="s">
        <v>10472</v>
      </c>
      <c r="B4878" t="s">
        <v>8367</v>
      </c>
      <c r="C4878" s="10">
        <v>6</v>
      </c>
      <c r="D4878" s="10">
        <v>0.75</v>
      </c>
      <c r="E4878" s="10">
        <v>12</v>
      </c>
    </row>
    <row r="4879" spans="1:5">
      <c r="A4879" t="s">
        <v>7163</v>
      </c>
      <c r="B4879" t="s">
        <v>7164</v>
      </c>
      <c r="C4879" s="10">
        <v>6</v>
      </c>
      <c r="D4879" s="10">
        <v>1</v>
      </c>
      <c r="E4879" s="10">
        <v>40</v>
      </c>
    </row>
    <row r="4880" spans="1:5">
      <c r="A4880" t="s">
        <v>10473</v>
      </c>
      <c r="B4880" t="s">
        <v>9284</v>
      </c>
      <c r="C4880" s="10">
        <v>12</v>
      </c>
      <c r="D4880" s="10">
        <v>0.25</v>
      </c>
      <c r="E4880" s="10">
        <v>5</v>
      </c>
    </row>
    <row r="4881" spans="1:5">
      <c r="A4881" t="s">
        <v>7423</v>
      </c>
      <c r="B4881" t="s">
        <v>7424</v>
      </c>
      <c r="C4881" s="10">
        <v>6</v>
      </c>
      <c r="D4881" s="10">
        <v>0.7</v>
      </c>
      <c r="E4881" s="10">
        <v>45</v>
      </c>
    </row>
    <row r="4882" spans="1:5">
      <c r="A4882" t="s">
        <v>7666</v>
      </c>
      <c r="B4882" t="s">
        <v>7667</v>
      </c>
      <c r="C4882" s="10">
        <v>6</v>
      </c>
      <c r="D4882" s="10">
        <v>0.7</v>
      </c>
      <c r="E4882" s="10">
        <v>46</v>
      </c>
    </row>
    <row r="4883" spans="1:5">
      <c r="A4883" t="s">
        <v>10474</v>
      </c>
      <c r="B4883" t="s">
        <v>6991</v>
      </c>
      <c r="C4883" s="10">
        <v>6</v>
      </c>
      <c r="D4883" s="10">
        <v>0.7</v>
      </c>
      <c r="E4883" s="10">
        <v>43</v>
      </c>
    </row>
    <row r="4884" spans="1:5">
      <c r="A4884" t="s">
        <v>10475</v>
      </c>
      <c r="B4884" t="s">
        <v>9285</v>
      </c>
      <c r="C4884" s="10">
        <v>6</v>
      </c>
      <c r="D4884" s="10">
        <v>0.7</v>
      </c>
      <c r="E4884" s="10">
        <v>47.5</v>
      </c>
    </row>
    <row r="4885" spans="1:5">
      <c r="A4885" t="s">
        <v>7807</v>
      </c>
      <c r="B4885" t="s">
        <v>7808</v>
      </c>
      <c r="C4885" s="10">
        <v>3</v>
      </c>
      <c r="D4885" s="10">
        <v>0.7</v>
      </c>
      <c r="E4885" s="10">
        <v>40</v>
      </c>
    </row>
    <row r="4886" spans="1:5">
      <c r="A4886" t="s">
        <v>6993</v>
      </c>
      <c r="B4886" t="s">
        <v>182</v>
      </c>
      <c r="C4886" s="10">
        <v>6</v>
      </c>
      <c r="D4886" s="10">
        <v>0.7</v>
      </c>
      <c r="E4886" s="10">
        <v>40</v>
      </c>
    </row>
    <row r="4887" spans="1:5">
      <c r="A4887" t="s">
        <v>10476</v>
      </c>
      <c r="B4887" t="s">
        <v>182</v>
      </c>
      <c r="C4887" s="10">
        <v>6</v>
      </c>
      <c r="D4887" s="10">
        <v>1</v>
      </c>
      <c r="E4887" s="10">
        <v>40</v>
      </c>
    </row>
    <row r="4888" spans="1:5">
      <c r="A4888" t="s">
        <v>7166</v>
      </c>
      <c r="B4888" t="s">
        <v>182</v>
      </c>
      <c r="C4888" s="10">
        <v>6</v>
      </c>
      <c r="D4888" s="10">
        <v>1</v>
      </c>
      <c r="E4888" s="10">
        <v>40</v>
      </c>
    </row>
    <row r="4889" spans="1:5">
      <c r="A4889" t="s">
        <v>10477</v>
      </c>
      <c r="B4889" t="s">
        <v>9286</v>
      </c>
      <c r="C4889" s="10">
        <v>6</v>
      </c>
      <c r="D4889" s="10">
        <v>0.7</v>
      </c>
      <c r="E4889" s="10">
        <v>48.9</v>
      </c>
    </row>
    <row r="4890" spans="1:5">
      <c r="A4890" t="s">
        <v>7668</v>
      </c>
      <c r="B4890" t="s">
        <v>7669</v>
      </c>
      <c r="C4890" s="10">
        <v>6</v>
      </c>
      <c r="D4890" s="10">
        <v>0.7</v>
      </c>
      <c r="E4890" s="10">
        <v>46</v>
      </c>
    </row>
    <row r="4891" spans="1:5">
      <c r="A4891" t="s">
        <v>7670</v>
      </c>
      <c r="B4891" t="s">
        <v>7671</v>
      </c>
      <c r="C4891" s="10">
        <v>6</v>
      </c>
      <c r="D4891" s="10">
        <v>0.7</v>
      </c>
      <c r="E4891" s="10">
        <v>46</v>
      </c>
    </row>
    <row r="4892" spans="1:5">
      <c r="A4892" t="s">
        <v>10478</v>
      </c>
      <c r="B4892" t="s">
        <v>9287</v>
      </c>
      <c r="C4892" s="10">
        <v>6</v>
      </c>
      <c r="D4892" s="10">
        <v>0.7</v>
      </c>
      <c r="E4892" s="10">
        <v>46</v>
      </c>
    </row>
    <row r="4893" spans="1:5">
      <c r="A4893" t="s">
        <v>7227</v>
      </c>
      <c r="B4893" t="s">
        <v>7228</v>
      </c>
      <c r="C4893" s="10">
        <v>6</v>
      </c>
      <c r="D4893" s="10">
        <v>0.5</v>
      </c>
      <c r="E4893" s="10">
        <v>30</v>
      </c>
    </row>
    <row r="4894" spans="1:5">
      <c r="A4894" t="s">
        <v>7747</v>
      </c>
      <c r="B4894" t="s">
        <v>5681</v>
      </c>
      <c r="C4894" s="10">
        <v>12</v>
      </c>
      <c r="D4894" s="10">
        <v>1</v>
      </c>
      <c r="E4894" s="10">
        <v>40</v>
      </c>
    </row>
    <row r="4895" spans="1:5">
      <c r="A4895" t="s">
        <v>7433</v>
      </c>
      <c r="B4895" t="s">
        <v>7434</v>
      </c>
      <c r="C4895" s="10">
        <v>6</v>
      </c>
      <c r="D4895" s="10">
        <v>0.7</v>
      </c>
      <c r="E4895" s="10">
        <v>51.5</v>
      </c>
    </row>
    <row r="4896" spans="1:5">
      <c r="A4896" t="s">
        <v>10479</v>
      </c>
      <c r="B4896" t="s">
        <v>7436</v>
      </c>
      <c r="C4896" s="10">
        <v>6</v>
      </c>
      <c r="D4896" s="10">
        <v>0.7</v>
      </c>
      <c r="E4896" s="10">
        <v>63.3</v>
      </c>
    </row>
    <row r="4897" spans="1:5">
      <c r="A4897" t="s">
        <v>6996</v>
      </c>
      <c r="B4897" t="s">
        <v>6997</v>
      </c>
      <c r="C4897" s="10">
        <v>6</v>
      </c>
      <c r="D4897" s="10">
        <v>0.7</v>
      </c>
      <c r="E4897" s="10">
        <v>40</v>
      </c>
    </row>
    <row r="4898" spans="1:5">
      <c r="A4898" t="s">
        <v>7169</v>
      </c>
      <c r="B4898" t="s">
        <v>7170</v>
      </c>
      <c r="C4898" s="10">
        <v>6</v>
      </c>
      <c r="D4898" s="10">
        <v>1</v>
      </c>
      <c r="E4898" s="10">
        <v>40</v>
      </c>
    </row>
    <row r="4899" spans="1:5">
      <c r="A4899" t="s">
        <v>7438</v>
      </c>
      <c r="B4899" t="s">
        <v>3456</v>
      </c>
      <c r="C4899" s="10">
        <v>6</v>
      </c>
      <c r="D4899" s="10">
        <v>0.7</v>
      </c>
      <c r="E4899" s="10">
        <v>47</v>
      </c>
    </row>
    <row r="4900" spans="1:5">
      <c r="A4900" t="s">
        <v>10480</v>
      </c>
      <c r="B4900" t="s">
        <v>9288</v>
      </c>
      <c r="C4900" s="10">
        <v>6</v>
      </c>
      <c r="D4900" s="10">
        <v>0.75</v>
      </c>
      <c r="E4900" s="10">
        <v>12</v>
      </c>
    </row>
    <row r="4901" spans="1:5">
      <c r="A4901" t="s">
        <v>7439</v>
      </c>
      <c r="B4901" t="s">
        <v>7440</v>
      </c>
      <c r="C4901" s="10">
        <v>6</v>
      </c>
      <c r="D4901" s="10">
        <v>0.7</v>
      </c>
      <c r="E4901" s="10">
        <v>17</v>
      </c>
    </row>
    <row r="4902" spans="1:5">
      <c r="A4902" t="s">
        <v>10481</v>
      </c>
      <c r="B4902" t="s">
        <v>9289</v>
      </c>
      <c r="C4902" s="10">
        <v>6</v>
      </c>
      <c r="D4902" s="10">
        <v>0.7</v>
      </c>
      <c r="E4902" s="10">
        <v>17</v>
      </c>
    </row>
    <row r="4903" spans="1:5">
      <c r="A4903" t="s">
        <v>10482</v>
      </c>
      <c r="B4903" t="s">
        <v>9290</v>
      </c>
      <c r="C4903" s="10">
        <v>6</v>
      </c>
      <c r="D4903" s="10">
        <v>0.7</v>
      </c>
      <c r="E4903" s="10">
        <v>17</v>
      </c>
    </row>
    <row r="4904" spans="1:5">
      <c r="A4904" t="s">
        <v>10483</v>
      </c>
      <c r="B4904" t="s">
        <v>9291</v>
      </c>
      <c r="C4904" s="10">
        <v>6</v>
      </c>
      <c r="D4904" s="10">
        <v>1</v>
      </c>
      <c r="E4904" s="10">
        <v>41</v>
      </c>
    </row>
    <row r="4905" spans="1:5">
      <c r="A4905" t="s">
        <v>6998</v>
      </c>
      <c r="B4905" t="s">
        <v>6999</v>
      </c>
      <c r="C4905" s="10">
        <v>6</v>
      </c>
      <c r="D4905" s="10">
        <v>0.7</v>
      </c>
      <c r="E4905" s="10">
        <v>40</v>
      </c>
    </row>
    <row r="4906" spans="1:5">
      <c r="A4906" t="s">
        <v>7000</v>
      </c>
      <c r="B4906" t="s">
        <v>7001</v>
      </c>
      <c r="C4906" s="10">
        <v>6</v>
      </c>
      <c r="D4906" s="10">
        <v>0.7</v>
      </c>
      <c r="E4906" s="10">
        <v>40</v>
      </c>
    </row>
    <row r="4907" spans="1:5">
      <c r="A4907" t="s">
        <v>7292</v>
      </c>
      <c r="B4907" t="s">
        <v>7293</v>
      </c>
      <c r="C4907" s="10">
        <v>6</v>
      </c>
      <c r="D4907" s="10">
        <v>0.75</v>
      </c>
      <c r="E4907" s="10">
        <v>11</v>
      </c>
    </row>
    <row r="4908" spans="1:5">
      <c r="A4908" t="s">
        <v>10484</v>
      </c>
      <c r="B4908" t="s">
        <v>8451</v>
      </c>
      <c r="C4908" s="10">
        <v>6</v>
      </c>
      <c r="D4908" s="10">
        <v>0.7</v>
      </c>
      <c r="E4908" s="10">
        <v>51</v>
      </c>
    </row>
    <row r="4909" spans="1:5">
      <c r="A4909" t="s">
        <v>7842</v>
      </c>
      <c r="B4909" t="s">
        <v>7843</v>
      </c>
      <c r="C4909" s="10">
        <v>3</v>
      </c>
      <c r="D4909" s="10">
        <v>0.7</v>
      </c>
      <c r="E4909" s="10">
        <v>53.7</v>
      </c>
    </row>
    <row r="4910" spans="1:5">
      <c r="A4910" t="s">
        <v>7005</v>
      </c>
      <c r="B4910" t="s">
        <v>7004</v>
      </c>
      <c r="C4910" s="10">
        <v>6</v>
      </c>
      <c r="D4910" s="10">
        <v>0.7</v>
      </c>
      <c r="E4910" s="10">
        <v>40</v>
      </c>
    </row>
    <row r="4911" spans="1:5">
      <c r="A4911" t="s">
        <v>7451</v>
      </c>
      <c r="B4911" t="s">
        <v>7452</v>
      </c>
      <c r="C4911" s="10">
        <v>6</v>
      </c>
      <c r="D4911" s="10">
        <v>0.7</v>
      </c>
      <c r="E4911" s="10">
        <v>0</v>
      </c>
    </row>
    <row r="4912" spans="1:5">
      <c r="A4912" t="s">
        <v>10485</v>
      </c>
      <c r="B4912" t="s">
        <v>6120</v>
      </c>
      <c r="C4912" s="10">
        <v>24</v>
      </c>
      <c r="D4912" s="10">
        <v>0.33</v>
      </c>
      <c r="E4912" s="10">
        <v>5</v>
      </c>
    </row>
    <row r="4913" spans="1:5">
      <c r="A4913" t="s">
        <v>10486</v>
      </c>
      <c r="B4913" t="s">
        <v>6120</v>
      </c>
      <c r="C4913" s="10">
        <v>24</v>
      </c>
      <c r="D4913" s="10">
        <v>0.33</v>
      </c>
      <c r="E4913" s="10">
        <v>5</v>
      </c>
    </row>
    <row r="4914" spans="1:5">
      <c r="A4914" t="s">
        <v>7455</v>
      </c>
      <c r="B4914" t="s">
        <v>7456</v>
      </c>
      <c r="C4914" s="10">
        <v>6</v>
      </c>
      <c r="D4914" s="10">
        <v>0.7</v>
      </c>
      <c r="E4914" s="10">
        <v>45.6</v>
      </c>
    </row>
    <row r="4915" spans="1:5">
      <c r="A4915" t="s">
        <v>10487</v>
      </c>
      <c r="B4915" t="s">
        <v>9292</v>
      </c>
      <c r="C4915" s="10">
        <v>6</v>
      </c>
      <c r="D4915" s="10">
        <v>0.7</v>
      </c>
      <c r="E4915" s="10">
        <v>40</v>
      </c>
    </row>
    <row r="4916" spans="1:5">
      <c r="A4916" t="s">
        <v>7272</v>
      </c>
      <c r="B4916" t="s">
        <v>7273</v>
      </c>
      <c r="C4916" s="10">
        <v>6</v>
      </c>
      <c r="D4916" s="10">
        <v>1</v>
      </c>
      <c r="E4916" s="10">
        <v>46</v>
      </c>
    </row>
    <row r="4917" spans="1:5">
      <c r="A4917" t="s">
        <v>10488</v>
      </c>
      <c r="B4917" t="s">
        <v>298</v>
      </c>
      <c r="C4917" s="10">
        <v>6</v>
      </c>
      <c r="D4917" s="10">
        <v>0.7</v>
      </c>
      <c r="E4917" s="10">
        <v>40</v>
      </c>
    </row>
    <row r="4918" spans="1:5">
      <c r="A4918" t="s">
        <v>7295</v>
      </c>
      <c r="B4918" t="s">
        <v>2500</v>
      </c>
      <c r="C4918" s="10">
        <v>6</v>
      </c>
      <c r="D4918" s="10">
        <v>0.75</v>
      </c>
      <c r="E4918" s="10">
        <v>8.5</v>
      </c>
    </row>
    <row r="4919" spans="1:5">
      <c r="A4919" t="s">
        <v>10489</v>
      </c>
      <c r="B4919" t="s">
        <v>9293</v>
      </c>
      <c r="C4919" s="10">
        <v>6</v>
      </c>
      <c r="D4919" s="10">
        <v>0.7</v>
      </c>
      <c r="E4919" s="10">
        <v>43</v>
      </c>
    </row>
    <row r="4920" spans="1:5">
      <c r="A4920" t="s">
        <v>10490</v>
      </c>
      <c r="B4920" t="s">
        <v>9294</v>
      </c>
      <c r="C4920" s="10">
        <v>6</v>
      </c>
      <c r="D4920" s="10">
        <v>0.7</v>
      </c>
      <c r="E4920" s="10">
        <v>58</v>
      </c>
    </row>
    <row r="4921" spans="1:5">
      <c r="A4921" t="s">
        <v>7012</v>
      </c>
      <c r="B4921" t="s">
        <v>7013</v>
      </c>
      <c r="C4921" s="10">
        <v>6</v>
      </c>
      <c r="D4921" s="10">
        <v>0.7</v>
      </c>
      <c r="E4921" s="10">
        <v>40</v>
      </c>
    </row>
    <row r="4922" spans="1:5">
      <c r="A4922" t="s">
        <v>7371</v>
      </c>
      <c r="B4922" t="s">
        <v>7372</v>
      </c>
      <c r="C4922" s="10">
        <v>6</v>
      </c>
      <c r="D4922" s="10">
        <v>0.75</v>
      </c>
      <c r="E4922" s="10">
        <v>12.5</v>
      </c>
    </row>
    <row r="4923" spans="1:5">
      <c r="A4923" t="s">
        <v>10491</v>
      </c>
      <c r="B4923" t="s">
        <v>9295</v>
      </c>
      <c r="C4923" s="10">
        <v>6</v>
      </c>
      <c r="D4923" s="10">
        <v>0.7</v>
      </c>
      <c r="E4923" s="10">
        <v>40</v>
      </c>
    </row>
    <row r="4924" spans="1:5">
      <c r="A4924" t="s">
        <v>10492</v>
      </c>
      <c r="B4924" t="s">
        <v>389</v>
      </c>
      <c r="C4924" s="10">
        <v>3</v>
      </c>
      <c r="D4924" s="10">
        <v>0.7</v>
      </c>
      <c r="E4924" s="10">
        <v>40</v>
      </c>
    </row>
    <row r="4925" spans="1:5">
      <c r="A4925" t="s">
        <v>7174</v>
      </c>
      <c r="B4925" t="s">
        <v>395</v>
      </c>
      <c r="C4925" s="10">
        <v>6</v>
      </c>
      <c r="D4925" s="10">
        <v>1</v>
      </c>
      <c r="E4925" s="10">
        <v>40</v>
      </c>
    </row>
    <row r="4926" spans="1:5">
      <c r="A4926" t="s">
        <v>7016</v>
      </c>
      <c r="B4926" t="s">
        <v>396</v>
      </c>
      <c r="C4926" s="10">
        <v>6</v>
      </c>
      <c r="D4926" s="10">
        <v>0.7</v>
      </c>
      <c r="E4926" s="10">
        <v>40</v>
      </c>
    </row>
    <row r="4927" spans="1:5">
      <c r="A4927" t="s">
        <v>7748</v>
      </c>
      <c r="B4927" t="s">
        <v>396</v>
      </c>
      <c r="C4927" s="10">
        <v>12</v>
      </c>
      <c r="D4927" s="10">
        <v>1</v>
      </c>
      <c r="E4927" s="10">
        <v>40</v>
      </c>
    </row>
    <row r="4928" spans="1:5">
      <c r="A4928" t="s">
        <v>7029</v>
      </c>
      <c r="B4928" t="s">
        <v>7030</v>
      </c>
      <c r="C4928" s="10">
        <v>6</v>
      </c>
      <c r="D4928" s="10">
        <v>0.7</v>
      </c>
      <c r="E4928" s="10">
        <v>40</v>
      </c>
    </row>
    <row r="4929" spans="1:5">
      <c r="A4929" t="s">
        <v>7031</v>
      </c>
      <c r="B4929" t="s">
        <v>7032</v>
      </c>
      <c r="C4929" s="10">
        <v>6</v>
      </c>
      <c r="D4929" s="10">
        <v>0.7</v>
      </c>
      <c r="E4929" s="10">
        <v>40</v>
      </c>
    </row>
    <row r="4930" spans="1:5">
      <c r="A4930" t="s">
        <v>7033</v>
      </c>
      <c r="B4930" t="s">
        <v>7034</v>
      </c>
      <c r="C4930" s="10">
        <v>6</v>
      </c>
      <c r="D4930" s="10">
        <v>0.7</v>
      </c>
      <c r="E4930" s="10">
        <v>40</v>
      </c>
    </row>
    <row r="4931" spans="1:5">
      <c r="A4931" t="s">
        <v>7373</v>
      </c>
      <c r="B4931" t="s">
        <v>7374</v>
      </c>
      <c r="C4931" s="10">
        <v>6</v>
      </c>
      <c r="D4931" s="10">
        <v>0.75</v>
      </c>
      <c r="E4931" s="10">
        <v>12.5</v>
      </c>
    </row>
    <row r="4932" spans="1:5">
      <c r="A4932" t="s">
        <v>7629</v>
      </c>
      <c r="B4932" t="s">
        <v>7630</v>
      </c>
      <c r="C4932" s="10">
        <v>6</v>
      </c>
      <c r="D4932" s="10">
        <v>0.7</v>
      </c>
      <c r="E4932" s="10">
        <v>37.5</v>
      </c>
    </row>
    <row r="4933" spans="1:5">
      <c r="A4933" t="s">
        <v>7179</v>
      </c>
      <c r="B4933" t="s">
        <v>1438</v>
      </c>
      <c r="C4933" s="10">
        <v>6</v>
      </c>
      <c r="D4933" s="10">
        <v>1</v>
      </c>
      <c r="E4933" s="10">
        <v>40</v>
      </c>
    </row>
    <row r="4934" spans="1:5">
      <c r="A4934" t="s">
        <v>10493</v>
      </c>
      <c r="B4934" t="s">
        <v>9296</v>
      </c>
      <c r="C4934" s="10">
        <v>6</v>
      </c>
      <c r="D4934" s="10">
        <v>0.7</v>
      </c>
      <c r="E4934" s="10">
        <v>38</v>
      </c>
    </row>
    <row r="4935" spans="1:5">
      <c r="A4935" t="s">
        <v>7769</v>
      </c>
      <c r="B4935" t="s">
        <v>7038</v>
      </c>
      <c r="C4935" s="10">
        <v>12</v>
      </c>
      <c r="D4935" s="10">
        <v>0.7</v>
      </c>
      <c r="E4935" s="10">
        <v>40</v>
      </c>
    </row>
    <row r="4936" spans="1:5">
      <c r="A4936" t="s">
        <v>10494</v>
      </c>
      <c r="B4936" t="s">
        <v>443</v>
      </c>
      <c r="C4936" s="10">
        <v>6</v>
      </c>
      <c r="D4936" s="10">
        <v>0.7</v>
      </c>
      <c r="E4936" s="10">
        <v>40</v>
      </c>
    </row>
    <row r="4937" spans="1:5">
      <c r="A4937" t="s">
        <v>7849</v>
      </c>
      <c r="B4937" t="s">
        <v>7850</v>
      </c>
      <c r="C4937" s="10">
        <v>24</v>
      </c>
      <c r="D4937" s="10">
        <v>175</v>
      </c>
      <c r="E4937" s="10">
        <v>0</v>
      </c>
    </row>
    <row r="4938" spans="1:5">
      <c r="A4938" t="s">
        <v>7787</v>
      </c>
      <c r="B4938" t="s">
        <v>468</v>
      </c>
      <c r="C4938" s="10">
        <v>48</v>
      </c>
      <c r="D4938" s="10">
        <v>0.05</v>
      </c>
      <c r="E4938" s="10">
        <v>40</v>
      </c>
    </row>
    <row r="4939" spans="1:5">
      <c r="A4939" t="s">
        <v>7788</v>
      </c>
      <c r="B4939" t="s">
        <v>468</v>
      </c>
      <c r="C4939" s="10">
        <v>3</v>
      </c>
      <c r="D4939" s="10">
        <v>1.75</v>
      </c>
      <c r="E4939" s="10">
        <v>40</v>
      </c>
    </row>
    <row r="4940" spans="1:5">
      <c r="A4940" t="s">
        <v>7375</v>
      </c>
      <c r="B4940" t="s">
        <v>7376</v>
      </c>
      <c r="C4940" s="10">
        <v>6</v>
      </c>
      <c r="D4940" s="10">
        <v>0.75</v>
      </c>
      <c r="E4940" s="10">
        <v>12.5</v>
      </c>
    </row>
    <row r="4941" spans="1:5">
      <c r="A4941" t="s">
        <v>7300</v>
      </c>
      <c r="B4941" t="s">
        <v>7301</v>
      </c>
      <c r="C4941" s="10">
        <v>6</v>
      </c>
      <c r="D4941" s="10">
        <v>0.75</v>
      </c>
      <c r="E4941" s="10">
        <v>13</v>
      </c>
    </row>
    <row r="4942" spans="1:5">
      <c r="A4942" t="s">
        <v>10495</v>
      </c>
      <c r="B4942" t="s">
        <v>9297</v>
      </c>
      <c r="C4942" s="10">
        <v>6</v>
      </c>
      <c r="D4942" s="10">
        <v>0.5</v>
      </c>
      <c r="E4942" s="10">
        <v>55.3</v>
      </c>
    </row>
    <row r="4943" spans="1:5">
      <c r="A4943" t="s">
        <v>7039</v>
      </c>
      <c r="B4943" t="s">
        <v>7040</v>
      </c>
      <c r="C4943" s="10">
        <v>6</v>
      </c>
      <c r="D4943" s="10">
        <v>0.7</v>
      </c>
      <c r="E4943" s="10">
        <v>40</v>
      </c>
    </row>
    <row r="4944" spans="1:5">
      <c r="A4944" t="s">
        <v>10496</v>
      </c>
      <c r="B4944" t="s">
        <v>9298</v>
      </c>
      <c r="C4944" s="10">
        <v>6</v>
      </c>
      <c r="D4944" s="10">
        <v>0.7</v>
      </c>
      <c r="E4944" s="10">
        <v>37.5</v>
      </c>
    </row>
    <row r="4945" spans="1:5">
      <c r="A4945" t="s">
        <v>7041</v>
      </c>
      <c r="B4945" t="s">
        <v>7042</v>
      </c>
      <c r="C4945" s="10">
        <v>6</v>
      </c>
      <c r="D4945" s="10">
        <v>0.7</v>
      </c>
      <c r="E4945" s="10">
        <v>40</v>
      </c>
    </row>
    <row r="4946" spans="1:5">
      <c r="A4946" t="s">
        <v>10497</v>
      </c>
      <c r="B4946" t="s">
        <v>9299</v>
      </c>
      <c r="C4946" s="10">
        <v>12</v>
      </c>
      <c r="D4946" s="10">
        <v>0.25</v>
      </c>
      <c r="E4946" s="10">
        <v>37.5</v>
      </c>
    </row>
    <row r="4947" spans="1:5">
      <c r="A4947" t="s">
        <v>10498</v>
      </c>
      <c r="B4947" t="s">
        <v>9300</v>
      </c>
      <c r="C4947" s="10">
        <v>6</v>
      </c>
      <c r="D4947" s="10">
        <v>0.7</v>
      </c>
      <c r="E4947" s="10">
        <v>40</v>
      </c>
    </row>
    <row r="4948" spans="1:5">
      <c r="A4948" t="s">
        <v>7043</v>
      </c>
      <c r="B4948" t="s">
        <v>518</v>
      </c>
      <c r="C4948" s="10">
        <v>6</v>
      </c>
      <c r="D4948" s="10">
        <v>0.7</v>
      </c>
      <c r="E4948" s="10">
        <v>40</v>
      </c>
    </row>
    <row r="4949" spans="1:5">
      <c r="A4949" t="s">
        <v>7231</v>
      </c>
      <c r="B4949" t="s">
        <v>7232</v>
      </c>
      <c r="C4949" s="10">
        <v>6</v>
      </c>
      <c r="D4949" s="10">
        <v>0.5</v>
      </c>
      <c r="E4949" s="10">
        <v>28</v>
      </c>
    </row>
    <row r="4950" spans="1:5">
      <c r="A4950" t="s">
        <v>7975</v>
      </c>
      <c r="B4950" t="s">
        <v>7976</v>
      </c>
      <c r="C4950" s="10">
        <v>12</v>
      </c>
      <c r="D4950" s="10">
        <v>1</v>
      </c>
      <c r="E4950" s="10">
        <v>43</v>
      </c>
    </row>
    <row r="4951" spans="1:5">
      <c r="A4951" t="s">
        <v>10499</v>
      </c>
      <c r="B4951" t="s">
        <v>535</v>
      </c>
      <c r="C4951" s="10">
        <v>72</v>
      </c>
      <c r="D4951" s="10">
        <v>0.05</v>
      </c>
      <c r="E4951" s="10">
        <v>40</v>
      </c>
    </row>
    <row r="4952" spans="1:5">
      <c r="A4952" t="s">
        <v>10500</v>
      </c>
      <c r="B4952" t="s">
        <v>5408</v>
      </c>
      <c r="C4952" s="10">
        <v>6</v>
      </c>
      <c r="D4952" s="10">
        <v>0.7</v>
      </c>
      <c r="E4952" s="10">
        <v>43</v>
      </c>
    </row>
    <row r="4953" spans="1:5">
      <c r="A4953" t="s">
        <v>7468</v>
      </c>
      <c r="B4953" t="s">
        <v>3806</v>
      </c>
      <c r="C4953" s="10">
        <v>6</v>
      </c>
      <c r="D4953" s="10">
        <v>0.7</v>
      </c>
      <c r="E4953" s="10">
        <v>28</v>
      </c>
    </row>
    <row r="4954" spans="1:5">
      <c r="A4954" t="s">
        <v>7233</v>
      </c>
      <c r="B4954" t="s">
        <v>1785</v>
      </c>
      <c r="C4954" s="10">
        <v>6</v>
      </c>
      <c r="D4954" s="10">
        <v>0.5</v>
      </c>
      <c r="E4954" s="10">
        <v>18</v>
      </c>
    </row>
    <row r="4955" spans="1:5">
      <c r="A4955" t="s">
        <v>7377</v>
      </c>
      <c r="B4955" t="s">
        <v>3138</v>
      </c>
      <c r="C4955" s="10">
        <v>6</v>
      </c>
      <c r="D4955" s="10">
        <v>0.75</v>
      </c>
      <c r="E4955" s="10">
        <v>12.5</v>
      </c>
    </row>
    <row r="4956" spans="1:5">
      <c r="A4956" t="s">
        <v>10501</v>
      </c>
      <c r="B4956" t="s">
        <v>9301</v>
      </c>
      <c r="C4956" s="10">
        <v>6</v>
      </c>
      <c r="D4956" s="10">
        <v>0.75</v>
      </c>
      <c r="E4956" s="10">
        <v>12.5</v>
      </c>
    </row>
    <row r="4957" spans="1:5">
      <c r="A4957" t="s">
        <v>7378</v>
      </c>
      <c r="B4957" t="s">
        <v>7379</v>
      </c>
      <c r="C4957" s="10">
        <v>6</v>
      </c>
      <c r="D4957" s="10">
        <v>0.75</v>
      </c>
      <c r="E4957" s="10">
        <v>12.5</v>
      </c>
    </row>
    <row r="4958" spans="1:5">
      <c r="A4958" t="s">
        <v>7380</v>
      </c>
      <c r="B4958" t="s">
        <v>7381</v>
      </c>
      <c r="C4958" s="10">
        <v>6</v>
      </c>
      <c r="D4958" s="10">
        <v>0.75</v>
      </c>
      <c r="E4958" s="10">
        <v>12.5</v>
      </c>
    </row>
    <row r="4959" spans="1:5">
      <c r="A4959" t="s">
        <v>10502</v>
      </c>
      <c r="B4959" t="s">
        <v>543</v>
      </c>
      <c r="C4959" s="10">
        <v>6</v>
      </c>
      <c r="D4959" s="10">
        <v>0.7</v>
      </c>
      <c r="E4959" s="10">
        <v>40</v>
      </c>
    </row>
    <row r="4960" spans="1:5">
      <c r="A4960" t="s">
        <v>7046</v>
      </c>
      <c r="B4960" t="s">
        <v>7047</v>
      </c>
      <c r="C4960" s="10">
        <v>6</v>
      </c>
      <c r="D4960" s="10">
        <v>0.7</v>
      </c>
      <c r="E4960" s="10">
        <v>40</v>
      </c>
    </row>
    <row r="4961" spans="1:5">
      <c r="A4961" t="s">
        <v>10503</v>
      </c>
      <c r="B4961" t="s">
        <v>9302</v>
      </c>
      <c r="C4961" s="10">
        <v>6</v>
      </c>
      <c r="D4961" s="10">
        <v>0.7</v>
      </c>
      <c r="E4961" s="10">
        <v>40</v>
      </c>
    </row>
    <row r="4962" spans="1:5">
      <c r="A4962" t="s">
        <v>7772</v>
      </c>
      <c r="B4962" t="s">
        <v>7773</v>
      </c>
      <c r="C4962" s="10">
        <v>12</v>
      </c>
      <c r="D4962" s="10">
        <v>0.7</v>
      </c>
      <c r="E4962" s="10">
        <v>40</v>
      </c>
    </row>
    <row r="4963" spans="1:5">
      <c r="A4963" t="s">
        <v>10504</v>
      </c>
      <c r="B4963" t="s">
        <v>9303</v>
      </c>
      <c r="C4963" s="10">
        <v>6</v>
      </c>
      <c r="D4963" s="10">
        <v>0.75</v>
      </c>
      <c r="E4963" s="10">
        <v>12</v>
      </c>
    </row>
    <row r="4964" spans="1:5">
      <c r="A4964" t="s">
        <v>7050</v>
      </c>
      <c r="B4964" t="s">
        <v>7051</v>
      </c>
      <c r="C4964" s="10">
        <v>6</v>
      </c>
      <c r="D4964" s="10">
        <v>0.7</v>
      </c>
      <c r="E4964" s="10">
        <v>40</v>
      </c>
    </row>
    <row r="4965" spans="1:5">
      <c r="A4965" t="s">
        <v>7052</v>
      </c>
      <c r="B4965" t="s">
        <v>7053</v>
      </c>
      <c r="C4965" s="10">
        <v>6</v>
      </c>
      <c r="D4965" s="10">
        <v>0.7</v>
      </c>
      <c r="E4965" s="10">
        <v>40</v>
      </c>
    </row>
    <row r="4966" spans="1:5">
      <c r="A4966" t="s">
        <v>7855</v>
      </c>
      <c r="B4966" t="s">
        <v>7856</v>
      </c>
      <c r="C4966" s="10">
        <v>1</v>
      </c>
      <c r="D4966" s="10">
        <v>1</v>
      </c>
      <c r="E4966" s="10">
        <v>42</v>
      </c>
    </row>
    <row r="4967" spans="1:5">
      <c r="A4967" t="s">
        <v>7217</v>
      </c>
      <c r="B4967" t="s">
        <v>1656</v>
      </c>
      <c r="C4967" s="10">
        <v>6</v>
      </c>
      <c r="D4967" s="10">
        <v>1.5</v>
      </c>
      <c r="E4967" s="10">
        <v>37.5</v>
      </c>
    </row>
    <row r="4968" spans="1:5">
      <c r="A4968" t="s">
        <v>7306</v>
      </c>
      <c r="B4968" t="s">
        <v>7307</v>
      </c>
      <c r="C4968" s="10">
        <v>6</v>
      </c>
      <c r="D4968" s="10">
        <v>0.75</v>
      </c>
      <c r="E4968" s="10">
        <v>13.5</v>
      </c>
    </row>
    <row r="4969" spans="1:5">
      <c r="A4969" t="s">
        <v>7274</v>
      </c>
      <c r="B4969" t="s">
        <v>2075</v>
      </c>
      <c r="C4969" s="10">
        <v>6</v>
      </c>
      <c r="D4969" s="10">
        <v>1</v>
      </c>
      <c r="E4969" s="10">
        <v>37.5</v>
      </c>
    </row>
    <row r="4970" spans="1:5">
      <c r="A4970" t="s">
        <v>10505</v>
      </c>
      <c r="B4970" t="s">
        <v>9304</v>
      </c>
      <c r="C4970" s="10">
        <v>1</v>
      </c>
      <c r="D4970" s="10">
        <v>1.2</v>
      </c>
      <c r="E4970" s="10">
        <v>45.2</v>
      </c>
    </row>
    <row r="4971" spans="1:5">
      <c r="A4971" t="s">
        <v>7680</v>
      </c>
      <c r="B4971" t="s">
        <v>7681</v>
      </c>
      <c r="C4971" s="10">
        <v>6</v>
      </c>
      <c r="D4971" s="10">
        <v>0.7</v>
      </c>
      <c r="E4971" s="10">
        <v>46</v>
      </c>
    </row>
    <row r="4972" spans="1:5">
      <c r="A4972" t="s">
        <v>7475</v>
      </c>
      <c r="B4972" t="s">
        <v>7476</v>
      </c>
      <c r="C4972" s="10">
        <v>6</v>
      </c>
      <c r="D4972" s="10">
        <v>0.7</v>
      </c>
      <c r="E4972" s="10">
        <v>43.8</v>
      </c>
    </row>
    <row r="4973" spans="1:5">
      <c r="A4973" t="s">
        <v>7312</v>
      </c>
      <c r="B4973" t="s">
        <v>7313</v>
      </c>
      <c r="C4973" s="10">
        <v>6</v>
      </c>
      <c r="D4973" s="10">
        <v>0.75</v>
      </c>
      <c r="E4973" s="10">
        <v>11.5</v>
      </c>
    </row>
    <row r="4974" spans="1:5">
      <c r="A4974" t="s">
        <v>10506</v>
      </c>
      <c r="B4974" t="s">
        <v>9305</v>
      </c>
      <c r="C4974" s="10">
        <v>6</v>
      </c>
      <c r="D4974" s="10">
        <v>0.7</v>
      </c>
      <c r="E4974" s="10">
        <v>21</v>
      </c>
    </row>
    <row r="4975" spans="1:5">
      <c r="A4975" t="s">
        <v>10507</v>
      </c>
      <c r="B4975" t="s">
        <v>9306</v>
      </c>
      <c r="C4975" s="10">
        <v>6</v>
      </c>
      <c r="D4975" s="10">
        <v>1</v>
      </c>
      <c r="E4975" s="10">
        <v>14.5</v>
      </c>
    </row>
    <row r="4976" spans="1:5">
      <c r="A4976" t="s">
        <v>10508</v>
      </c>
      <c r="B4976" t="s">
        <v>9307</v>
      </c>
      <c r="C4976" s="10">
        <v>6</v>
      </c>
      <c r="D4976" s="10">
        <v>0.7</v>
      </c>
      <c r="E4976" s="10">
        <v>45</v>
      </c>
    </row>
    <row r="4977" spans="1:5">
      <c r="A4977" t="s">
        <v>7481</v>
      </c>
      <c r="B4977" t="s">
        <v>7482</v>
      </c>
      <c r="C4977" s="10">
        <v>6</v>
      </c>
      <c r="D4977" s="10">
        <v>0.7</v>
      </c>
      <c r="E4977" s="10">
        <v>43.5</v>
      </c>
    </row>
    <row r="4978" spans="1:5">
      <c r="A4978" t="s">
        <v>7718</v>
      </c>
      <c r="B4978" t="s">
        <v>7719</v>
      </c>
      <c r="C4978" s="10">
        <v>6</v>
      </c>
      <c r="D4978" s="10">
        <v>0.7</v>
      </c>
      <c r="E4978" s="10">
        <v>43</v>
      </c>
    </row>
    <row r="4979" spans="1:5">
      <c r="A4979" t="s">
        <v>10509</v>
      </c>
      <c r="B4979" t="s">
        <v>9308</v>
      </c>
      <c r="C4979" s="10">
        <v>3</v>
      </c>
      <c r="D4979" s="10">
        <v>0.7</v>
      </c>
      <c r="E4979" s="10">
        <v>43</v>
      </c>
    </row>
    <row r="4980" spans="1:5">
      <c r="A4980" t="s">
        <v>10510</v>
      </c>
      <c r="B4980" t="s">
        <v>9309</v>
      </c>
      <c r="C4980" s="10">
        <v>6</v>
      </c>
      <c r="D4980" s="10">
        <v>0.7</v>
      </c>
      <c r="E4980" s="10">
        <v>40</v>
      </c>
    </row>
    <row r="4981" spans="1:5">
      <c r="A4981" t="s">
        <v>10511</v>
      </c>
      <c r="B4981" t="s">
        <v>9310</v>
      </c>
      <c r="C4981" s="10">
        <v>6</v>
      </c>
      <c r="D4981" s="10">
        <v>0.7</v>
      </c>
      <c r="E4981" s="10">
        <v>46</v>
      </c>
    </row>
    <row r="4982" spans="1:5">
      <c r="A4982" t="s">
        <v>10512</v>
      </c>
      <c r="B4982" t="s">
        <v>9311</v>
      </c>
      <c r="C4982" s="10">
        <v>24</v>
      </c>
      <c r="D4982" s="10">
        <v>0.2</v>
      </c>
      <c r="E4982" s="10">
        <v>43</v>
      </c>
    </row>
    <row r="4983" spans="1:5">
      <c r="A4983" t="s">
        <v>7054</v>
      </c>
      <c r="B4983" t="s">
        <v>7055</v>
      </c>
      <c r="C4983" s="10">
        <v>6</v>
      </c>
      <c r="D4983" s="10">
        <v>0.7</v>
      </c>
      <c r="E4983" s="10">
        <v>40</v>
      </c>
    </row>
    <row r="4984" spans="1:5">
      <c r="A4984" t="s">
        <v>7483</v>
      </c>
      <c r="B4984" t="s">
        <v>7484</v>
      </c>
      <c r="C4984" s="10">
        <v>6</v>
      </c>
      <c r="D4984" s="10">
        <v>0.7</v>
      </c>
      <c r="E4984" s="10">
        <v>49.1</v>
      </c>
    </row>
    <row r="4985" spans="1:5">
      <c r="A4985" t="s">
        <v>7682</v>
      </c>
      <c r="B4985" t="s">
        <v>7683</v>
      </c>
      <c r="C4985" s="10">
        <v>6</v>
      </c>
      <c r="D4985" s="10">
        <v>0.7</v>
      </c>
      <c r="E4985" s="10">
        <v>46</v>
      </c>
    </row>
    <row r="4986" spans="1:5">
      <c r="A4986" t="s">
        <v>10513</v>
      </c>
      <c r="B4986" t="s">
        <v>9312</v>
      </c>
      <c r="C4986" s="10">
        <v>6</v>
      </c>
      <c r="D4986" s="10">
        <v>0.7</v>
      </c>
      <c r="E4986" s="10">
        <v>46</v>
      </c>
    </row>
    <row r="4987" spans="1:5">
      <c r="A4987" t="s">
        <v>10514</v>
      </c>
      <c r="B4987" t="s">
        <v>9313</v>
      </c>
      <c r="C4987" s="10">
        <v>6</v>
      </c>
      <c r="D4987" s="10">
        <v>0.5</v>
      </c>
      <c r="E4987" s="10">
        <v>24</v>
      </c>
    </row>
    <row r="4988" spans="1:5">
      <c r="A4988" t="s">
        <v>10515</v>
      </c>
      <c r="B4988" t="s">
        <v>9314</v>
      </c>
      <c r="C4988" s="10">
        <v>12</v>
      </c>
      <c r="D4988" s="10">
        <v>0.25</v>
      </c>
      <c r="E4988" s="10">
        <v>6.4</v>
      </c>
    </row>
    <row r="4989" spans="1:5">
      <c r="A4989" t="s">
        <v>7861</v>
      </c>
      <c r="B4989" t="s">
        <v>2105</v>
      </c>
      <c r="C4989" s="10">
        <v>48</v>
      </c>
      <c r="D4989" s="10">
        <v>0.2</v>
      </c>
      <c r="E4989" s="10">
        <v>43</v>
      </c>
    </row>
    <row r="4990" spans="1:5">
      <c r="A4990" t="s">
        <v>10516</v>
      </c>
      <c r="B4990" t="s">
        <v>9315</v>
      </c>
      <c r="C4990" s="10">
        <v>6</v>
      </c>
      <c r="D4990" s="10">
        <v>0.75</v>
      </c>
      <c r="E4990" s="10">
        <v>12</v>
      </c>
    </row>
    <row r="4991" spans="1:5">
      <c r="A4991" t="s">
        <v>7056</v>
      </c>
      <c r="B4991" t="s">
        <v>719</v>
      </c>
      <c r="C4991" s="10">
        <v>6</v>
      </c>
      <c r="D4991" s="10">
        <v>0.7</v>
      </c>
      <c r="E4991" s="10">
        <v>40</v>
      </c>
    </row>
    <row r="4992" spans="1:5">
      <c r="A4992" t="s">
        <v>10517</v>
      </c>
      <c r="B4992" t="s">
        <v>9316</v>
      </c>
      <c r="C4992" s="10">
        <v>3</v>
      </c>
      <c r="D4992" s="10">
        <v>0.7</v>
      </c>
      <c r="E4992" s="10">
        <v>40</v>
      </c>
    </row>
    <row r="4993" spans="1:5">
      <c r="A4993" t="s">
        <v>10518</v>
      </c>
      <c r="B4993" t="s">
        <v>9317</v>
      </c>
      <c r="C4993" s="10">
        <v>6</v>
      </c>
      <c r="D4993" s="10">
        <v>0.7</v>
      </c>
      <c r="E4993" s="10">
        <v>37.5</v>
      </c>
    </row>
    <row r="4994" spans="1:5">
      <c r="A4994" t="s">
        <v>7057</v>
      </c>
      <c r="B4994" t="s">
        <v>7058</v>
      </c>
      <c r="C4994" s="10">
        <v>6</v>
      </c>
      <c r="D4994" s="10">
        <v>0.7</v>
      </c>
      <c r="E4994" s="10">
        <v>40</v>
      </c>
    </row>
    <row r="4995" spans="1:5">
      <c r="A4995" t="s">
        <v>7059</v>
      </c>
      <c r="B4995" t="s">
        <v>7060</v>
      </c>
      <c r="C4995" s="10">
        <v>6</v>
      </c>
      <c r="D4995" s="10">
        <v>0.7</v>
      </c>
      <c r="E4995" s="10">
        <v>40</v>
      </c>
    </row>
    <row r="4996" spans="1:5">
      <c r="A4996" t="s">
        <v>10519</v>
      </c>
      <c r="B4996" t="s">
        <v>771</v>
      </c>
      <c r="C4996" s="10">
        <v>120</v>
      </c>
      <c r="D4996" s="10">
        <v>0.05</v>
      </c>
      <c r="E4996" s="10">
        <v>40</v>
      </c>
    </row>
    <row r="4997" spans="1:5">
      <c r="A4997" t="s">
        <v>7489</v>
      </c>
      <c r="B4997" t="s">
        <v>1658</v>
      </c>
      <c r="C4997" s="10">
        <v>6</v>
      </c>
      <c r="D4997" s="10">
        <v>0.7</v>
      </c>
      <c r="E4997" s="10">
        <v>44</v>
      </c>
    </row>
    <row r="4998" spans="1:5">
      <c r="A4998" t="s">
        <v>7067</v>
      </c>
      <c r="B4998" t="s">
        <v>7068</v>
      </c>
      <c r="C4998" s="10">
        <v>6</v>
      </c>
      <c r="D4998" s="10">
        <v>0.7</v>
      </c>
      <c r="E4998" s="10">
        <v>40</v>
      </c>
    </row>
    <row r="4999" spans="1:5">
      <c r="A4999" t="s">
        <v>10520</v>
      </c>
      <c r="B4999" t="s">
        <v>9318</v>
      </c>
      <c r="C4999" s="10">
        <v>6</v>
      </c>
      <c r="D4999" s="10">
        <v>0.75</v>
      </c>
      <c r="E4999" s="10">
        <v>11</v>
      </c>
    </row>
    <row r="5000" spans="1:5">
      <c r="A5000" t="s">
        <v>10521</v>
      </c>
      <c r="B5000" t="s">
        <v>821</v>
      </c>
      <c r="C5000" s="10">
        <v>12</v>
      </c>
      <c r="D5000" s="10">
        <v>0.35</v>
      </c>
      <c r="E5000" s="10">
        <v>40</v>
      </c>
    </row>
    <row r="5001" spans="1:5">
      <c r="A5001" t="s">
        <v>10522</v>
      </c>
      <c r="B5001" t="s">
        <v>821</v>
      </c>
      <c r="C5001" s="10">
        <v>6</v>
      </c>
      <c r="D5001" s="10">
        <v>1.75</v>
      </c>
      <c r="E5001" s="10">
        <v>40</v>
      </c>
    </row>
    <row r="5002" spans="1:5">
      <c r="A5002" t="s">
        <v>7794</v>
      </c>
      <c r="B5002" t="s">
        <v>821</v>
      </c>
      <c r="C5002" s="10">
        <v>1</v>
      </c>
      <c r="D5002" s="10">
        <v>3</v>
      </c>
      <c r="E5002" s="10">
        <v>40</v>
      </c>
    </row>
    <row r="5003" spans="1:5">
      <c r="A5003" t="s">
        <v>7069</v>
      </c>
      <c r="B5003" t="s">
        <v>7070</v>
      </c>
      <c r="C5003" s="10">
        <v>6</v>
      </c>
      <c r="D5003" s="10">
        <v>0.7</v>
      </c>
      <c r="E5003" s="10">
        <v>40</v>
      </c>
    </row>
    <row r="5004" spans="1:5">
      <c r="A5004" t="s">
        <v>7492</v>
      </c>
      <c r="B5004" t="s">
        <v>7493</v>
      </c>
      <c r="C5004" s="10">
        <v>6</v>
      </c>
      <c r="D5004" s="10">
        <v>0.7</v>
      </c>
      <c r="E5004" s="10">
        <v>35</v>
      </c>
    </row>
    <row r="5005" spans="1:5">
      <c r="A5005" t="s">
        <v>7753</v>
      </c>
      <c r="B5005" t="s">
        <v>7754</v>
      </c>
      <c r="C5005" s="10">
        <v>12</v>
      </c>
      <c r="D5005" s="10">
        <v>1</v>
      </c>
      <c r="E5005" s="10">
        <v>40</v>
      </c>
    </row>
    <row r="5006" spans="1:5">
      <c r="A5006" t="s">
        <v>10523</v>
      </c>
      <c r="B5006" t="s">
        <v>9319</v>
      </c>
      <c r="C5006" s="10">
        <v>120</v>
      </c>
      <c r="D5006" s="10">
        <v>0.05</v>
      </c>
      <c r="E5006" s="10">
        <v>40</v>
      </c>
    </row>
    <row r="5007" spans="1:5">
      <c r="A5007" t="s">
        <v>10524</v>
      </c>
      <c r="B5007" t="s">
        <v>9320</v>
      </c>
      <c r="C5007" s="10">
        <v>6</v>
      </c>
      <c r="D5007" s="10">
        <v>0.75</v>
      </c>
      <c r="E5007" s="10">
        <v>12.5</v>
      </c>
    </row>
    <row r="5008" spans="1:5">
      <c r="A5008" t="s">
        <v>7864</v>
      </c>
      <c r="B5008" t="s">
        <v>1660</v>
      </c>
      <c r="C5008" s="10">
        <v>96</v>
      </c>
      <c r="D5008" s="10">
        <v>0.02</v>
      </c>
      <c r="E5008" s="10">
        <v>35</v>
      </c>
    </row>
    <row r="5009" spans="1:5">
      <c r="A5009" t="s">
        <v>10525</v>
      </c>
      <c r="B5009" t="s">
        <v>1660</v>
      </c>
      <c r="C5009" s="10">
        <v>6</v>
      </c>
      <c r="D5009" s="10">
        <v>1</v>
      </c>
      <c r="E5009" s="10">
        <v>35</v>
      </c>
    </row>
    <row r="5010" spans="1:5">
      <c r="A5010" t="s">
        <v>7219</v>
      </c>
      <c r="B5010" t="s">
        <v>1660</v>
      </c>
      <c r="C5010" s="10">
        <v>6</v>
      </c>
      <c r="D5010" s="10">
        <v>1.75</v>
      </c>
      <c r="E5010" s="10">
        <v>35</v>
      </c>
    </row>
    <row r="5011" spans="1:5">
      <c r="A5011" t="s">
        <v>7497</v>
      </c>
      <c r="B5011" t="s">
        <v>7498</v>
      </c>
      <c r="C5011" s="10">
        <v>6</v>
      </c>
      <c r="D5011" s="10">
        <v>0.7</v>
      </c>
      <c r="E5011" s="10">
        <v>35</v>
      </c>
    </row>
    <row r="5012" spans="1:5">
      <c r="A5012" t="s">
        <v>10526</v>
      </c>
      <c r="B5012" t="s">
        <v>2169</v>
      </c>
      <c r="C5012" s="10">
        <v>6</v>
      </c>
      <c r="D5012" s="10">
        <v>1</v>
      </c>
      <c r="E5012" s="10">
        <v>38</v>
      </c>
    </row>
    <row r="5013" spans="1:5">
      <c r="A5013" t="s">
        <v>7073</v>
      </c>
      <c r="B5013" t="s">
        <v>7074</v>
      </c>
      <c r="C5013" s="10">
        <v>6</v>
      </c>
      <c r="D5013" s="10">
        <v>0.7</v>
      </c>
      <c r="E5013" s="10">
        <v>40</v>
      </c>
    </row>
    <row r="5014" spans="1:5">
      <c r="A5014" t="s">
        <v>7757</v>
      </c>
      <c r="B5014" t="s">
        <v>850</v>
      </c>
      <c r="C5014" s="10">
        <v>12</v>
      </c>
      <c r="D5014" s="10">
        <v>1</v>
      </c>
      <c r="E5014" s="10">
        <v>40</v>
      </c>
    </row>
    <row r="5015" spans="1:5">
      <c r="A5015" t="s">
        <v>7870</v>
      </c>
      <c r="B5015" t="s">
        <v>6282</v>
      </c>
      <c r="C5015" s="10">
        <v>20</v>
      </c>
      <c r="D5015" s="10">
        <v>0.35</v>
      </c>
      <c r="E5015" s="10">
        <v>13</v>
      </c>
    </row>
    <row r="5016" spans="1:5">
      <c r="A5016" t="s">
        <v>7871</v>
      </c>
      <c r="B5016" t="s">
        <v>7872</v>
      </c>
      <c r="C5016" s="10">
        <v>20</v>
      </c>
      <c r="D5016" s="10">
        <v>0.35</v>
      </c>
      <c r="E5016" s="10">
        <v>13</v>
      </c>
    </row>
    <row r="5017" spans="1:5">
      <c r="A5017" t="s">
        <v>7873</v>
      </c>
      <c r="B5017" t="s">
        <v>6284</v>
      </c>
      <c r="C5017" s="10">
        <v>20</v>
      </c>
      <c r="D5017" s="10">
        <v>0.35</v>
      </c>
      <c r="E5017" s="10">
        <v>13</v>
      </c>
    </row>
    <row r="5018" spans="1:5">
      <c r="A5018" t="s">
        <v>7874</v>
      </c>
      <c r="B5018" t="s">
        <v>6285</v>
      </c>
      <c r="C5018" s="10">
        <v>20</v>
      </c>
      <c r="D5018" s="10">
        <v>0.35</v>
      </c>
      <c r="E5018" s="10">
        <v>13</v>
      </c>
    </row>
    <row r="5019" spans="1:5">
      <c r="A5019" t="s">
        <v>10527</v>
      </c>
      <c r="B5019" t="s">
        <v>6288</v>
      </c>
      <c r="C5019" s="10">
        <v>24</v>
      </c>
      <c r="D5019" s="10">
        <v>0.05</v>
      </c>
      <c r="E5019" s="10">
        <v>43</v>
      </c>
    </row>
    <row r="5020" spans="1:5">
      <c r="A5020" t="s">
        <v>7817</v>
      </c>
      <c r="B5020" t="s">
        <v>7818</v>
      </c>
      <c r="C5020" s="10">
        <v>4</v>
      </c>
      <c r="D5020" s="10">
        <v>0.7</v>
      </c>
      <c r="E5020" s="10">
        <v>40</v>
      </c>
    </row>
    <row r="5021" spans="1:5">
      <c r="A5021" t="s">
        <v>7876</v>
      </c>
      <c r="B5021" t="s">
        <v>7877</v>
      </c>
      <c r="C5021" s="10">
        <v>3</v>
      </c>
      <c r="D5021" s="10">
        <v>0.7</v>
      </c>
      <c r="E5021" s="10">
        <v>43</v>
      </c>
    </row>
    <row r="5022" spans="1:5">
      <c r="A5022" t="s">
        <v>7077</v>
      </c>
      <c r="B5022" t="s">
        <v>878</v>
      </c>
      <c r="C5022" s="10">
        <v>6</v>
      </c>
      <c r="D5022" s="10">
        <v>0.7</v>
      </c>
      <c r="E5022" s="10">
        <v>40</v>
      </c>
    </row>
    <row r="5023" spans="1:5">
      <c r="A5023" t="s">
        <v>7501</v>
      </c>
      <c r="B5023" t="s">
        <v>7502</v>
      </c>
      <c r="C5023" s="10">
        <v>6</v>
      </c>
      <c r="D5023" s="10">
        <v>0.7</v>
      </c>
      <c r="E5023" s="10">
        <v>44</v>
      </c>
    </row>
    <row r="5024" spans="1:5">
      <c r="A5024" t="s">
        <v>10528</v>
      </c>
      <c r="B5024" t="s">
        <v>9321</v>
      </c>
      <c r="C5024" s="10">
        <v>6</v>
      </c>
      <c r="D5024" s="10">
        <v>0.7</v>
      </c>
      <c r="E5024" s="10">
        <v>35</v>
      </c>
    </row>
    <row r="5025" spans="1:5">
      <c r="A5025" t="s">
        <v>7080</v>
      </c>
      <c r="B5025" t="s">
        <v>7081</v>
      </c>
      <c r="C5025" s="10">
        <v>6</v>
      </c>
      <c r="D5025" s="10">
        <v>0.7</v>
      </c>
      <c r="E5025" s="10">
        <v>40</v>
      </c>
    </row>
    <row r="5026" spans="1:5">
      <c r="A5026" t="s">
        <v>7686</v>
      </c>
      <c r="B5026" t="s">
        <v>7687</v>
      </c>
      <c r="C5026" s="10">
        <v>6</v>
      </c>
      <c r="D5026" s="10">
        <v>0.7</v>
      </c>
      <c r="E5026" s="10">
        <v>46</v>
      </c>
    </row>
    <row r="5027" spans="1:5">
      <c r="A5027" t="s">
        <v>10529</v>
      </c>
      <c r="B5027" t="s">
        <v>9322</v>
      </c>
      <c r="C5027" s="10">
        <v>6</v>
      </c>
      <c r="D5027" s="10">
        <v>0.7</v>
      </c>
      <c r="E5027" s="10">
        <v>46</v>
      </c>
    </row>
    <row r="5028" spans="1:5">
      <c r="A5028" t="s">
        <v>7725</v>
      </c>
      <c r="B5028" t="s">
        <v>7726</v>
      </c>
      <c r="C5028" s="10">
        <v>6</v>
      </c>
      <c r="D5028" s="10">
        <v>0.7</v>
      </c>
      <c r="E5028" s="10">
        <v>43</v>
      </c>
    </row>
    <row r="5029" spans="1:5">
      <c r="A5029" t="s">
        <v>7242</v>
      </c>
      <c r="B5029" t="s">
        <v>1842</v>
      </c>
      <c r="C5029" s="10">
        <v>6</v>
      </c>
      <c r="D5029" s="10">
        <v>0.5</v>
      </c>
      <c r="E5029" s="10">
        <v>42</v>
      </c>
    </row>
    <row r="5030" spans="1:5">
      <c r="A5030" t="s">
        <v>7085</v>
      </c>
      <c r="B5030" t="s">
        <v>7086</v>
      </c>
      <c r="C5030" s="10">
        <v>6</v>
      </c>
      <c r="D5030" s="10">
        <v>0.7</v>
      </c>
      <c r="E5030" s="10">
        <v>40</v>
      </c>
    </row>
    <row r="5031" spans="1:5">
      <c r="A5031" t="s">
        <v>7243</v>
      </c>
      <c r="B5031" t="s">
        <v>7244</v>
      </c>
      <c r="C5031" s="10">
        <v>6</v>
      </c>
      <c r="D5031" s="10">
        <v>0.5</v>
      </c>
      <c r="E5031" s="10">
        <v>28</v>
      </c>
    </row>
    <row r="5032" spans="1:5">
      <c r="A5032" t="s">
        <v>10530</v>
      </c>
      <c r="B5032" t="s">
        <v>7244</v>
      </c>
      <c r="C5032" s="10">
        <v>6</v>
      </c>
      <c r="D5032" s="10">
        <v>500</v>
      </c>
      <c r="E5032" s="10">
        <v>28</v>
      </c>
    </row>
    <row r="5033" spans="1:5">
      <c r="A5033" t="s">
        <v>7245</v>
      </c>
      <c r="B5033" t="s">
        <v>7246</v>
      </c>
      <c r="C5033" s="10">
        <v>6</v>
      </c>
      <c r="D5033" s="10">
        <v>0.5</v>
      </c>
      <c r="E5033" s="10">
        <v>28</v>
      </c>
    </row>
    <row r="5034" spans="1:5">
      <c r="A5034" t="s">
        <v>10531</v>
      </c>
      <c r="B5034" t="s">
        <v>7246</v>
      </c>
      <c r="C5034" s="10">
        <v>6</v>
      </c>
      <c r="D5034" s="10">
        <v>500</v>
      </c>
      <c r="E5034" s="10">
        <v>28</v>
      </c>
    </row>
    <row r="5035" spans="1:5">
      <c r="A5035" t="s">
        <v>10532</v>
      </c>
      <c r="B5035" t="s">
        <v>9323</v>
      </c>
      <c r="C5035" s="10">
        <v>6</v>
      </c>
      <c r="D5035" s="10">
        <v>0.7</v>
      </c>
      <c r="E5035" s="10">
        <v>48</v>
      </c>
    </row>
    <row r="5036" spans="1:5">
      <c r="A5036" t="s">
        <v>7511</v>
      </c>
      <c r="B5036" t="s">
        <v>7512</v>
      </c>
      <c r="C5036" s="10">
        <v>6</v>
      </c>
      <c r="D5036" s="10">
        <v>0.7</v>
      </c>
      <c r="E5036" s="10">
        <v>45.5</v>
      </c>
    </row>
    <row r="5037" spans="1:5">
      <c r="A5037" t="s">
        <v>7513</v>
      </c>
      <c r="B5037" t="s">
        <v>7514</v>
      </c>
      <c r="C5037" s="10">
        <v>6</v>
      </c>
      <c r="D5037" s="10">
        <v>0.7</v>
      </c>
      <c r="E5037" s="10">
        <v>58.6</v>
      </c>
    </row>
    <row r="5038" spans="1:5">
      <c r="A5038" t="s">
        <v>7358</v>
      </c>
      <c r="B5038" t="s">
        <v>7359</v>
      </c>
      <c r="C5038" s="10">
        <v>6</v>
      </c>
      <c r="D5038" s="10">
        <v>0.75</v>
      </c>
      <c r="E5038" s="10">
        <v>12</v>
      </c>
    </row>
    <row r="5039" spans="1:5">
      <c r="A5039" t="s">
        <v>7515</v>
      </c>
      <c r="B5039" t="s">
        <v>7516</v>
      </c>
      <c r="C5039" s="10">
        <v>6</v>
      </c>
      <c r="D5039" s="10">
        <v>0.7</v>
      </c>
      <c r="E5039" s="10">
        <v>31</v>
      </c>
    </row>
    <row r="5040" spans="1:5">
      <c r="A5040" t="s">
        <v>7519</v>
      </c>
      <c r="B5040" t="s">
        <v>7520</v>
      </c>
      <c r="C5040" s="10">
        <v>6</v>
      </c>
      <c r="D5040" s="10">
        <v>0.7</v>
      </c>
      <c r="E5040" s="10">
        <v>31</v>
      </c>
    </row>
    <row r="5041" spans="1:5">
      <c r="A5041" t="s">
        <v>10533</v>
      </c>
      <c r="B5041" t="s">
        <v>4179</v>
      </c>
      <c r="C5041" s="10">
        <v>12</v>
      </c>
      <c r="D5041" s="10">
        <v>0.7</v>
      </c>
      <c r="E5041" s="10">
        <v>41.5</v>
      </c>
    </row>
    <row r="5042" spans="1:5">
      <c r="A5042" t="s">
        <v>10534</v>
      </c>
      <c r="B5042" t="s">
        <v>9324</v>
      </c>
      <c r="C5042" s="10">
        <v>6</v>
      </c>
      <c r="D5042" s="10">
        <v>0.7</v>
      </c>
      <c r="E5042" s="10">
        <v>41.5</v>
      </c>
    </row>
    <row r="5043" spans="1:5">
      <c r="A5043" t="s">
        <v>7779</v>
      </c>
      <c r="B5043" t="s">
        <v>7780</v>
      </c>
      <c r="C5043" s="10">
        <v>12</v>
      </c>
      <c r="D5043" s="10">
        <v>0.7</v>
      </c>
      <c r="E5043" s="10">
        <v>40</v>
      </c>
    </row>
    <row r="5044" spans="1:5">
      <c r="A5044" t="s">
        <v>7091</v>
      </c>
      <c r="B5044" t="s">
        <v>7092</v>
      </c>
      <c r="C5044" s="10">
        <v>6</v>
      </c>
      <c r="D5044" s="10">
        <v>0.7</v>
      </c>
      <c r="E5044" s="10">
        <v>40</v>
      </c>
    </row>
    <row r="5045" spans="1:5">
      <c r="A5045" t="s">
        <v>7382</v>
      </c>
      <c r="B5045" t="s">
        <v>7383</v>
      </c>
      <c r="C5045" s="10">
        <v>6</v>
      </c>
      <c r="D5045" s="10">
        <v>0.75</v>
      </c>
      <c r="E5045" s="10">
        <v>12.5</v>
      </c>
    </row>
    <row r="5046" spans="1:5">
      <c r="A5046" t="s">
        <v>7384</v>
      </c>
      <c r="B5046" t="s">
        <v>7385</v>
      </c>
      <c r="C5046" s="10">
        <v>6</v>
      </c>
      <c r="D5046" s="10">
        <v>0.75</v>
      </c>
      <c r="E5046" s="10">
        <v>12.5</v>
      </c>
    </row>
    <row r="5047" spans="1:5">
      <c r="A5047" t="s">
        <v>10535</v>
      </c>
      <c r="B5047" t="s">
        <v>9325</v>
      </c>
      <c r="C5047" s="10">
        <v>6</v>
      </c>
      <c r="D5047" s="10">
        <v>0.75</v>
      </c>
      <c r="E5047" s="10">
        <v>12.5</v>
      </c>
    </row>
    <row r="5048" spans="1:5">
      <c r="A5048" t="s">
        <v>7388</v>
      </c>
      <c r="B5048" t="s">
        <v>7389</v>
      </c>
      <c r="C5048" s="10">
        <v>6</v>
      </c>
      <c r="D5048" s="10">
        <v>0.75</v>
      </c>
      <c r="E5048" s="10">
        <v>12.5</v>
      </c>
    </row>
    <row r="5049" spans="1:5">
      <c r="A5049" t="s">
        <v>10536</v>
      </c>
      <c r="B5049" t="s">
        <v>9326</v>
      </c>
      <c r="C5049" s="10">
        <v>6</v>
      </c>
      <c r="D5049" s="10">
        <v>0.75</v>
      </c>
      <c r="E5049" s="10">
        <v>12.5</v>
      </c>
    </row>
    <row r="5050" spans="1:5">
      <c r="A5050" t="s">
        <v>10537</v>
      </c>
      <c r="B5050" t="s">
        <v>9327</v>
      </c>
      <c r="C5050" s="10">
        <v>6</v>
      </c>
      <c r="D5050" s="10">
        <v>0.75</v>
      </c>
      <c r="E5050" s="10">
        <v>12.5</v>
      </c>
    </row>
    <row r="5051" spans="1:5">
      <c r="A5051" t="s">
        <v>10538</v>
      </c>
      <c r="B5051" t="s">
        <v>9328</v>
      </c>
      <c r="C5051" s="10">
        <v>6</v>
      </c>
      <c r="D5051" s="10">
        <v>0.7</v>
      </c>
      <c r="E5051" s="10">
        <v>40</v>
      </c>
    </row>
    <row r="5052" spans="1:5">
      <c r="A5052" t="s">
        <v>7944</v>
      </c>
      <c r="B5052" t="s">
        <v>7945</v>
      </c>
      <c r="C5052" s="10">
        <v>12</v>
      </c>
      <c r="D5052" s="10">
        <v>400</v>
      </c>
      <c r="E5052" s="10">
        <v>0</v>
      </c>
    </row>
    <row r="5053" spans="1:5">
      <c r="A5053" t="s">
        <v>7532</v>
      </c>
      <c r="B5053" t="s">
        <v>7533</v>
      </c>
      <c r="C5053" s="10">
        <v>6</v>
      </c>
      <c r="D5053" s="10">
        <v>0.7</v>
      </c>
      <c r="E5053" s="10">
        <v>48.7</v>
      </c>
    </row>
    <row r="5054" spans="1:5">
      <c r="A5054" t="s">
        <v>7946</v>
      </c>
      <c r="B5054" t="s">
        <v>6713</v>
      </c>
      <c r="C5054" s="10">
        <v>12</v>
      </c>
      <c r="D5054" s="10">
        <v>568</v>
      </c>
      <c r="E5054" s="10">
        <v>4.5</v>
      </c>
    </row>
    <row r="5055" spans="1:5">
      <c r="A5055" t="s">
        <v>10539</v>
      </c>
      <c r="B5055" t="s">
        <v>2213</v>
      </c>
      <c r="C5055" s="10">
        <v>12</v>
      </c>
      <c r="D5055" s="10">
        <v>1</v>
      </c>
      <c r="E5055" s="10">
        <v>45</v>
      </c>
    </row>
    <row r="5056" spans="1:5">
      <c r="A5056" t="s">
        <v>10540</v>
      </c>
      <c r="B5056" t="s">
        <v>4214</v>
      </c>
      <c r="C5056" s="10">
        <v>6</v>
      </c>
      <c r="D5056" s="10">
        <v>0.7</v>
      </c>
      <c r="E5056" s="10">
        <v>47</v>
      </c>
    </row>
    <row r="5057" spans="1:5">
      <c r="A5057" t="s">
        <v>7947</v>
      </c>
      <c r="B5057" t="s">
        <v>7948</v>
      </c>
      <c r="C5057" s="10">
        <v>12</v>
      </c>
      <c r="D5057" s="10">
        <v>0.2</v>
      </c>
      <c r="E5057" s="10">
        <v>41</v>
      </c>
    </row>
    <row r="5058" spans="1:5">
      <c r="A5058" t="s">
        <v>7535</v>
      </c>
      <c r="B5058" t="s">
        <v>1666</v>
      </c>
      <c r="C5058" s="10">
        <v>6</v>
      </c>
      <c r="D5058" s="10">
        <v>0.7</v>
      </c>
      <c r="E5058" s="10">
        <v>21</v>
      </c>
    </row>
    <row r="5059" spans="1:5">
      <c r="A5059" t="s">
        <v>10541</v>
      </c>
      <c r="B5059" t="s">
        <v>9329</v>
      </c>
      <c r="C5059" s="10">
        <v>6</v>
      </c>
      <c r="D5059" s="10">
        <v>0.75</v>
      </c>
      <c r="E5059" s="10">
        <v>14.5</v>
      </c>
    </row>
    <row r="5060" spans="1:5">
      <c r="A5060" t="s">
        <v>10542</v>
      </c>
      <c r="B5060" t="s">
        <v>9330</v>
      </c>
      <c r="C5060" s="10">
        <v>6</v>
      </c>
      <c r="D5060" s="10">
        <v>0.75</v>
      </c>
      <c r="E5060" s="10">
        <v>13.5</v>
      </c>
    </row>
    <row r="5061" spans="1:5">
      <c r="A5061" t="s">
        <v>7324</v>
      </c>
      <c r="B5061" t="s">
        <v>7325</v>
      </c>
      <c r="C5061" s="10">
        <v>6</v>
      </c>
      <c r="D5061" s="10">
        <v>0.75</v>
      </c>
      <c r="E5061" s="10">
        <v>13</v>
      </c>
    </row>
    <row r="5062" spans="1:5">
      <c r="A5062" t="s">
        <v>10543</v>
      </c>
      <c r="B5062" t="s">
        <v>9331</v>
      </c>
      <c r="C5062" s="10">
        <v>6</v>
      </c>
      <c r="D5062" s="10">
        <v>0.75</v>
      </c>
      <c r="E5062" s="10">
        <v>14</v>
      </c>
    </row>
    <row r="5063" spans="1:5">
      <c r="A5063" t="s">
        <v>10544</v>
      </c>
      <c r="B5063" t="s">
        <v>9332</v>
      </c>
      <c r="C5063" s="10">
        <v>6</v>
      </c>
      <c r="D5063" s="10">
        <v>0.7</v>
      </c>
      <c r="E5063" s="10">
        <v>40</v>
      </c>
    </row>
    <row r="5064" spans="1:5">
      <c r="A5064" t="s">
        <v>10545</v>
      </c>
      <c r="B5064" t="s">
        <v>2222</v>
      </c>
      <c r="C5064" s="10">
        <v>6</v>
      </c>
      <c r="D5064" s="10">
        <v>1</v>
      </c>
      <c r="E5064" s="10">
        <v>14.4</v>
      </c>
    </row>
    <row r="5065" spans="1:5">
      <c r="A5065" t="s">
        <v>10546</v>
      </c>
      <c r="B5065" t="s">
        <v>9333</v>
      </c>
      <c r="C5065" s="10">
        <v>6</v>
      </c>
      <c r="D5065" s="10">
        <v>0.7</v>
      </c>
      <c r="E5065" s="10">
        <v>47</v>
      </c>
    </row>
    <row r="5066" spans="1:5">
      <c r="A5066" t="s">
        <v>7097</v>
      </c>
      <c r="B5066" t="s">
        <v>7098</v>
      </c>
      <c r="C5066" s="10">
        <v>6</v>
      </c>
      <c r="D5066" s="10">
        <v>0.7</v>
      </c>
      <c r="E5066" s="10">
        <v>40</v>
      </c>
    </row>
    <row r="5067" spans="1:5">
      <c r="A5067" t="s">
        <v>10547</v>
      </c>
      <c r="B5067" t="s">
        <v>9334</v>
      </c>
      <c r="C5067" s="10">
        <v>6</v>
      </c>
      <c r="D5067" s="10">
        <v>0.7</v>
      </c>
      <c r="E5067" s="10">
        <v>40</v>
      </c>
    </row>
    <row r="5068" spans="1:5">
      <c r="A5068" t="s">
        <v>7101</v>
      </c>
      <c r="B5068" t="s">
        <v>7100</v>
      </c>
      <c r="C5068" s="10">
        <v>6</v>
      </c>
      <c r="D5068" s="10">
        <v>0.7</v>
      </c>
      <c r="E5068" s="10">
        <v>40</v>
      </c>
    </row>
    <row r="5069" spans="1:5">
      <c r="A5069" t="s">
        <v>10548</v>
      </c>
      <c r="B5069" t="s">
        <v>9335</v>
      </c>
      <c r="C5069" s="10">
        <v>6</v>
      </c>
      <c r="D5069" s="10">
        <v>0.7</v>
      </c>
      <c r="E5069" s="10">
        <v>40</v>
      </c>
    </row>
    <row r="5070" spans="1:5">
      <c r="A5070" t="s">
        <v>7889</v>
      </c>
      <c r="B5070" t="s">
        <v>7890</v>
      </c>
      <c r="C5070" s="10">
        <v>3</v>
      </c>
      <c r="D5070" s="10">
        <v>0.7</v>
      </c>
      <c r="E5070" s="10">
        <v>46</v>
      </c>
    </row>
    <row r="5071" spans="1:5">
      <c r="A5071" t="s">
        <v>10549</v>
      </c>
      <c r="B5071" t="s">
        <v>9336</v>
      </c>
      <c r="C5071" s="10">
        <v>6</v>
      </c>
      <c r="D5071" s="10">
        <v>0.7</v>
      </c>
      <c r="E5071" s="10">
        <v>51.63</v>
      </c>
    </row>
    <row r="5072" spans="1:5">
      <c r="A5072" t="s">
        <v>7398</v>
      </c>
      <c r="B5072" t="s">
        <v>3052</v>
      </c>
      <c r="C5072" s="10">
        <v>6</v>
      </c>
      <c r="D5072" s="10">
        <v>0.75</v>
      </c>
      <c r="E5072" s="10">
        <v>12.5</v>
      </c>
    </row>
    <row r="5073" spans="1:5">
      <c r="A5073" t="s">
        <v>7891</v>
      </c>
      <c r="B5073" t="s">
        <v>7892</v>
      </c>
      <c r="C5073" s="10">
        <v>1</v>
      </c>
      <c r="D5073" s="10">
        <v>1.5</v>
      </c>
      <c r="E5073" s="10">
        <v>12</v>
      </c>
    </row>
    <row r="5074" spans="1:5">
      <c r="A5074" t="s">
        <v>7104</v>
      </c>
      <c r="B5074" t="s">
        <v>7105</v>
      </c>
      <c r="C5074" s="10">
        <v>6</v>
      </c>
      <c r="D5074" s="10">
        <v>0.7</v>
      </c>
      <c r="E5074" s="10">
        <v>40</v>
      </c>
    </row>
    <row r="5075" spans="1:5">
      <c r="A5075" t="s">
        <v>7898</v>
      </c>
      <c r="B5075" t="s">
        <v>7899</v>
      </c>
      <c r="C5075" s="10">
        <v>3</v>
      </c>
      <c r="D5075" s="10">
        <v>0.7</v>
      </c>
      <c r="E5075" s="10">
        <v>39.5</v>
      </c>
    </row>
    <row r="5076" spans="1:5">
      <c r="A5076" t="s">
        <v>7247</v>
      </c>
      <c r="B5076" t="s">
        <v>7248</v>
      </c>
      <c r="C5076" s="10">
        <v>6</v>
      </c>
      <c r="D5076" s="10">
        <v>0.5</v>
      </c>
      <c r="E5076" s="10">
        <v>47</v>
      </c>
    </row>
    <row r="5077" spans="1:5">
      <c r="A5077" t="s">
        <v>10550</v>
      </c>
      <c r="B5077" t="s">
        <v>8935</v>
      </c>
      <c r="C5077" s="10">
        <v>24</v>
      </c>
      <c r="D5077" s="10">
        <v>0.33</v>
      </c>
      <c r="E5077" s="10">
        <v>5</v>
      </c>
    </row>
    <row r="5078" spans="1:5">
      <c r="A5078" t="s">
        <v>10551</v>
      </c>
      <c r="B5078" t="s">
        <v>9337</v>
      </c>
      <c r="C5078" s="10">
        <v>6</v>
      </c>
      <c r="D5078" s="10">
        <v>0.5</v>
      </c>
      <c r="E5078" s="10">
        <v>17</v>
      </c>
    </row>
    <row r="5079" spans="1:5">
      <c r="A5079" t="s">
        <v>7251</v>
      </c>
      <c r="B5079" t="s">
        <v>7252</v>
      </c>
      <c r="C5079" s="10">
        <v>6</v>
      </c>
      <c r="D5079" s="10">
        <v>0.5</v>
      </c>
      <c r="E5079" s="10">
        <v>15</v>
      </c>
    </row>
    <row r="5080" spans="1:5">
      <c r="A5080" t="s">
        <v>10552</v>
      </c>
      <c r="B5080" t="s">
        <v>9338</v>
      </c>
      <c r="C5080" s="10">
        <v>6</v>
      </c>
      <c r="D5080" s="10">
        <v>1</v>
      </c>
      <c r="E5080" s="10">
        <v>37.5</v>
      </c>
    </row>
    <row r="5081" spans="1:5">
      <c r="A5081" t="s">
        <v>10553</v>
      </c>
      <c r="B5081" t="s">
        <v>9339</v>
      </c>
      <c r="C5081" s="10">
        <v>6</v>
      </c>
      <c r="D5081" s="10">
        <v>0.75</v>
      </c>
      <c r="E5081" s="10">
        <v>12</v>
      </c>
    </row>
    <row r="5082" spans="1:5">
      <c r="A5082" t="s">
        <v>7555</v>
      </c>
      <c r="B5082" t="s">
        <v>7556</v>
      </c>
      <c r="C5082" s="10">
        <v>6</v>
      </c>
      <c r="D5082" s="10">
        <v>0.7</v>
      </c>
      <c r="E5082" s="10">
        <v>0</v>
      </c>
    </row>
    <row r="5083" spans="1:5">
      <c r="A5083" t="s">
        <v>7559</v>
      </c>
      <c r="B5083" t="s">
        <v>7560</v>
      </c>
      <c r="C5083" s="10">
        <v>6</v>
      </c>
      <c r="D5083" s="10">
        <v>0.7</v>
      </c>
      <c r="E5083" s="10">
        <v>41</v>
      </c>
    </row>
    <row r="5084" spans="1:5">
      <c r="A5084" t="s">
        <v>7692</v>
      </c>
      <c r="B5084" t="s">
        <v>5254</v>
      </c>
      <c r="C5084" s="10">
        <v>6</v>
      </c>
      <c r="D5084" s="10">
        <v>0.7</v>
      </c>
      <c r="E5084" s="10">
        <v>46</v>
      </c>
    </row>
    <row r="5085" spans="1:5">
      <c r="A5085" t="s">
        <v>10554</v>
      </c>
      <c r="B5085" t="s">
        <v>9340</v>
      </c>
      <c r="C5085" s="10">
        <v>6</v>
      </c>
      <c r="D5085" s="10">
        <v>0.15</v>
      </c>
      <c r="E5085" s="10">
        <v>43</v>
      </c>
    </row>
    <row r="5086" spans="1:5">
      <c r="A5086" t="s">
        <v>7563</v>
      </c>
      <c r="B5086" t="s">
        <v>7564</v>
      </c>
      <c r="C5086" s="10">
        <v>6</v>
      </c>
      <c r="D5086" s="10">
        <v>0.7</v>
      </c>
      <c r="E5086" s="10">
        <v>10</v>
      </c>
    </row>
    <row r="5087" spans="1:5">
      <c r="A5087" t="s">
        <v>10555</v>
      </c>
      <c r="B5087" t="s">
        <v>2265</v>
      </c>
      <c r="C5087" s="10">
        <v>12</v>
      </c>
      <c r="D5087" s="10">
        <v>1</v>
      </c>
      <c r="E5087" s="10">
        <v>30</v>
      </c>
    </row>
    <row r="5088" spans="1:5">
      <c r="A5088" t="s">
        <v>7253</v>
      </c>
      <c r="B5088" t="s">
        <v>7254</v>
      </c>
      <c r="C5088" s="10">
        <v>6</v>
      </c>
      <c r="D5088" s="10">
        <v>0.5</v>
      </c>
      <c r="E5088" s="10">
        <v>26</v>
      </c>
    </row>
    <row r="5089" spans="1:5">
      <c r="A5089" t="s">
        <v>7902</v>
      </c>
      <c r="B5089" t="s">
        <v>6389</v>
      </c>
      <c r="C5089" s="10">
        <v>24</v>
      </c>
      <c r="D5089" s="10">
        <v>0.33</v>
      </c>
      <c r="E5089" s="10">
        <v>5</v>
      </c>
    </row>
    <row r="5090" spans="1:5">
      <c r="A5090" t="s">
        <v>7220</v>
      </c>
      <c r="B5090" t="s">
        <v>7221</v>
      </c>
      <c r="C5090" s="10">
        <v>6</v>
      </c>
      <c r="D5090" s="10">
        <v>0.6</v>
      </c>
      <c r="E5090" s="10">
        <v>41.12</v>
      </c>
    </row>
    <row r="5091" spans="1:5">
      <c r="A5091" t="s">
        <v>10556</v>
      </c>
      <c r="B5091" t="s">
        <v>3193</v>
      </c>
      <c r="C5091" s="10">
        <v>6</v>
      </c>
      <c r="D5091" s="10">
        <v>0.75</v>
      </c>
      <c r="E5091" s="10">
        <v>12.5</v>
      </c>
    </row>
    <row r="5092" spans="1:5">
      <c r="A5092" t="s">
        <v>7222</v>
      </c>
      <c r="B5092" t="s">
        <v>1672</v>
      </c>
      <c r="C5092" s="10">
        <v>6</v>
      </c>
      <c r="D5092" s="10">
        <v>2</v>
      </c>
      <c r="E5092" s="10">
        <v>37.5</v>
      </c>
    </row>
    <row r="5093" spans="1:5">
      <c r="A5093" t="s">
        <v>10557</v>
      </c>
      <c r="B5093" t="s">
        <v>9341</v>
      </c>
      <c r="C5093" s="10">
        <v>6</v>
      </c>
      <c r="D5093" s="10">
        <v>0.7</v>
      </c>
      <c r="E5093" s="10">
        <v>50</v>
      </c>
    </row>
    <row r="5094" spans="1:5">
      <c r="A5094" t="s">
        <v>10558</v>
      </c>
      <c r="B5094" t="s">
        <v>1138</v>
      </c>
      <c r="C5094" s="10">
        <v>6</v>
      </c>
      <c r="D5094" s="10">
        <v>0.7</v>
      </c>
      <c r="E5094" s="10">
        <v>40</v>
      </c>
    </row>
    <row r="5095" spans="1:5">
      <c r="A5095" t="s">
        <v>7570</v>
      </c>
      <c r="B5095" t="s">
        <v>7571</v>
      </c>
      <c r="C5095" s="10">
        <v>6</v>
      </c>
      <c r="D5095" s="10">
        <v>0.7</v>
      </c>
      <c r="E5095" s="10">
        <v>35</v>
      </c>
    </row>
    <row r="5096" spans="1:5">
      <c r="A5096" t="s">
        <v>7695</v>
      </c>
      <c r="B5096" t="s">
        <v>7696</v>
      </c>
      <c r="C5096" s="10">
        <v>6</v>
      </c>
      <c r="D5096" s="10">
        <v>0.7</v>
      </c>
      <c r="E5096" s="10">
        <v>46</v>
      </c>
    </row>
    <row r="5097" spans="1:5">
      <c r="A5097" t="s">
        <v>7116</v>
      </c>
      <c r="B5097" t="s">
        <v>7117</v>
      </c>
      <c r="C5097" s="10">
        <v>6</v>
      </c>
      <c r="D5097" s="10">
        <v>0.7</v>
      </c>
      <c r="E5097" s="10">
        <v>40</v>
      </c>
    </row>
    <row r="5098" spans="1:5">
      <c r="A5098" t="s">
        <v>10559</v>
      </c>
      <c r="B5098" t="s">
        <v>9342</v>
      </c>
      <c r="C5098" s="10">
        <v>6</v>
      </c>
      <c r="D5098" s="10">
        <v>0.5</v>
      </c>
      <c r="E5098" s="10">
        <v>38</v>
      </c>
    </row>
    <row r="5099" spans="1:5">
      <c r="A5099" t="s">
        <v>7574</v>
      </c>
      <c r="B5099" t="s">
        <v>7575</v>
      </c>
      <c r="C5099" s="10">
        <v>6</v>
      </c>
      <c r="D5099" s="10">
        <v>0.7</v>
      </c>
      <c r="E5099" s="10">
        <v>20</v>
      </c>
    </row>
    <row r="5100" spans="1:5">
      <c r="A5100" t="s">
        <v>10560</v>
      </c>
      <c r="B5100" t="s">
        <v>9343</v>
      </c>
      <c r="C5100" s="10">
        <v>4</v>
      </c>
      <c r="D5100" s="10">
        <v>0.7</v>
      </c>
      <c r="E5100" s="10">
        <v>40</v>
      </c>
    </row>
    <row r="5101" spans="1:5">
      <c r="A5101" t="s">
        <v>7652</v>
      </c>
      <c r="B5101" t="s">
        <v>7653</v>
      </c>
      <c r="C5101" s="10">
        <v>6</v>
      </c>
      <c r="D5101" s="10">
        <v>0.7</v>
      </c>
      <c r="E5101" s="10">
        <v>38</v>
      </c>
    </row>
    <row r="5102" spans="1:5">
      <c r="A5102" t="s">
        <v>10561</v>
      </c>
      <c r="B5102" t="s">
        <v>9344</v>
      </c>
      <c r="C5102" s="10">
        <v>6</v>
      </c>
      <c r="D5102" s="10">
        <v>0.7</v>
      </c>
      <c r="E5102" s="10">
        <v>57.5</v>
      </c>
    </row>
    <row r="5103" spans="1:5">
      <c r="A5103" t="s">
        <v>10562</v>
      </c>
      <c r="B5103" t="s">
        <v>3088</v>
      </c>
      <c r="C5103" s="10">
        <v>6</v>
      </c>
      <c r="D5103" s="10">
        <v>0.75</v>
      </c>
      <c r="E5103" s="10">
        <v>12</v>
      </c>
    </row>
    <row r="5104" spans="1:5">
      <c r="A5104" t="s">
        <v>10563</v>
      </c>
      <c r="B5104" t="s">
        <v>9345</v>
      </c>
      <c r="C5104" s="10">
        <v>1</v>
      </c>
      <c r="D5104" s="10">
        <v>0.25</v>
      </c>
      <c r="E5104" s="10">
        <v>40</v>
      </c>
    </row>
    <row r="5105" spans="1:5">
      <c r="A5105" t="s">
        <v>7332</v>
      </c>
      <c r="B5105" t="s">
        <v>7333</v>
      </c>
      <c r="C5105" s="10">
        <v>6</v>
      </c>
      <c r="D5105" s="10">
        <v>0.75</v>
      </c>
      <c r="E5105" s="10">
        <v>19.5</v>
      </c>
    </row>
    <row r="5106" spans="1:5">
      <c r="A5106" t="s">
        <v>7401</v>
      </c>
      <c r="B5106" t="s">
        <v>7402</v>
      </c>
      <c r="C5106" s="10">
        <v>6</v>
      </c>
      <c r="D5106" s="10">
        <v>0.75</v>
      </c>
      <c r="E5106" s="10">
        <v>12.5</v>
      </c>
    </row>
    <row r="5107" spans="1:5">
      <c r="A5107" t="s">
        <v>7368</v>
      </c>
      <c r="B5107" t="s">
        <v>7369</v>
      </c>
      <c r="C5107" s="10">
        <v>6</v>
      </c>
      <c r="D5107" s="10">
        <v>0.75</v>
      </c>
      <c r="E5107" s="10">
        <v>12</v>
      </c>
    </row>
    <row r="5108" spans="1:5">
      <c r="A5108" t="s">
        <v>7580</v>
      </c>
      <c r="B5108" t="s">
        <v>7581</v>
      </c>
      <c r="C5108" s="10">
        <v>6</v>
      </c>
      <c r="D5108" s="10">
        <v>0.7</v>
      </c>
      <c r="E5108" s="10">
        <v>33</v>
      </c>
    </row>
    <row r="5109" spans="1:5">
      <c r="A5109" t="s">
        <v>10564</v>
      </c>
      <c r="B5109" t="s">
        <v>1906</v>
      </c>
      <c r="C5109" s="10">
        <v>6</v>
      </c>
      <c r="D5109" s="10">
        <v>0.7</v>
      </c>
      <c r="E5109" s="10">
        <v>38</v>
      </c>
    </row>
    <row r="5110" spans="1:5">
      <c r="A5110" t="s">
        <v>10565</v>
      </c>
      <c r="B5110" t="s">
        <v>1908</v>
      </c>
      <c r="C5110" s="10">
        <v>6</v>
      </c>
      <c r="D5110" s="10">
        <v>1</v>
      </c>
      <c r="E5110" s="10">
        <v>38</v>
      </c>
    </row>
    <row r="5111" spans="1:5">
      <c r="A5111" t="s">
        <v>10566</v>
      </c>
      <c r="B5111" t="s">
        <v>9346</v>
      </c>
      <c r="C5111" s="10">
        <v>4</v>
      </c>
      <c r="D5111" s="10">
        <v>3</v>
      </c>
      <c r="E5111" s="10">
        <v>37.5</v>
      </c>
    </row>
    <row r="5112" spans="1:5">
      <c r="A5112" t="s">
        <v>10567</v>
      </c>
      <c r="B5112" t="s">
        <v>9347</v>
      </c>
      <c r="C5112" s="10">
        <v>6</v>
      </c>
      <c r="D5112" s="10">
        <v>1.5</v>
      </c>
      <c r="E5112" s="10">
        <v>37.5</v>
      </c>
    </row>
    <row r="5113" spans="1:5">
      <c r="A5113" t="s">
        <v>7405</v>
      </c>
      <c r="B5113" t="s">
        <v>7404</v>
      </c>
      <c r="C5113" s="10">
        <v>6</v>
      </c>
      <c r="D5113" s="10">
        <v>0.75</v>
      </c>
      <c r="E5113" s="10">
        <v>12.5</v>
      </c>
    </row>
    <row r="5114" spans="1:5">
      <c r="A5114" t="s">
        <v>7588</v>
      </c>
      <c r="B5114" t="s">
        <v>7589</v>
      </c>
      <c r="C5114" s="10">
        <v>6</v>
      </c>
      <c r="D5114" s="10">
        <v>0.7</v>
      </c>
      <c r="E5114" s="10">
        <v>45.8</v>
      </c>
    </row>
    <row r="5115" spans="1:5">
      <c r="A5115" t="s">
        <v>10568</v>
      </c>
      <c r="B5115" t="s">
        <v>9348</v>
      </c>
      <c r="C5115" s="10">
        <v>6</v>
      </c>
      <c r="D5115" s="10">
        <v>0.7</v>
      </c>
      <c r="E5115" s="10">
        <v>45.8</v>
      </c>
    </row>
    <row r="5116" spans="1:5">
      <c r="A5116" t="s">
        <v>10569</v>
      </c>
      <c r="B5116" t="s">
        <v>9138</v>
      </c>
      <c r="C5116" s="10">
        <v>32</v>
      </c>
      <c r="D5116" s="10">
        <v>0.2</v>
      </c>
      <c r="E5116" s="10">
        <v>43.25</v>
      </c>
    </row>
    <row r="5117" spans="1:5">
      <c r="A5117" t="s">
        <v>10570</v>
      </c>
      <c r="B5117" t="s">
        <v>6500</v>
      </c>
      <c r="C5117" s="10">
        <v>120</v>
      </c>
      <c r="D5117" s="10">
        <v>0.05</v>
      </c>
      <c r="E5117" s="10">
        <v>43.1</v>
      </c>
    </row>
    <row r="5118" spans="1:5">
      <c r="A5118" t="s">
        <v>10571</v>
      </c>
      <c r="B5118" t="s">
        <v>1258</v>
      </c>
      <c r="C5118" s="10">
        <v>6</v>
      </c>
      <c r="D5118" s="10">
        <v>1</v>
      </c>
      <c r="E5118" s="10">
        <v>40</v>
      </c>
    </row>
    <row r="5119" spans="1:5">
      <c r="A5119" t="s">
        <v>10572</v>
      </c>
      <c r="B5119" t="s">
        <v>9349</v>
      </c>
      <c r="C5119" s="10">
        <v>6</v>
      </c>
      <c r="D5119" s="10">
        <v>0.7</v>
      </c>
      <c r="E5119" s="10">
        <v>40</v>
      </c>
    </row>
    <row r="5120" spans="1:5">
      <c r="A5120" t="s">
        <v>7346</v>
      </c>
      <c r="B5120" t="s">
        <v>7347</v>
      </c>
      <c r="C5120" s="10">
        <v>6</v>
      </c>
      <c r="D5120" s="10">
        <v>0.75</v>
      </c>
      <c r="E5120" s="10">
        <v>14.5</v>
      </c>
    </row>
    <row r="5121" spans="1:5">
      <c r="A5121" t="s">
        <v>7348</v>
      </c>
      <c r="B5121" t="s">
        <v>7349</v>
      </c>
      <c r="C5121" s="10">
        <v>6</v>
      </c>
      <c r="D5121" s="10">
        <v>0.75</v>
      </c>
      <c r="E5121" s="10">
        <v>14</v>
      </c>
    </row>
    <row r="5122" spans="1:5">
      <c r="A5122" t="s">
        <v>10573</v>
      </c>
      <c r="B5122" t="s">
        <v>9350</v>
      </c>
      <c r="C5122" s="10">
        <v>6</v>
      </c>
      <c r="D5122" s="10">
        <v>0.7</v>
      </c>
      <c r="E5122" s="10">
        <v>37.5</v>
      </c>
    </row>
    <row r="5123" spans="1:5">
      <c r="A5123" t="s">
        <v>7257</v>
      </c>
      <c r="B5123" t="s">
        <v>7258</v>
      </c>
      <c r="C5123" s="10">
        <v>6</v>
      </c>
      <c r="D5123" s="10">
        <v>0.5</v>
      </c>
      <c r="E5123" s="10">
        <v>44</v>
      </c>
    </row>
    <row r="5124" spans="1:5">
      <c r="A5124" t="s">
        <v>7913</v>
      </c>
      <c r="B5124" t="s">
        <v>7914</v>
      </c>
      <c r="C5124" s="10">
        <v>4</v>
      </c>
      <c r="D5124" s="10">
        <v>0.7</v>
      </c>
      <c r="E5124" s="10">
        <v>46</v>
      </c>
    </row>
    <row r="5125" spans="1:5">
      <c r="A5125" t="s">
        <v>7225</v>
      </c>
      <c r="B5125" t="s">
        <v>7226</v>
      </c>
      <c r="C5125" s="10">
        <v>6</v>
      </c>
      <c r="D5125" s="10">
        <v>0.6</v>
      </c>
      <c r="E5125" s="10">
        <v>44.3</v>
      </c>
    </row>
    <row r="5126" spans="1:5">
      <c r="A5126" t="s">
        <v>7137</v>
      </c>
      <c r="B5126" t="s">
        <v>7138</v>
      </c>
      <c r="C5126" s="10">
        <v>6</v>
      </c>
      <c r="D5126" s="10">
        <v>0.7</v>
      </c>
      <c r="E5126" s="10">
        <v>40</v>
      </c>
    </row>
    <row r="5127" spans="1:5">
      <c r="A5127" t="s">
        <v>10574</v>
      </c>
      <c r="B5127" t="s">
        <v>1302</v>
      </c>
      <c r="C5127" s="10">
        <v>3</v>
      </c>
      <c r="D5127" s="10">
        <v>0.7</v>
      </c>
      <c r="E5127" s="10">
        <v>40</v>
      </c>
    </row>
    <row r="5128" spans="1:5">
      <c r="A5128" t="s">
        <v>10575</v>
      </c>
      <c r="B5128" t="s">
        <v>9351</v>
      </c>
      <c r="C5128" s="10">
        <v>3</v>
      </c>
      <c r="D5128" s="10">
        <v>0.7</v>
      </c>
      <c r="E5128" s="10">
        <v>43</v>
      </c>
    </row>
    <row r="5129" spans="1:5">
      <c r="A5129" t="s">
        <v>7739</v>
      </c>
      <c r="B5129" t="s">
        <v>7740</v>
      </c>
      <c r="C5129" s="10">
        <v>6</v>
      </c>
      <c r="D5129" s="10">
        <v>0.7</v>
      </c>
      <c r="E5129" s="10">
        <v>43</v>
      </c>
    </row>
    <row r="5130" spans="1:5">
      <c r="A5130" t="s">
        <v>7741</v>
      </c>
      <c r="B5130" t="s">
        <v>7742</v>
      </c>
      <c r="C5130" s="10">
        <v>6</v>
      </c>
      <c r="D5130" s="10">
        <v>0.7</v>
      </c>
      <c r="E5130" s="10">
        <v>43</v>
      </c>
    </row>
    <row r="5131" spans="1:5">
      <c r="A5131" t="s">
        <v>7982</v>
      </c>
      <c r="B5131" t="s">
        <v>1692</v>
      </c>
      <c r="C5131" s="10">
        <v>12</v>
      </c>
      <c r="D5131" s="10">
        <v>1</v>
      </c>
      <c r="E5131" s="10">
        <v>20</v>
      </c>
    </row>
    <row r="5132" spans="1:5">
      <c r="A5132" t="s">
        <v>7214</v>
      </c>
      <c r="B5132" t="s">
        <v>1344</v>
      </c>
      <c r="C5132" s="10">
        <v>6</v>
      </c>
      <c r="D5132" s="10">
        <v>1.75</v>
      </c>
      <c r="E5132" s="10">
        <v>40</v>
      </c>
    </row>
    <row r="5133" spans="1:5">
      <c r="A5133" t="s">
        <v>7149</v>
      </c>
      <c r="B5133" t="s">
        <v>7150</v>
      </c>
      <c r="C5133" s="10">
        <v>6</v>
      </c>
      <c r="D5133" s="10">
        <v>0.7</v>
      </c>
      <c r="E5133" s="10">
        <v>40</v>
      </c>
    </row>
    <row r="5134" spans="1:5">
      <c r="A5134" t="s">
        <v>10576</v>
      </c>
      <c r="B5134" t="s">
        <v>9226</v>
      </c>
      <c r="C5134" s="10">
        <v>12</v>
      </c>
      <c r="D5134" s="10">
        <v>0.7</v>
      </c>
      <c r="E5134" s="10">
        <v>38</v>
      </c>
    </row>
    <row r="5135" spans="1:5">
      <c r="A5135" t="s">
        <v>10577</v>
      </c>
      <c r="B5135" t="s">
        <v>3093</v>
      </c>
      <c r="C5135" s="10">
        <v>6</v>
      </c>
      <c r="D5135" s="10">
        <v>0.75</v>
      </c>
      <c r="E5135" s="10">
        <v>12</v>
      </c>
    </row>
    <row r="5136" spans="1:5">
      <c r="A5136" t="s">
        <v>10578</v>
      </c>
      <c r="B5136" t="s">
        <v>9352</v>
      </c>
      <c r="C5136" s="10">
        <v>6</v>
      </c>
      <c r="D5136" s="10">
        <v>2</v>
      </c>
      <c r="E5136" s="10">
        <v>38</v>
      </c>
    </row>
    <row r="5137" spans="1:5">
      <c r="A5137" t="s">
        <v>10579</v>
      </c>
      <c r="B5137" t="s">
        <v>9353</v>
      </c>
      <c r="C5137" s="10">
        <v>6</v>
      </c>
      <c r="D5137" s="10">
        <v>0.7</v>
      </c>
      <c r="E5137" s="10">
        <v>40</v>
      </c>
    </row>
    <row r="5138" spans="1:5">
      <c r="A5138" t="s">
        <v>7610</v>
      </c>
      <c r="B5138" t="s">
        <v>7611</v>
      </c>
      <c r="C5138" s="10">
        <v>6</v>
      </c>
      <c r="D5138" s="10">
        <v>0.7</v>
      </c>
      <c r="E5138" s="10">
        <v>30</v>
      </c>
    </row>
    <row r="5139" spans="1:5">
      <c r="A5139" t="s">
        <v>7612</v>
      </c>
      <c r="B5139" t="s">
        <v>7613</v>
      </c>
      <c r="C5139" s="10">
        <v>6</v>
      </c>
      <c r="D5139" s="10">
        <v>0.7</v>
      </c>
      <c r="E5139" s="10">
        <v>44</v>
      </c>
    </row>
    <row r="5140" spans="1:5">
      <c r="A5140" t="s">
        <v>7743</v>
      </c>
      <c r="B5140" t="s">
        <v>7744</v>
      </c>
      <c r="C5140" s="10">
        <v>6</v>
      </c>
      <c r="D5140" s="10">
        <v>0.7</v>
      </c>
      <c r="E5140" s="10">
        <v>43</v>
      </c>
    </row>
    <row r="5141" spans="1:5">
      <c r="A5141" t="s">
        <v>7918</v>
      </c>
      <c r="B5141" t="s">
        <v>6537</v>
      </c>
      <c r="C5141" s="10">
        <v>120</v>
      </c>
      <c r="D5141" s="10">
        <v>0.02</v>
      </c>
      <c r="E5141" s="10">
        <v>44</v>
      </c>
    </row>
    <row r="5142" spans="1:5">
      <c r="A5142" t="s">
        <v>10580</v>
      </c>
      <c r="B5142" t="s">
        <v>6537</v>
      </c>
      <c r="C5142" s="10">
        <v>120</v>
      </c>
      <c r="D5142" s="10">
        <v>0.02</v>
      </c>
      <c r="E5142" s="10">
        <v>44</v>
      </c>
    </row>
    <row r="5143" spans="1:5">
      <c r="A5143" t="s">
        <v>7919</v>
      </c>
      <c r="B5143" t="s">
        <v>7920</v>
      </c>
      <c r="C5143" s="10">
        <v>1</v>
      </c>
      <c r="D5143" s="10">
        <v>0.48</v>
      </c>
      <c r="E5143" s="10">
        <v>42.5</v>
      </c>
    </row>
    <row r="5144" spans="1:5">
      <c r="A5144" t="s">
        <v>10581</v>
      </c>
      <c r="B5144" t="s">
        <v>7920</v>
      </c>
      <c r="C5144" s="10">
        <v>1</v>
      </c>
      <c r="D5144" s="10">
        <v>0.48</v>
      </c>
      <c r="E5144" s="10">
        <v>40</v>
      </c>
    </row>
    <row r="5145" spans="1:5">
      <c r="A5145" t="s">
        <v>7923</v>
      </c>
      <c r="B5145" t="s">
        <v>7924</v>
      </c>
      <c r="C5145" s="10">
        <v>1</v>
      </c>
      <c r="D5145" s="10">
        <v>0.48</v>
      </c>
      <c r="E5145" s="10">
        <v>46</v>
      </c>
    </row>
    <row r="5146" spans="1:5">
      <c r="A5146" t="s">
        <v>7803</v>
      </c>
      <c r="B5146" t="s">
        <v>7804</v>
      </c>
      <c r="C5146" s="10">
        <v>1</v>
      </c>
      <c r="D5146" s="10">
        <v>0.48</v>
      </c>
      <c r="E5146" s="10">
        <v>40</v>
      </c>
    </row>
    <row r="5147" spans="1:5">
      <c r="A5147" t="s">
        <v>10582</v>
      </c>
      <c r="B5147" t="s">
        <v>7804</v>
      </c>
      <c r="C5147" s="10">
        <v>1</v>
      </c>
      <c r="D5147" s="10">
        <v>0.48</v>
      </c>
      <c r="E5147" s="10">
        <v>41.6</v>
      </c>
    </row>
    <row r="5148" spans="1:5">
      <c r="A5148" t="s">
        <v>7925</v>
      </c>
      <c r="B5148" t="s">
        <v>7926</v>
      </c>
      <c r="C5148" s="10">
        <v>1</v>
      </c>
      <c r="D5148" s="10">
        <v>0.48</v>
      </c>
      <c r="E5148" s="10">
        <v>42.3</v>
      </c>
    </row>
    <row r="5149" spans="1:5">
      <c r="A5149" t="s">
        <v>10583</v>
      </c>
      <c r="B5149" t="s">
        <v>7928</v>
      </c>
      <c r="C5149" s="10">
        <v>1</v>
      </c>
      <c r="D5149" s="10">
        <v>0.48</v>
      </c>
      <c r="E5149" s="10">
        <v>43.84</v>
      </c>
    </row>
    <row r="5150" spans="1:5">
      <c r="A5150" t="s">
        <v>7927</v>
      </c>
      <c r="B5150" t="s">
        <v>7928</v>
      </c>
      <c r="C5150" s="10">
        <v>1</v>
      </c>
      <c r="D5150" s="10">
        <v>0.48</v>
      </c>
      <c r="E5150" s="10">
        <v>42.4</v>
      </c>
    </row>
    <row r="5151" spans="1:5">
      <c r="A5151" t="s">
        <v>7929</v>
      </c>
      <c r="B5151" t="s">
        <v>7930</v>
      </c>
      <c r="C5151" s="10">
        <v>1</v>
      </c>
      <c r="D5151" s="10">
        <v>0.48</v>
      </c>
      <c r="E5151" s="10">
        <v>45</v>
      </c>
    </row>
    <row r="5152" spans="1:5">
      <c r="A5152" t="s">
        <v>7931</v>
      </c>
      <c r="B5152" t="s">
        <v>7932</v>
      </c>
      <c r="C5152" s="10">
        <v>1</v>
      </c>
      <c r="D5152" s="10">
        <v>0.48</v>
      </c>
      <c r="E5152" s="10">
        <v>44.61</v>
      </c>
    </row>
    <row r="5153" spans="1:5">
      <c r="A5153" t="s">
        <v>7933</v>
      </c>
      <c r="B5153" t="s">
        <v>7934</v>
      </c>
      <c r="C5153" s="10">
        <v>1</v>
      </c>
      <c r="D5153" s="10">
        <v>0.48</v>
      </c>
      <c r="E5153" s="10">
        <v>42</v>
      </c>
    </row>
    <row r="5154" spans="1:5">
      <c r="A5154" t="s">
        <v>10584</v>
      </c>
      <c r="B5154" t="s">
        <v>9354</v>
      </c>
      <c r="C5154" s="10">
        <v>1</v>
      </c>
      <c r="D5154" s="10">
        <v>0.48</v>
      </c>
      <c r="E5154" s="10">
        <v>42.31</v>
      </c>
    </row>
    <row r="5155" spans="1:5">
      <c r="A5155" t="s">
        <v>10585</v>
      </c>
      <c r="B5155" t="s">
        <v>9355</v>
      </c>
      <c r="C5155" s="10">
        <v>1</v>
      </c>
      <c r="D5155" s="10">
        <v>0.48</v>
      </c>
      <c r="E5155" s="10">
        <v>47.48</v>
      </c>
    </row>
    <row r="5156" spans="1:5">
      <c r="A5156" t="s">
        <v>7963</v>
      </c>
      <c r="B5156" t="s">
        <v>7964</v>
      </c>
      <c r="C5156" s="10">
        <v>12</v>
      </c>
      <c r="D5156" s="10">
        <v>0.12</v>
      </c>
      <c r="E5156" s="10">
        <v>41</v>
      </c>
    </row>
    <row r="5157" spans="1:5">
      <c r="A5157" t="s">
        <v>7965</v>
      </c>
      <c r="B5157" t="s">
        <v>7966</v>
      </c>
      <c r="C5157" s="10">
        <v>12</v>
      </c>
      <c r="D5157" s="10">
        <v>0.12</v>
      </c>
      <c r="E5157" s="10">
        <v>43</v>
      </c>
    </row>
    <row r="5158" spans="1:5">
      <c r="A5158" t="s">
        <v>7967</v>
      </c>
      <c r="B5158" t="s">
        <v>7968</v>
      </c>
      <c r="C5158" s="10">
        <v>12</v>
      </c>
      <c r="D5158" s="10">
        <v>0.12</v>
      </c>
      <c r="E5158" s="10">
        <v>43.4</v>
      </c>
    </row>
    <row r="5159" spans="1:5">
      <c r="A5159" t="s">
        <v>7969</v>
      </c>
      <c r="B5159" t="s">
        <v>7970</v>
      </c>
      <c r="C5159" s="10">
        <v>12</v>
      </c>
      <c r="D5159" s="10">
        <v>0.12</v>
      </c>
      <c r="E5159" s="10">
        <v>44.27</v>
      </c>
    </row>
    <row r="5160" spans="1:5">
      <c r="A5160" t="s">
        <v>7154</v>
      </c>
      <c r="B5160" t="s">
        <v>7155</v>
      </c>
      <c r="C5160" s="10">
        <v>6</v>
      </c>
      <c r="D5160" s="10">
        <v>0.7</v>
      </c>
      <c r="E5160" s="10">
        <v>40</v>
      </c>
    </row>
    <row r="5161" spans="1:5">
      <c r="A5161" t="s">
        <v>7626</v>
      </c>
      <c r="B5161" t="s">
        <v>4662</v>
      </c>
      <c r="C5161" s="10">
        <v>6</v>
      </c>
      <c r="D5161" s="10">
        <v>0.7</v>
      </c>
      <c r="E5161" s="10">
        <v>40.5</v>
      </c>
    </row>
    <row r="5162" spans="1:5">
      <c r="A5162" t="s">
        <v>7159</v>
      </c>
      <c r="B5162" t="s">
        <v>7160</v>
      </c>
      <c r="C5162" s="10">
        <v>6</v>
      </c>
      <c r="D5162" s="10">
        <v>0.7</v>
      </c>
      <c r="E5162" s="10">
        <v>40</v>
      </c>
    </row>
    <row r="5163" spans="1:5">
      <c r="A5163" t="s">
        <v>7745</v>
      </c>
      <c r="B5163" t="s">
        <v>7746</v>
      </c>
      <c r="C5163" s="10">
        <v>6</v>
      </c>
      <c r="D5163" s="10">
        <v>0.7</v>
      </c>
      <c r="E5163" s="10">
        <v>43</v>
      </c>
    </row>
    <row r="5164" spans="1:5">
      <c r="A5164" t="s">
        <v>10586</v>
      </c>
      <c r="B5164" t="s">
        <v>7746</v>
      </c>
      <c r="C5164" s="10">
        <v>6</v>
      </c>
      <c r="D5164" s="10">
        <v>0.7</v>
      </c>
      <c r="E5164" s="10">
        <v>43</v>
      </c>
    </row>
    <row r="5165" spans="1:5">
      <c r="A5165" t="s">
        <v>10587</v>
      </c>
      <c r="B5165" t="s">
        <v>7828</v>
      </c>
      <c r="C5165" s="10">
        <v>3</v>
      </c>
      <c r="D5165" s="10">
        <v>0.7</v>
      </c>
      <c r="E5165" s="10">
        <v>40</v>
      </c>
    </row>
    <row r="5166" spans="1:5">
      <c r="A5166" t="s">
        <v>7703</v>
      </c>
      <c r="B5166" t="s">
        <v>7704</v>
      </c>
      <c r="C5166" s="10">
        <v>6</v>
      </c>
      <c r="D5166" s="10">
        <v>0.7</v>
      </c>
      <c r="E5166" s="10">
        <v>43</v>
      </c>
    </row>
    <row r="5167" spans="1:5">
      <c r="A5167" t="s">
        <v>7805</v>
      </c>
      <c r="B5167" t="s">
        <v>7806</v>
      </c>
      <c r="C5167" s="10">
        <v>3</v>
      </c>
      <c r="D5167" s="10">
        <v>0.7</v>
      </c>
      <c r="E5167" s="10">
        <v>40</v>
      </c>
    </row>
    <row r="5168" spans="1:5">
      <c r="A5168" t="s">
        <v>6969</v>
      </c>
      <c r="B5168" t="s">
        <v>6958</v>
      </c>
      <c r="C5168" s="10">
        <v>6</v>
      </c>
      <c r="D5168" s="10">
        <v>0.7</v>
      </c>
      <c r="E5168" s="10">
        <v>40</v>
      </c>
    </row>
    <row r="5169" spans="1:5">
      <c r="A5169" t="s">
        <v>7645</v>
      </c>
      <c r="B5169" t="s">
        <v>7646</v>
      </c>
      <c r="C5169" s="10">
        <v>6</v>
      </c>
      <c r="D5169" s="10">
        <v>0.7</v>
      </c>
      <c r="E5169" s="10">
        <v>38</v>
      </c>
    </row>
    <row r="5170" spans="1:5">
      <c r="A5170" t="s">
        <v>6970</v>
      </c>
      <c r="B5170" t="s">
        <v>6971</v>
      </c>
      <c r="C5170" s="10">
        <v>6</v>
      </c>
      <c r="D5170" s="10">
        <v>0.7</v>
      </c>
      <c r="E5170" s="10">
        <v>40</v>
      </c>
    </row>
    <row r="5171" spans="1:5">
      <c r="A5171" t="s">
        <v>7765</v>
      </c>
      <c r="B5171" t="s">
        <v>7766</v>
      </c>
      <c r="C5171" s="10">
        <v>12</v>
      </c>
      <c r="D5171" s="10">
        <v>0.2</v>
      </c>
      <c r="E5171" s="10">
        <v>40</v>
      </c>
    </row>
    <row r="5172" spans="1:5">
      <c r="A5172" t="s">
        <v>7767</v>
      </c>
      <c r="B5172" t="s">
        <v>7768</v>
      </c>
      <c r="C5172" s="10">
        <v>12</v>
      </c>
      <c r="D5172" s="10">
        <v>0.2</v>
      </c>
      <c r="E5172" s="10">
        <v>40</v>
      </c>
    </row>
    <row r="5173" spans="1:5">
      <c r="A5173" t="s">
        <v>7829</v>
      </c>
      <c r="B5173" t="s">
        <v>7830</v>
      </c>
      <c r="C5173" s="10">
        <v>1</v>
      </c>
      <c r="D5173" s="10">
        <v>1.2</v>
      </c>
      <c r="E5173" s="10">
        <v>45.63</v>
      </c>
    </row>
    <row r="5174" spans="1:5">
      <c r="A5174" t="s">
        <v>7831</v>
      </c>
      <c r="B5174" t="s">
        <v>2897</v>
      </c>
      <c r="C5174" s="10">
        <v>3</v>
      </c>
      <c r="D5174" s="10">
        <v>1.5</v>
      </c>
      <c r="E5174" s="10">
        <v>13</v>
      </c>
    </row>
    <row r="5175" spans="1:5">
      <c r="A5175" t="s">
        <v>7200</v>
      </c>
      <c r="B5175" t="s">
        <v>7201</v>
      </c>
      <c r="C5175" s="10">
        <v>6</v>
      </c>
      <c r="D5175" s="10">
        <v>0.5</v>
      </c>
      <c r="E5175" s="10">
        <v>40</v>
      </c>
    </row>
    <row r="5176" spans="1:5">
      <c r="A5176" t="s">
        <v>7708</v>
      </c>
      <c r="B5176" t="s">
        <v>7709</v>
      </c>
      <c r="C5176" s="10">
        <v>6</v>
      </c>
      <c r="D5176" s="10">
        <v>0.7</v>
      </c>
      <c r="E5176" s="10">
        <v>43</v>
      </c>
    </row>
    <row r="5177" spans="1:5">
      <c r="A5177" t="s">
        <v>7412</v>
      </c>
      <c r="B5177" t="s">
        <v>7413</v>
      </c>
      <c r="C5177" s="10">
        <v>6</v>
      </c>
      <c r="D5177" s="10">
        <v>0.7</v>
      </c>
      <c r="E5177" s="10">
        <v>15</v>
      </c>
    </row>
    <row r="5178" spans="1:5">
      <c r="A5178" t="s">
        <v>6978</v>
      </c>
      <c r="B5178" t="s">
        <v>6979</v>
      </c>
      <c r="C5178" s="10">
        <v>6</v>
      </c>
      <c r="D5178" s="10">
        <v>0.7</v>
      </c>
      <c r="E5178" s="10">
        <v>40</v>
      </c>
    </row>
    <row r="5179" spans="1:5">
      <c r="A5179" t="s">
        <v>7627</v>
      </c>
      <c r="B5179" t="s">
        <v>7628</v>
      </c>
      <c r="C5179" s="10">
        <v>6</v>
      </c>
      <c r="D5179" s="10">
        <v>0.7</v>
      </c>
      <c r="E5179" s="10">
        <v>37.5</v>
      </c>
    </row>
    <row r="5180" spans="1:5">
      <c r="A5180" t="s">
        <v>7832</v>
      </c>
      <c r="B5180" t="s">
        <v>7833</v>
      </c>
      <c r="C5180" s="10">
        <v>3</v>
      </c>
      <c r="D5180" s="10">
        <v>0.7</v>
      </c>
      <c r="E5180" s="10">
        <v>43</v>
      </c>
    </row>
    <row r="5181" spans="1:5">
      <c r="A5181" t="s">
        <v>7712</v>
      </c>
      <c r="B5181" t="s">
        <v>7713</v>
      </c>
      <c r="C5181" s="10">
        <v>6</v>
      </c>
      <c r="D5181" s="10">
        <v>0.7</v>
      </c>
      <c r="E5181" s="10">
        <v>43</v>
      </c>
    </row>
    <row r="5182" spans="1:5">
      <c r="A5182" t="s">
        <v>7415</v>
      </c>
      <c r="B5182" t="s">
        <v>7416</v>
      </c>
      <c r="C5182" s="10">
        <v>6</v>
      </c>
      <c r="D5182" s="10">
        <v>0.7</v>
      </c>
      <c r="E5182" s="10">
        <v>56.4</v>
      </c>
    </row>
    <row r="5183" spans="1:5">
      <c r="A5183" t="s">
        <v>7660</v>
      </c>
      <c r="B5183" t="s">
        <v>7661</v>
      </c>
      <c r="C5183" s="10">
        <v>6</v>
      </c>
      <c r="D5183" s="10">
        <v>0.7</v>
      </c>
      <c r="E5183" s="10">
        <v>46</v>
      </c>
    </row>
    <row r="5184" spans="1:5">
      <c r="A5184" t="s">
        <v>7662</v>
      </c>
      <c r="B5184" t="s">
        <v>7663</v>
      </c>
      <c r="C5184" s="10">
        <v>6</v>
      </c>
      <c r="D5184" s="10">
        <v>0.7</v>
      </c>
      <c r="E5184" s="10">
        <v>46</v>
      </c>
    </row>
    <row r="5185" spans="1:5">
      <c r="A5185" t="s">
        <v>7664</v>
      </c>
      <c r="B5185" t="s">
        <v>7665</v>
      </c>
      <c r="C5185" s="10">
        <v>6</v>
      </c>
      <c r="D5185" s="10">
        <v>0.7</v>
      </c>
      <c r="E5185" s="10">
        <v>46</v>
      </c>
    </row>
    <row r="5186" spans="1:5">
      <c r="A5186" t="s">
        <v>7290</v>
      </c>
      <c r="B5186" t="s">
        <v>7291</v>
      </c>
      <c r="C5186" s="10">
        <v>6</v>
      </c>
      <c r="D5186" s="10">
        <v>0.75</v>
      </c>
      <c r="E5186" s="10">
        <v>11</v>
      </c>
    </row>
    <row r="5187" spans="1:5">
      <c r="A5187" t="s">
        <v>7417</v>
      </c>
      <c r="B5187" t="s">
        <v>7418</v>
      </c>
      <c r="C5187" s="10">
        <v>6</v>
      </c>
      <c r="D5187" s="10">
        <v>0.7</v>
      </c>
      <c r="E5187" s="10">
        <v>35.200000000000003</v>
      </c>
    </row>
    <row r="5188" spans="1:5">
      <c r="A5188" t="s">
        <v>7834</v>
      </c>
      <c r="B5188" t="s">
        <v>7835</v>
      </c>
      <c r="C5188" s="10">
        <v>46</v>
      </c>
      <c r="D5188" s="10">
        <v>0.25</v>
      </c>
      <c r="E5188" s="10">
        <v>35.200000000000003</v>
      </c>
    </row>
    <row r="5189" spans="1:5">
      <c r="A5189" t="s">
        <v>6980</v>
      </c>
      <c r="B5189" t="s">
        <v>6981</v>
      </c>
      <c r="C5189" s="10">
        <v>6</v>
      </c>
      <c r="D5189" s="10">
        <v>0.7</v>
      </c>
      <c r="E5189" s="10">
        <v>40</v>
      </c>
    </row>
    <row r="5190" spans="1:5">
      <c r="A5190" t="s">
        <v>7264</v>
      </c>
      <c r="B5190" t="s">
        <v>7265</v>
      </c>
      <c r="C5190" s="10">
        <v>6</v>
      </c>
      <c r="D5190" s="10">
        <v>1</v>
      </c>
      <c r="E5190" s="10">
        <v>46</v>
      </c>
    </row>
    <row r="5191" spans="1:5">
      <c r="A5191" t="s">
        <v>7421</v>
      </c>
      <c r="B5191" t="s">
        <v>7422</v>
      </c>
      <c r="C5191" s="10">
        <v>6</v>
      </c>
      <c r="D5191" s="10">
        <v>0.7</v>
      </c>
      <c r="E5191" s="10">
        <v>54</v>
      </c>
    </row>
    <row r="5192" spans="1:5">
      <c r="A5192" t="s">
        <v>7936</v>
      </c>
      <c r="B5192" t="s">
        <v>3375</v>
      </c>
      <c r="C5192" s="10">
        <v>12</v>
      </c>
      <c r="D5192" s="10">
        <v>0.7</v>
      </c>
      <c r="E5192" s="10">
        <v>17</v>
      </c>
    </row>
    <row r="5193" spans="1:5">
      <c r="A5193" t="s">
        <v>7425</v>
      </c>
      <c r="B5193" t="s">
        <v>7426</v>
      </c>
      <c r="C5193" s="10">
        <v>6</v>
      </c>
      <c r="D5193" s="10">
        <v>0.7</v>
      </c>
      <c r="E5193" s="10">
        <v>30</v>
      </c>
    </row>
    <row r="5194" spans="1:5">
      <c r="A5194" t="s">
        <v>7427</v>
      </c>
      <c r="B5194" t="s">
        <v>7428</v>
      </c>
      <c r="C5194" s="10">
        <v>6</v>
      </c>
      <c r="D5194" s="10">
        <v>0.7</v>
      </c>
      <c r="E5194" s="10">
        <v>59.6</v>
      </c>
    </row>
    <row r="5195" spans="1:5">
      <c r="A5195" t="s">
        <v>6982</v>
      </c>
      <c r="B5195" t="s">
        <v>6983</v>
      </c>
      <c r="C5195" s="10">
        <v>6</v>
      </c>
      <c r="D5195" s="10">
        <v>0.7</v>
      </c>
      <c r="E5195" s="10">
        <v>40</v>
      </c>
    </row>
    <row r="5196" spans="1:5">
      <c r="A5196" t="s">
        <v>6984</v>
      </c>
      <c r="B5196" t="s">
        <v>6985</v>
      </c>
      <c r="C5196" s="10">
        <v>6</v>
      </c>
      <c r="D5196" s="10">
        <v>0.7</v>
      </c>
      <c r="E5196" s="10">
        <v>40</v>
      </c>
    </row>
    <row r="5197" spans="1:5">
      <c r="A5197" t="s">
        <v>6986</v>
      </c>
      <c r="B5197" t="s">
        <v>6987</v>
      </c>
      <c r="C5197" s="10">
        <v>6</v>
      </c>
      <c r="D5197" s="10">
        <v>0.7</v>
      </c>
      <c r="E5197" s="10">
        <v>40</v>
      </c>
    </row>
    <row r="5198" spans="1:5">
      <c r="A5198" t="s">
        <v>7429</v>
      </c>
      <c r="B5198" t="s">
        <v>7430</v>
      </c>
      <c r="C5198" s="10">
        <v>6</v>
      </c>
      <c r="D5198" s="10">
        <v>0.7</v>
      </c>
      <c r="E5198" s="10">
        <v>39</v>
      </c>
    </row>
    <row r="5199" spans="1:5">
      <c r="A5199" t="s">
        <v>6988</v>
      </c>
      <c r="B5199" t="s">
        <v>6989</v>
      </c>
      <c r="C5199" s="10">
        <v>6</v>
      </c>
      <c r="D5199" s="10">
        <v>0.7</v>
      </c>
      <c r="E5199" s="10">
        <v>40</v>
      </c>
    </row>
    <row r="5200" spans="1:5">
      <c r="A5200" t="s">
        <v>6990</v>
      </c>
      <c r="B5200" t="s">
        <v>6991</v>
      </c>
      <c r="C5200" s="10">
        <v>6</v>
      </c>
      <c r="D5200" s="10">
        <v>0.7</v>
      </c>
      <c r="E5200" s="10">
        <v>40</v>
      </c>
    </row>
    <row r="5201" spans="1:5">
      <c r="A5201" t="s">
        <v>7836</v>
      </c>
      <c r="B5201" t="s">
        <v>7837</v>
      </c>
      <c r="C5201" s="10">
        <v>3</v>
      </c>
      <c r="D5201" s="10">
        <v>0.7</v>
      </c>
      <c r="E5201" s="10">
        <v>48</v>
      </c>
    </row>
    <row r="5202" spans="1:5">
      <c r="A5202" t="s">
        <v>7972</v>
      </c>
      <c r="B5202" t="s">
        <v>4820</v>
      </c>
      <c r="C5202" s="10">
        <v>12</v>
      </c>
      <c r="D5202" s="10">
        <v>1</v>
      </c>
      <c r="E5202" s="10">
        <v>37.5</v>
      </c>
    </row>
    <row r="5203" spans="1:5">
      <c r="A5203" t="s">
        <v>7647</v>
      </c>
      <c r="B5203" t="s">
        <v>7648</v>
      </c>
      <c r="C5203" s="10">
        <v>6</v>
      </c>
      <c r="D5203" s="10">
        <v>0.7</v>
      </c>
      <c r="E5203" s="10">
        <v>38</v>
      </c>
    </row>
    <row r="5204" spans="1:5">
      <c r="A5204" t="s">
        <v>6992</v>
      </c>
      <c r="B5204" t="s">
        <v>181</v>
      </c>
      <c r="C5204" s="10">
        <v>6</v>
      </c>
      <c r="D5204" s="10">
        <v>0.7</v>
      </c>
      <c r="E5204" s="10">
        <v>40</v>
      </c>
    </row>
    <row r="5205" spans="1:5">
      <c r="A5205" t="s">
        <v>7165</v>
      </c>
      <c r="B5205" t="s">
        <v>181</v>
      </c>
      <c r="C5205" s="10">
        <v>6</v>
      </c>
      <c r="D5205" s="10">
        <v>1</v>
      </c>
      <c r="E5205" s="10">
        <v>40</v>
      </c>
    </row>
    <row r="5206" spans="1:5">
      <c r="A5206" t="s">
        <v>7167</v>
      </c>
      <c r="B5206" t="s">
        <v>7168</v>
      </c>
      <c r="C5206" s="10">
        <v>6</v>
      </c>
      <c r="D5206" s="10">
        <v>1</v>
      </c>
      <c r="E5206" s="10">
        <v>40</v>
      </c>
    </row>
    <row r="5207" spans="1:5">
      <c r="A5207" t="s">
        <v>6994</v>
      </c>
      <c r="B5207" t="s">
        <v>6995</v>
      </c>
      <c r="C5207" s="10">
        <v>6</v>
      </c>
      <c r="D5207" s="10">
        <v>0.7</v>
      </c>
      <c r="E5207" s="10">
        <v>40</v>
      </c>
    </row>
    <row r="5208" spans="1:5">
      <c r="A5208" t="s">
        <v>7672</v>
      </c>
      <c r="B5208" t="s">
        <v>7673</v>
      </c>
      <c r="C5208" s="10">
        <v>6</v>
      </c>
      <c r="D5208" s="10">
        <v>0.7</v>
      </c>
      <c r="E5208" s="10">
        <v>46</v>
      </c>
    </row>
    <row r="5209" spans="1:5">
      <c r="A5209" t="s">
        <v>7266</v>
      </c>
      <c r="B5209" t="s">
        <v>7267</v>
      </c>
      <c r="C5209" s="10">
        <v>6</v>
      </c>
      <c r="D5209" s="10">
        <v>1</v>
      </c>
      <c r="E5209" s="10">
        <v>38</v>
      </c>
    </row>
    <row r="5210" spans="1:5">
      <c r="A5210" t="s">
        <v>7431</v>
      </c>
      <c r="B5210" t="s">
        <v>7432</v>
      </c>
      <c r="C5210" s="10">
        <v>6</v>
      </c>
      <c r="D5210" s="10">
        <v>0.7</v>
      </c>
      <c r="E5210" s="10">
        <v>46.7</v>
      </c>
    </row>
    <row r="5211" spans="1:5">
      <c r="A5211" t="s">
        <v>7435</v>
      </c>
      <c r="B5211" t="s">
        <v>7436</v>
      </c>
      <c r="C5211" s="10">
        <v>6</v>
      </c>
      <c r="D5211" s="10">
        <v>0.7</v>
      </c>
      <c r="E5211" s="10">
        <v>60.7</v>
      </c>
    </row>
    <row r="5212" spans="1:5">
      <c r="A5212" t="s">
        <v>7437</v>
      </c>
      <c r="B5212" t="s">
        <v>7436</v>
      </c>
      <c r="C5212" s="10">
        <v>6</v>
      </c>
      <c r="D5212" s="10">
        <v>0.7</v>
      </c>
      <c r="E5212" s="10">
        <v>60.9</v>
      </c>
    </row>
    <row r="5213" spans="1:5">
      <c r="A5213" t="s">
        <v>7838</v>
      </c>
      <c r="B5213" t="s">
        <v>7839</v>
      </c>
      <c r="C5213" s="10">
        <v>15</v>
      </c>
      <c r="D5213" s="10">
        <v>0.1</v>
      </c>
      <c r="E5213" s="10">
        <v>42</v>
      </c>
    </row>
    <row r="5214" spans="1:5">
      <c r="A5214" t="s">
        <v>7840</v>
      </c>
      <c r="B5214" t="s">
        <v>3011</v>
      </c>
      <c r="C5214" s="10">
        <v>3</v>
      </c>
      <c r="D5214" s="10">
        <v>1.5</v>
      </c>
      <c r="E5214" s="10">
        <v>12</v>
      </c>
    </row>
    <row r="5215" spans="1:5">
      <c r="A5215" t="s">
        <v>7441</v>
      </c>
      <c r="B5215" t="s">
        <v>7442</v>
      </c>
      <c r="C5215" s="10">
        <v>6</v>
      </c>
      <c r="D5215" s="10">
        <v>0.7</v>
      </c>
      <c r="E5215" s="10">
        <v>30</v>
      </c>
    </row>
    <row r="5216" spans="1:5">
      <c r="A5216" t="s">
        <v>7937</v>
      </c>
      <c r="B5216" t="s">
        <v>7938</v>
      </c>
      <c r="C5216" s="10">
        <v>12</v>
      </c>
      <c r="D5216" s="10">
        <v>0.25</v>
      </c>
      <c r="E5216" s="10">
        <v>6.5</v>
      </c>
    </row>
    <row r="5217" spans="1:5">
      <c r="A5217" t="s">
        <v>7268</v>
      </c>
      <c r="B5217" t="s">
        <v>7269</v>
      </c>
      <c r="C5217" s="10">
        <v>6</v>
      </c>
      <c r="D5217" s="10">
        <v>1</v>
      </c>
      <c r="E5217" s="10">
        <v>47.5</v>
      </c>
    </row>
    <row r="5218" spans="1:5">
      <c r="A5218" t="s">
        <v>7229</v>
      </c>
      <c r="B5218" t="s">
        <v>7230</v>
      </c>
      <c r="C5218" s="10">
        <v>6</v>
      </c>
      <c r="D5218" s="10">
        <v>0.5</v>
      </c>
      <c r="E5218" s="10">
        <v>20</v>
      </c>
    </row>
    <row r="5219" spans="1:5">
      <c r="A5219" t="s">
        <v>7841</v>
      </c>
      <c r="B5219" t="s">
        <v>6117</v>
      </c>
      <c r="C5219" s="10">
        <v>24</v>
      </c>
      <c r="D5219" s="10">
        <v>0.2</v>
      </c>
      <c r="E5219" s="10">
        <v>11</v>
      </c>
    </row>
    <row r="5220" spans="1:5">
      <c r="A5220" t="s">
        <v>7002</v>
      </c>
      <c r="B5220" t="s">
        <v>233</v>
      </c>
      <c r="C5220" s="10">
        <v>6</v>
      </c>
      <c r="D5220" s="10">
        <v>0.7</v>
      </c>
      <c r="E5220" s="10">
        <v>40</v>
      </c>
    </row>
    <row r="5221" spans="1:5">
      <c r="A5221" t="s">
        <v>7215</v>
      </c>
      <c r="B5221" t="s">
        <v>7216</v>
      </c>
      <c r="C5221" s="10">
        <v>6</v>
      </c>
      <c r="D5221" s="10">
        <v>0.4</v>
      </c>
      <c r="E5221" s="10">
        <v>46</v>
      </c>
    </row>
    <row r="5222" spans="1:5">
      <c r="A5222" t="s">
        <v>7443</v>
      </c>
      <c r="B5222" t="s">
        <v>7444</v>
      </c>
      <c r="C5222" s="10">
        <v>6</v>
      </c>
      <c r="D5222" s="10">
        <v>0.7</v>
      </c>
      <c r="E5222" s="10">
        <v>28</v>
      </c>
    </row>
    <row r="5223" spans="1:5">
      <c r="A5223" t="s">
        <v>7445</v>
      </c>
      <c r="B5223" t="s">
        <v>7446</v>
      </c>
      <c r="C5223" s="10">
        <v>6</v>
      </c>
      <c r="D5223" s="10">
        <v>0.7</v>
      </c>
      <c r="E5223" s="10">
        <v>28</v>
      </c>
    </row>
    <row r="5224" spans="1:5">
      <c r="A5224" t="s">
        <v>7939</v>
      </c>
      <c r="B5224" t="s">
        <v>7940</v>
      </c>
      <c r="C5224" s="10">
        <v>12</v>
      </c>
      <c r="D5224" s="10">
        <v>0.5</v>
      </c>
      <c r="E5224" s="10">
        <v>4</v>
      </c>
    </row>
    <row r="5225" spans="1:5">
      <c r="A5225" t="s">
        <v>7941</v>
      </c>
      <c r="B5225" t="s">
        <v>4993</v>
      </c>
      <c r="C5225" s="10">
        <v>12</v>
      </c>
      <c r="D5225" s="10">
        <v>0.7</v>
      </c>
      <c r="E5225" s="10">
        <v>38</v>
      </c>
    </row>
    <row r="5226" spans="1:5">
      <c r="A5226" t="s">
        <v>7973</v>
      </c>
      <c r="B5226" t="s">
        <v>7974</v>
      </c>
      <c r="C5226" s="10">
        <v>12</v>
      </c>
      <c r="D5226" s="10">
        <v>1</v>
      </c>
      <c r="E5226" s="10">
        <v>38</v>
      </c>
    </row>
    <row r="5227" spans="1:5">
      <c r="A5227" t="s">
        <v>7649</v>
      </c>
      <c r="B5227" t="s">
        <v>4994</v>
      </c>
      <c r="C5227" s="10">
        <v>6</v>
      </c>
      <c r="D5227" s="10">
        <v>0.7</v>
      </c>
      <c r="E5227" s="10">
        <v>38</v>
      </c>
    </row>
    <row r="5228" spans="1:5">
      <c r="A5228" t="s">
        <v>7447</v>
      </c>
      <c r="B5228" t="s">
        <v>7448</v>
      </c>
      <c r="C5228" s="10">
        <v>6</v>
      </c>
      <c r="D5228" s="10">
        <v>0.7</v>
      </c>
      <c r="E5228" s="10">
        <v>45</v>
      </c>
    </row>
    <row r="5229" spans="1:5">
      <c r="A5229" t="s">
        <v>7270</v>
      </c>
      <c r="B5229" t="s">
        <v>7271</v>
      </c>
      <c r="C5229" s="10">
        <v>6</v>
      </c>
      <c r="D5229" s="10">
        <v>1</v>
      </c>
      <c r="E5229" s="10">
        <v>50</v>
      </c>
    </row>
    <row r="5230" spans="1:5">
      <c r="A5230" t="s">
        <v>7449</v>
      </c>
      <c r="B5230" t="s">
        <v>7450</v>
      </c>
      <c r="C5230" s="10">
        <v>6</v>
      </c>
      <c r="D5230" s="10">
        <v>0.7</v>
      </c>
      <c r="E5230" s="10">
        <v>50</v>
      </c>
    </row>
    <row r="5231" spans="1:5">
      <c r="A5231" t="s">
        <v>7003</v>
      </c>
      <c r="B5231" t="s">
        <v>7004</v>
      </c>
      <c r="C5231" s="10">
        <v>6</v>
      </c>
      <c r="D5231" s="10">
        <v>0.7</v>
      </c>
      <c r="E5231" s="10">
        <v>40</v>
      </c>
    </row>
    <row r="5232" spans="1:5">
      <c r="A5232" t="s">
        <v>7453</v>
      </c>
      <c r="B5232" t="s">
        <v>3544</v>
      </c>
      <c r="C5232" s="10">
        <v>6</v>
      </c>
      <c r="D5232" s="10">
        <v>0.7</v>
      </c>
      <c r="E5232" s="10">
        <v>0</v>
      </c>
    </row>
    <row r="5233" spans="1:5">
      <c r="A5233" t="s">
        <v>7454</v>
      </c>
      <c r="B5233" t="s">
        <v>3546</v>
      </c>
      <c r="C5233" s="10">
        <v>6</v>
      </c>
      <c r="D5233" s="10">
        <v>0.7</v>
      </c>
      <c r="E5233" s="10">
        <v>0</v>
      </c>
    </row>
    <row r="5234" spans="1:5">
      <c r="A5234" t="s">
        <v>7457</v>
      </c>
      <c r="B5234" t="s">
        <v>4735</v>
      </c>
      <c r="C5234" s="10">
        <v>6</v>
      </c>
      <c r="D5234" s="10">
        <v>0.7</v>
      </c>
      <c r="E5234" s="10">
        <v>45</v>
      </c>
    </row>
    <row r="5235" spans="1:5">
      <c r="A5235" t="s">
        <v>7006</v>
      </c>
      <c r="B5235" t="s">
        <v>7007</v>
      </c>
      <c r="C5235" s="10">
        <v>6</v>
      </c>
      <c r="D5235" s="10">
        <v>0.7</v>
      </c>
      <c r="E5235" s="10">
        <v>40</v>
      </c>
    </row>
    <row r="5236" spans="1:5">
      <c r="A5236" t="s">
        <v>7008</v>
      </c>
      <c r="B5236" t="s">
        <v>7009</v>
      </c>
      <c r="C5236" s="10">
        <v>6</v>
      </c>
      <c r="D5236" s="10">
        <v>0.7</v>
      </c>
      <c r="E5236" s="10">
        <v>40</v>
      </c>
    </row>
    <row r="5237" spans="1:5">
      <c r="A5237" t="s">
        <v>7844</v>
      </c>
      <c r="B5237" t="s">
        <v>7845</v>
      </c>
      <c r="C5237" s="10">
        <v>3</v>
      </c>
      <c r="D5237" s="10">
        <v>0.7</v>
      </c>
      <c r="E5237" s="10">
        <v>46</v>
      </c>
    </row>
    <row r="5238" spans="1:5">
      <c r="A5238" t="s">
        <v>7171</v>
      </c>
      <c r="B5238" t="s">
        <v>7172</v>
      </c>
      <c r="C5238" s="10">
        <v>6</v>
      </c>
      <c r="D5238" s="10">
        <v>1</v>
      </c>
      <c r="E5238" s="10">
        <v>40</v>
      </c>
    </row>
    <row r="5239" spans="1:5">
      <c r="A5239" t="s">
        <v>7458</v>
      </c>
      <c r="B5239" t="s">
        <v>7459</v>
      </c>
      <c r="C5239" s="10">
        <v>6</v>
      </c>
      <c r="D5239" s="10">
        <v>0.7</v>
      </c>
      <c r="E5239" s="10">
        <v>47</v>
      </c>
    </row>
    <row r="5240" spans="1:5">
      <c r="A5240" t="s">
        <v>7460</v>
      </c>
      <c r="B5240" t="s">
        <v>7461</v>
      </c>
      <c r="C5240" s="10">
        <v>6</v>
      </c>
      <c r="D5240" s="10">
        <v>0.7</v>
      </c>
      <c r="E5240" s="10">
        <v>55.1</v>
      </c>
    </row>
    <row r="5241" spans="1:5">
      <c r="A5241" t="s">
        <v>7173</v>
      </c>
      <c r="B5241" t="s">
        <v>298</v>
      </c>
      <c r="C5241" s="10">
        <v>6</v>
      </c>
      <c r="D5241" s="10">
        <v>1</v>
      </c>
      <c r="E5241" s="10">
        <v>40</v>
      </c>
    </row>
    <row r="5242" spans="1:5">
      <c r="A5242" t="s">
        <v>7294</v>
      </c>
      <c r="B5242" t="s">
        <v>2495</v>
      </c>
      <c r="C5242" s="10">
        <v>6</v>
      </c>
      <c r="D5242" s="10">
        <v>0.75</v>
      </c>
      <c r="E5242" s="10">
        <v>15</v>
      </c>
    </row>
    <row r="5243" spans="1:5">
      <c r="A5243" t="s">
        <v>7846</v>
      </c>
      <c r="B5243" t="s">
        <v>3129</v>
      </c>
      <c r="C5243" s="10">
        <v>3</v>
      </c>
      <c r="D5243" s="10">
        <v>1.5</v>
      </c>
      <c r="E5243" s="10">
        <v>12.5</v>
      </c>
    </row>
    <row r="5244" spans="1:5">
      <c r="A5244" t="s">
        <v>7674</v>
      </c>
      <c r="B5244" t="s">
        <v>7675</v>
      </c>
      <c r="C5244" s="10">
        <v>6</v>
      </c>
      <c r="D5244" s="10">
        <v>0.7</v>
      </c>
      <c r="E5244" s="10">
        <v>46</v>
      </c>
    </row>
    <row r="5245" spans="1:5">
      <c r="A5245" t="s">
        <v>7676</v>
      </c>
      <c r="B5245" t="s">
        <v>7677</v>
      </c>
      <c r="C5245" s="10">
        <v>6</v>
      </c>
      <c r="D5245" s="10">
        <v>0.7</v>
      </c>
      <c r="E5245" s="10">
        <v>46</v>
      </c>
    </row>
    <row r="5246" spans="1:5">
      <c r="A5246" t="s">
        <v>7010</v>
      </c>
      <c r="B5246" t="s">
        <v>7011</v>
      </c>
      <c r="C5246" s="10">
        <v>6</v>
      </c>
      <c r="D5246" s="10">
        <v>0.7</v>
      </c>
      <c r="E5246" s="10">
        <v>40</v>
      </c>
    </row>
    <row r="5247" spans="1:5">
      <c r="A5247" t="s">
        <v>7714</v>
      </c>
      <c r="B5247" t="s">
        <v>7715</v>
      </c>
      <c r="C5247" s="10">
        <v>6</v>
      </c>
      <c r="D5247" s="10">
        <v>0.7</v>
      </c>
      <c r="E5247" s="10">
        <v>43</v>
      </c>
    </row>
    <row r="5248" spans="1:5">
      <c r="A5248" t="s">
        <v>7847</v>
      </c>
      <c r="B5248" t="s">
        <v>7848</v>
      </c>
      <c r="C5248" s="10">
        <v>4</v>
      </c>
      <c r="D5248" s="10">
        <v>3</v>
      </c>
      <c r="E5248" s="10">
        <v>35</v>
      </c>
    </row>
    <row r="5249" spans="1:5">
      <c r="A5249" t="s">
        <v>7462</v>
      </c>
      <c r="B5249" t="s">
        <v>7463</v>
      </c>
      <c r="C5249" s="10">
        <v>6</v>
      </c>
      <c r="D5249" s="10">
        <v>0.7</v>
      </c>
      <c r="E5249" s="10">
        <v>0</v>
      </c>
    </row>
    <row r="5250" spans="1:5">
      <c r="A5250" t="s">
        <v>7014</v>
      </c>
      <c r="B5250" t="s">
        <v>7015</v>
      </c>
      <c r="C5250" s="10">
        <v>6</v>
      </c>
      <c r="D5250" s="10">
        <v>0.7</v>
      </c>
      <c r="E5250" s="10">
        <v>40</v>
      </c>
    </row>
    <row r="5251" spans="1:5">
      <c r="A5251" t="s">
        <v>7017</v>
      </c>
      <c r="B5251" t="s">
        <v>7018</v>
      </c>
      <c r="C5251" s="10">
        <v>6</v>
      </c>
      <c r="D5251" s="10">
        <v>0.7</v>
      </c>
      <c r="E5251" s="10">
        <v>40</v>
      </c>
    </row>
    <row r="5252" spans="1:5">
      <c r="A5252" t="s">
        <v>7019</v>
      </c>
      <c r="B5252" t="s">
        <v>7020</v>
      </c>
      <c r="C5252" s="10">
        <v>6</v>
      </c>
      <c r="D5252" s="10">
        <v>0.7</v>
      </c>
      <c r="E5252" s="10">
        <v>40</v>
      </c>
    </row>
    <row r="5253" spans="1:5">
      <c r="A5253" t="s">
        <v>7021</v>
      </c>
      <c r="B5253" t="s">
        <v>7022</v>
      </c>
      <c r="C5253" s="10">
        <v>6</v>
      </c>
      <c r="D5253" s="10">
        <v>0.7</v>
      </c>
      <c r="E5253" s="10">
        <v>40</v>
      </c>
    </row>
    <row r="5254" spans="1:5">
      <c r="A5254" t="s">
        <v>7175</v>
      </c>
      <c r="B5254" t="s">
        <v>7176</v>
      </c>
      <c r="C5254" s="10">
        <v>6</v>
      </c>
      <c r="D5254" s="10">
        <v>1</v>
      </c>
      <c r="E5254" s="10">
        <v>40</v>
      </c>
    </row>
    <row r="5255" spans="1:5">
      <c r="A5255" t="s">
        <v>7023</v>
      </c>
      <c r="B5255" t="s">
        <v>7024</v>
      </c>
      <c r="C5255" s="10">
        <v>6</v>
      </c>
      <c r="D5255" s="10">
        <v>0.7</v>
      </c>
      <c r="E5255" s="10">
        <v>40</v>
      </c>
    </row>
    <row r="5256" spans="1:5">
      <c r="A5256" t="s">
        <v>7025</v>
      </c>
      <c r="B5256" t="s">
        <v>7026</v>
      </c>
      <c r="C5256" s="10">
        <v>6</v>
      </c>
      <c r="D5256" s="10">
        <v>0.7</v>
      </c>
      <c r="E5256" s="10">
        <v>40</v>
      </c>
    </row>
    <row r="5257" spans="1:5">
      <c r="A5257" t="s">
        <v>7027</v>
      </c>
      <c r="B5257" t="s">
        <v>7028</v>
      </c>
      <c r="C5257" s="10">
        <v>6</v>
      </c>
      <c r="D5257" s="10">
        <v>0.7</v>
      </c>
      <c r="E5257" s="10">
        <v>40</v>
      </c>
    </row>
    <row r="5258" spans="1:5">
      <c r="A5258" t="s">
        <v>7177</v>
      </c>
      <c r="B5258" t="s">
        <v>7178</v>
      </c>
      <c r="C5258" s="10">
        <v>6</v>
      </c>
      <c r="D5258" s="10">
        <v>1</v>
      </c>
      <c r="E5258" s="10">
        <v>40</v>
      </c>
    </row>
    <row r="5259" spans="1:5">
      <c r="A5259" t="s">
        <v>7350</v>
      </c>
      <c r="B5259" t="s">
        <v>7351</v>
      </c>
      <c r="C5259" s="10">
        <v>6</v>
      </c>
      <c r="D5259" s="10">
        <v>0.75</v>
      </c>
      <c r="E5259" s="10">
        <v>12</v>
      </c>
    </row>
    <row r="5260" spans="1:5">
      <c r="A5260" t="s">
        <v>7464</v>
      </c>
      <c r="B5260" t="s">
        <v>7465</v>
      </c>
      <c r="C5260" s="10">
        <v>6</v>
      </c>
      <c r="D5260" s="10">
        <v>0.7</v>
      </c>
      <c r="E5260" s="10">
        <v>41.7</v>
      </c>
    </row>
    <row r="5261" spans="1:5">
      <c r="A5261" t="s">
        <v>7035</v>
      </c>
      <c r="B5261" t="s">
        <v>7036</v>
      </c>
      <c r="C5261" s="10">
        <v>6</v>
      </c>
      <c r="D5261" s="10">
        <v>0.7</v>
      </c>
      <c r="E5261" s="10">
        <v>40</v>
      </c>
    </row>
    <row r="5262" spans="1:5">
      <c r="A5262" t="s">
        <v>7037</v>
      </c>
      <c r="B5262" t="s">
        <v>7038</v>
      </c>
      <c r="C5262" s="10">
        <v>6</v>
      </c>
      <c r="D5262" s="10">
        <v>0.7</v>
      </c>
      <c r="E5262" s="10">
        <v>40</v>
      </c>
    </row>
    <row r="5263" spans="1:5">
      <c r="A5263" t="s">
        <v>7716</v>
      </c>
      <c r="B5263" t="s">
        <v>7717</v>
      </c>
      <c r="C5263" s="10">
        <v>6</v>
      </c>
      <c r="D5263" s="10">
        <v>0.7</v>
      </c>
      <c r="E5263" s="10">
        <v>43</v>
      </c>
    </row>
    <row r="5264" spans="1:5">
      <c r="A5264" t="s">
        <v>7296</v>
      </c>
      <c r="B5264" t="s">
        <v>7297</v>
      </c>
      <c r="C5264" s="10">
        <v>6</v>
      </c>
      <c r="D5264" s="10">
        <v>0.75</v>
      </c>
      <c r="E5264" s="10">
        <v>13</v>
      </c>
    </row>
    <row r="5265" spans="1:5">
      <c r="A5265" t="s">
        <v>7298</v>
      </c>
      <c r="B5265" t="s">
        <v>7299</v>
      </c>
      <c r="C5265" s="10">
        <v>6</v>
      </c>
      <c r="D5265" s="10">
        <v>0.75</v>
      </c>
      <c r="E5265" s="10">
        <v>11</v>
      </c>
    </row>
    <row r="5266" spans="1:5">
      <c r="A5266" t="s">
        <v>7809</v>
      </c>
      <c r="B5266" t="s">
        <v>7810</v>
      </c>
      <c r="C5266" s="10">
        <v>4</v>
      </c>
      <c r="D5266" s="10">
        <v>0.7</v>
      </c>
      <c r="E5266" s="10">
        <v>40</v>
      </c>
    </row>
    <row r="5267" spans="1:5">
      <c r="A5267" t="s">
        <v>7466</v>
      </c>
      <c r="B5267" t="s">
        <v>7467</v>
      </c>
      <c r="C5267" s="10">
        <v>6</v>
      </c>
      <c r="D5267" s="10">
        <v>0.7</v>
      </c>
      <c r="E5267" s="10">
        <v>0</v>
      </c>
    </row>
    <row r="5268" spans="1:5">
      <c r="A5268" t="s">
        <v>7631</v>
      </c>
      <c r="B5268" t="s">
        <v>7632</v>
      </c>
      <c r="C5268" s="10">
        <v>6</v>
      </c>
      <c r="D5268" s="10">
        <v>0.7</v>
      </c>
      <c r="E5268" s="10">
        <v>37.5</v>
      </c>
    </row>
    <row r="5269" spans="1:5">
      <c r="A5269" t="s">
        <v>7633</v>
      </c>
      <c r="B5269" t="s">
        <v>7634</v>
      </c>
      <c r="C5269" s="10">
        <v>6</v>
      </c>
      <c r="D5269" s="10">
        <v>0.7</v>
      </c>
      <c r="E5269" s="10">
        <v>37.5</v>
      </c>
    </row>
    <row r="5270" spans="1:5">
      <c r="A5270" t="s">
        <v>7770</v>
      </c>
      <c r="B5270" t="s">
        <v>7771</v>
      </c>
      <c r="C5270" s="10">
        <v>12</v>
      </c>
      <c r="D5270" s="10">
        <v>0.7</v>
      </c>
      <c r="E5270" s="10">
        <v>40</v>
      </c>
    </row>
    <row r="5271" spans="1:5">
      <c r="A5271" t="s">
        <v>7302</v>
      </c>
      <c r="B5271" t="s">
        <v>7303</v>
      </c>
      <c r="C5271" s="10">
        <v>6</v>
      </c>
      <c r="D5271" s="10">
        <v>0.75</v>
      </c>
      <c r="E5271" s="10">
        <v>16</v>
      </c>
    </row>
    <row r="5272" spans="1:5">
      <c r="A5272" t="s">
        <v>7851</v>
      </c>
      <c r="B5272" t="s">
        <v>7852</v>
      </c>
      <c r="C5272" s="10">
        <v>3</v>
      </c>
      <c r="D5272" s="10">
        <v>1.5</v>
      </c>
      <c r="E5272" s="10">
        <v>12.5</v>
      </c>
    </row>
    <row r="5273" spans="1:5">
      <c r="A5273" t="s">
        <v>7044</v>
      </c>
      <c r="B5273" t="s">
        <v>7045</v>
      </c>
      <c r="C5273" s="10">
        <v>6</v>
      </c>
      <c r="D5273" s="10">
        <v>0.7</v>
      </c>
      <c r="E5273" s="10">
        <v>40</v>
      </c>
    </row>
    <row r="5274" spans="1:5">
      <c r="A5274" t="s">
        <v>7811</v>
      </c>
      <c r="B5274" t="s">
        <v>7812</v>
      </c>
      <c r="C5274" s="10">
        <v>5</v>
      </c>
      <c r="D5274" s="10">
        <v>0.7</v>
      </c>
      <c r="E5274" s="10">
        <v>40</v>
      </c>
    </row>
    <row r="5275" spans="1:5">
      <c r="A5275" t="s">
        <v>7048</v>
      </c>
      <c r="B5275" t="s">
        <v>7049</v>
      </c>
      <c r="C5275" s="10">
        <v>6</v>
      </c>
      <c r="D5275" s="10">
        <v>0.7</v>
      </c>
      <c r="E5275" s="10">
        <v>40</v>
      </c>
    </row>
    <row r="5276" spans="1:5">
      <c r="A5276" t="s">
        <v>7304</v>
      </c>
      <c r="B5276" t="s">
        <v>7305</v>
      </c>
      <c r="C5276" s="10">
        <v>6</v>
      </c>
      <c r="D5276" s="10">
        <v>0.75</v>
      </c>
      <c r="E5276" s="10">
        <v>45</v>
      </c>
    </row>
    <row r="5277" spans="1:5">
      <c r="A5277" t="s">
        <v>7469</v>
      </c>
      <c r="B5277" t="s">
        <v>7470</v>
      </c>
      <c r="C5277" s="10">
        <v>6</v>
      </c>
      <c r="D5277" s="10">
        <v>0.7</v>
      </c>
      <c r="E5277" s="10">
        <v>41</v>
      </c>
    </row>
    <row r="5278" spans="1:5">
      <c r="A5278" t="s">
        <v>7471</v>
      </c>
      <c r="B5278" t="s">
        <v>7472</v>
      </c>
      <c r="C5278" s="10">
        <v>6</v>
      </c>
      <c r="D5278" s="10">
        <v>0.7</v>
      </c>
      <c r="E5278" s="10">
        <v>25</v>
      </c>
    </row>
    <row r="5279" spans="1:5">
      <c r="A5279" t="s">
        <v>7942</v>
      </c>
      <c r="B5279" t="s">
        <v>3835</v>
      </c>
      <c r="C5279" s="10">
        <v>12</v>
      </c>
      <c r="D5279" s="10">
        <v>0.7</v>
      </c>
      <c r="E5279" s="10">
        <v>47</v>
      </c>
    </row>
    <row r="5280" spans="1:5">
      <c r="A5280" t="s">
        <v>7853</v>
      </c>
      <c r="B5280" t="s">
        <v>7854</v>
      </c>
      <c r="C5280" s="10">
        <v>2</v>
      </c>
      <c r="D5280" s="10">
        <v>0.7</v>
      </c>
      <c r="E5280" s="10">
        <v>45</v>
      </c>
    </row>
    <row r="5281" spans="1:5">
      <c r="A5281" t="s">
        <v>7308</v>
      </c>
      <c r="B5281" t="s">
        <v>7309</v>
      </c>
      <c r="C5281" s="10">
        <v>6</v>
      </c>
      <c r="D5281" s="10">
        <v>0.75</v>
      </c>
      <c r="E5281" s="10">
        <v>13.5</v>
      </c>
    </row>
    <row r="5282" spans="1:5">
      <c r="A5282" t="s">
        <v>7310</v>
      </c>
      <c r="B5282" t="s">
        <v>7311</v>
      </c>
      <c r="C5282" s="10">
        <v>6</v>
      </c>
      <c r="D5282" s="10">
        <v>0.75</v>
      </c>
      <c r="E5282" s="10">
        <v>13</v>
      </c>
    </row>
    <row r="5283" spans="1:5">
      <c r="A5283" t="s">
        <v>7789</v>
      </c>
      <c r="B5283" t="s">
        <v>589</v>
      </c>
      <c r="C5283" s="10">
        <v>48</v>
      </c>
      <c r="D5283" s="10">
        <v>0.2</v>
      </c>
      <c r="E5283" s="10">
        <v>40</v>
      </c>
    </row>
    <row r="5284" spans="1:5">
      <c r="A5284" t="s">
        <v>7790</v>
      </c>
      <c r="B5284" t="s">
        <v>589</v>
      </c>
      <c r="C5284" s="10">
        <v>24</v>
      </c>
      <c r="D5284" s="10">
        <v>0.35</v>
      </c>
      <c r="E5284" s="10">
        <v>40</v>
      </c>
    </row>
    <row r="5285" spans="1:5">
      <c r="A5285" t="s">
        <v>7774</v>
      </c>
      <c r="B5285" t="s">
        <v>589</v>
      </c>
      <c r="C5285" s="10">
        <v>12</v>
      </c>
      <c r="D5285" s="10">
        <v>0.7</v>
      </c>
      <c r="E5285" s="10">
        <v>40</v>
      </c>
    </row>
    <row r="5286" spans="1:5">
      <c r="A5286" t="s">
        <v>7857</v>
      </c>
      <c r="B5286" t="s">
        <v>7858</v>
      </c>
      <c r="C5286" s="10">
        <v>24</v>
      </c>
      <c r="D5286" s="10">
        <v>0.2</v>
      </c>
      <c r="E5286" s="10">
        <v>0</v>
      </c>
    </row>
    <row r="5287" spans="1:5">
      <c r="A5287" t="s">
        <v>7678</v>
      </c>
      <c r="B5287" t="s">
        <v>7679</v>
      </c>
      <c r="C5287" s="10">
        <v>6</v>
      </c>
      <c r="D5287" s="10">
        <v>0.7</v>
      </c>
      <c r="E5287" s="10">
        <v>46</v>
      </c>
    </row>
    <row r="5288" spans="1:5">
      <c r="A5288" t="s">
        <v>7180</v>
      </c>
      <c r="B5288" t="s">
        <v>7181</v>
      </c>
      <c r="C5288" s="10">
        <v>6</v>
      </c>
      <c r="D5288" s="10">
        <v>1</v>
      </c>
      <c r="E5288" s="10">
        <v>40</v>
      </c>
    </row>
    <row r="5289" spans="1:5">
      <c r="A5289" t="s">
        <v>7473</v>
      </c>
      <c r="B5289" t="s">
        <v>7474</v>
      </c>
      <c r="C5289" s="10">
        <v>6</v>
      </c>
      <c r="D5289" s="10">
        <v>0.7</v>
      </c>
      <c r="E5289" s="10">
        <v>41.8</v>
      </c>
    </row>
    <row r="5290" spans="1:5">
      <c r="A5290" t="s">
        <v>7477</v>
      </c>
      <c r="B5290" t="s">
        <v>7478</v>
      </c>
      <c r="C5290" s="10">
        <v>6</v>
      </c>
      <c r="D5290" s="10">
        <v>0.7</v>
      </c>
      <c r="E5290" s="10">
        <v>45</v>
      </c>
    </row>
    <row r="5291" spans="1:5">
      <c r="A5291" t="s">
        <v>7479</v>
      </c>
      <c r="B5291" t="s">
        <v>7480</v>
      </c>
      <c r="C5291" s="10">
        <v>6</v>
      </c>
      <c r="D5291" s="10">
        <v>0.7</v>
      </c>
      <c r="E5291" s="10">
        <v>54</v>
      </c>
    </row>
    <row r="5292" spans="1:5">
      <c r="A5292" t="s">
        <v>7813</v>
      </c>
      <c r="B5292" t="s">
        <v>7814</v>
      </c>
      <c r="C5292" s="10">
        <v>3</v>
      </c>
      <c r="D5292" s="10">
        <v>0.7</v>
      </c>
      <c r="E5292" s="10">
        <v>40</v>
      </c>
    </row>
    <row r="5293" spans="1:5">
      <c r="A5293" t="s">
        <v>7859</v>
      </c>
      <c r="B5293" t="s">
        <v>7860</v>
      </c>
      <c r="C5293" s="10">
        <v>3</v>
      </c>
      <c r="D5293" s="10">
        <v>0.7</v>
      </c>
      <c r="E5293" s="10">
        <v>40.799999999999997</v>
      </c>
    </row>
    <row r="5294" spans="1:5">
      <c r="A5294" t="s">
        <v>7977</v>
      </c>
      <c r="B5294" t="s">
        <v>7978</v>
      </c>
      <c r="C5294" s="10">
        <v>12</v>
      </c>
      <c r="D5294" s="10">
        <v>1</v>
      </c>
      <c r="E5294" s="10">
        <v>36</v>
      </c>
    </row>
    <row r="5295" spans="1:5">
      <c r="A5295" t="s">
        <v>7234</v>
      </c>
      <c r="B5295" t="s">
        <v>7235</v>
      </c>
      <c r="C5295" s="10">
        <v>6</v>
      </c>
      <c r="D5295" s="10">
        <v>0.5</v>
      </c>
      <c r="E5295" s="10">
        <v>43</v>
      </c>
    </row>
    <row r="5296" spans="1:5">
      <c r="A5296" t="s">
        <v>7275</v>
      </c>
      <c r="B5296" t="s">
        <v>7276</v>
      </c>
      <c r="C5296" s="10">
        <v>6</v>
      </c>
      <c r="D5296" s="10">
        <v>1</v>
      </c>
      <c r="E5296" s="10">
        <v>46</v>
      </c>
    </row>
    <row r="5297" spans="1:5">
      <c r="A5297" t="s">
        <v>7720</v>
      </c>
      <c r="B5297" t="s">
        <v>7721</v>
      </c>
      <c r="C5297" s="10">
        <v>6</v>
      </c>
      <c r="D5297" s="10">
        <v>0.7</v>
      </c>
      <c r="E5297" s="10">
        <v>43</v>
      </c>
    </row>
    <row r="5298" spans="1:5">
      <c r="A5298" t="s">
        <v>7815</v>
      </c>
      <c r="B5298" t="s">
        <v>7816</v>
      </c>
      <c r="C5298" s="10">
        <v>3</v>
      </c>
      <c r="D5298" s="10">
        <v>0.7</v>
      </c>
      <c r="E5298" s="10">
        <v>40</v>
      </c>
    </row>
    <row r="5299" spans="1:5">
      <c r="A5299" t="s">
        <v>7979</v>
      </c>
      <c r="B5299" t="s">
        <v>7980</v>
      </c>
      <c r="C5299" s="10">
        <v>12</v>
      </c>
      <c r="D5299" s="10">
        <v>1</v>
      </c>
      <c r="E5299" s="10">
        <v>43</v>
      </c>
    </row>
    <row r="5300" spans="1:5">
      <c r="A5300" t="s">
        <v>7485</v>
      </c>
      <c r="B5300" t="s">
        <v>7486</v>
      </c>
      <c r="C5300" s="10">
        <v>6</v>
      </c>
      <c r="D5300" s="10">
        <v>0.7</v>
      </c>
      <c r="E5300" s="10">
        <v>58.3</v>
      </c>
    </row>
    <row r="5301" spans="1:5">
      <c r="A5301" t="s">
        <v>7943</v>
      </c>
      <c r="B5301" t="s">
        <v>2105</v>
      </c>
      <c r="C5301" s="10">
        <v>12</v>
      </c>
      <c r="D5301" s="10">
        <v>0.2</v>
      </c>
      <c r="E5301" s="10">
        <v>37.5</v>
      </c>
    </row>
    <row r="5302" spans="1:5">
      <c r="A5302" t="s">
        <v>7352</v>
      </c>
      <c r="B5302" t="s">
        <v>7353</v>
      </c>
      <c r="C5302" s="10">
        <v>6</v>
      </c>
      <c r="D5302" s="10">
        <v>0.75</v>
      </c>
      <c r="E5302" s="10">
        <v>12</v>
      </c>
    </row>
    <row r="5303" spans="1:5">
      <c r="A5303" t="s">
        <v>7236</v>
      </c>
      <c r="B5303" t="s">
        <v>7237</v>
      </c>
      <c r="C5303" s="10">
        <v>6</v>
      </c>
      <c r="D5303" s="10">
        <v>0.5</v>
      </c>
      <c r="E5303" s="10">
        <v>46</v>
      </c>
    </row>
    <row r="5304" spans="1:5">
      <c r="A5304" t="s">
        <v>7238</v>
      </c>
      <c r="B5304" t="s">
        <v>7239</v>
      </c>
      <c r="C5304" s="10">
        <v>6</v>
      </c>
      <c r="D5304" s="10">
        <v>0.5</v>
      </c>
      <c r="E5304" s="10">
        <v>46</v>
      </c>
    </row>
    <row r="5305" spans="1:5">
      <c r="A5305" t="s">
        <v>7240</v>
      </c>
      <c r="B5305" t="s">
        <v>7241</v>
      </c>
      <c r="C5305" s="10">
        <v>6</v>
      </c>
      <c r="D5305" s="10">
        <v>0.5</v>
      </c>
      <c r="E5305" s="10">
        <v>46</v>
      </c>
    </row>
    <row r="5306" spans="1:5">
      <c r="A5306" t="s">
        <v>7487</v>
      </c>
      <c r="B5306" t="s">
        <v>7488</v>
      </c>
      <c r="C5306" s="10">
        <v>6</v>
      </c>
      <c r="D5306" s="10">
        <v>0.7</v>
      </c>
      <c r="E5306" s="10">
        <v>24</v>
      </c>
    </row>
    <row r="5307" spans="1:5">
      <c r="A5307" t="s">
        <v>7314</v>
      </c>
      <c r="B5307" t="s">
        <v>7315</v>
      </c>
      <c r="C5307" s="10">
        <v>6</v>
      </c>
      <c r="D5307" s="10">
        <v>0.75</v>
      </c>
      <c r="E5307" s="10">
        <v>20</v>
      </c>
    </row>
    <row r="5308" spans="1:5">
      <c r="A5308" t="s">
        <v>7316</v>
      </c>
      <c r="B5308" t="s">
        <v>7317</v>
      </c>
      <c r="C5308" s="10">
        <v>6</v>
      </c>
      <c r="D5308" s="10">
        <v>0.75</v>
      </c>
      <c r="E5308" s="10">
        <v>20</v>
      </c>
    </row>
    <row r="5309" spans="1:5">
      <c r="A5309" t="s">
        <v>7775</v>
      </c>
      <c r="B5309" t="s">
        <v>7776</v>
      </c>
      <c r="C5309" s="10">
        <v>12</v>
      </c>
      <c r="D5309" s="10">
        <v>0.7</v>
      </c>
      <c r="E5309" s="10">
        <v>40</v>
      </c>
    </row>
    <row r="5310" spans="1:5">
      <c r="A5310" t="s">
        <v>7635</v>
      </c>
      <c r="B5310" t="s">
        <v>7636</v>
      </c>
      <c r="C5310" s="10">
        <v>6</v>
      </c>
      <c r="D5310" s="10">
        <v>0.7</v>
      </c>
      <c r="E5310" s="10">
        <v>37.5</v>
      </c>
    </row>
    <row r="5311" spans="1:5">
      <c r="A5311" t="s">
        <v>7791</v>
      </c>
      <c r="B5311" t="s">
        <v>7792</v>
      </c>
      <c r="C5311" s="10">
        <v>96</v>
      </c>
      <c r="D5311" s="10">
        <v>0.05</v>
      </c>
      <c r="E5311" s="10">
        <v>40</v>
      </c>
    </row>
    <row r="5312" spans="1:5">
      <c r="A5312" t="s">
        <v>7749</v>
      </c>
      <c r="B5312" t="s">
        <v>7750</v>
      </c>
      <c r="C5312" s="10">
        <v>12</v>
      </c>
      <c r="D5312" s="10">
        <v>1</v>
      </c>
      <c r="E5312" s="10">
        <v>40</v>
      </c>
    </row>
    <row r="5313" spans="1:5">
      <c r="A5313" t="s">
        <v>7793</v>
      </c>
      <c r="B5313" t="s">
        <v>771</v>
      </c>
      <c r="C5313" s="10">
        <v>120</v>
      </c>
      <c r="D5313" s="10">
        <v>0.05</v>
      </c>
      <c r="E5313" s="10">
        <v>40</v>
      </c>
    </row>
    <row r="5314" spans="1:5">
      <c r="A5314" t="s">
        <v>7277</v>
      </c>
      <c r="B5314" t="s">
        <v>771</v>
      </c>
      <c r="C5314" s="10">
        <v>6</v>
      </c>
      <c r="D5314" s="10">
        <v>1</v>
      </c>
      <c r="E5314" s="10">
        <v>37.5</v>
      </c>
    </row>
    <row r="5315" spans="1:5">
      <c r="A5315" t="s">
        <v>7061</v>
      </c>
      <c r="B5315" t="s">
        <v>7062</v>
      </c>
      <c r="C5315" s="10">
        <v>6</v>
      </c>
      <c r="D5315" s="10">
        <v>0.7</v>
      </c>
      <c r="E5315" s="10">
        <v>40</v>
      </c>
    </row>
    <row r="5316" spans="1:5">
      <c r="A5316" t="s">
        <v>7218</v>
      </c>
      <c r="B5316" t="s">
        <v>1658</v>
      </c>
      <c r="C5316" s="10">
        <v>6</v>
      </c>
      <c r="D5316" s="10">
        <v>1.75</v>
      </c>
      <c r="E5316" s="10">
        <v>44</v>
      </c>
    </row>
    <row r="5317" spans="1:5">
      <c r="A5317" t="s">
        <v>7777</v>
      </c>
      <c r="B5317" t="s">
        <v>5721</v>
      </c>
      <c r="C5317" s="10">
        <v>12</v>
      </c>
      <c r="D5317" s="10">
        <v>0.7</v>
      </c>
      <c r="E5317" s="10">
        <v>40</v>
      </c>
    </row>
    <row r="5318" spans="1:5">
      <c r="A5318" t="s">
        <v>7063</v>
      </c>
      <c r="B5318" t="s">
        <v>7064</v>
      </c>
      <c r="C5318" s="10">
        <v>6</v>
      </c>
      <c r="D5318" s="10">
        <v>0.7</v>
      </c>
      <c r="E5318" s="10">
        <v>40</v>
      </c>
    </row>
    <row r="5319" spans="1:5">
      <c r="A5319" t="s">
        <v>7065</v>
      </c>
      <c r="B5319" t="s">
        <v>7066</v>
      </c>
      <c r="C5319" s="10">
        <v>6</v>
      </c>
      <c r="D5319" s="10">
        <v>0.7</v>
      </c>
      <c r="E5319" s="10">
        <v>40</v>
      </c>
    </row>
    <row r="5320" spans="1:5">
      <c r="A5320" t="s">
        <v>7751</v>
      </c>
      <c r="B5320" t="s">
        <v>7752</v>
      </c>
      <c r="C5320" s="10">
        <v>12</v>
      </c>
      <c r="D5320" s="10">
        <v>1</v>
      </c>
      <c r="E5320" s="10">
        <v>40</v>
      </c>
    </row>
    <row r="5321" spans="1:5">
      <c r="A5321" t="s">
        <v>7684</v>
      </c>
      <c r="B5321" t="s">
        <v>7685</v>
      </c>
      <c r="C5321" s="10">
        <v>6</v>
      </c>
      <c r="D5321" s="10">
        <v>0.7</v>
      </c>
      <c r="E5321" s="10">
        <v>46</v>
      </c>
    </row>
    <row r="5322" spans="1:5">
      <c r="A5322" t="s">
        <v>7204</v>
      </c>
      <c r="B5322" t="s">
        <v>7205</v>
      </c>
      <c r="C5322" s="10">
        <v>6</v>
      </c>
      <c r="D5322" s="10">
        <v>0.5</v>
      </c>
      <c r="E5322" s="10">
        <v>40</v>
      </c>
    </row>
    <row r="5323" spans="1:5">
      <c r="A5323" t="s">
        <v>7206</v>
      </c>
      <c r="B5323" t="s">
        <v>7207</v>
      </c>
      <c r="C5323" s="10">
        <v>6</v>
      </c>
      <c r="D5323" s="10">
        <v>0.5</v>
      </c>
      <c r="E5323" s="10">
        <v>40</v>
      </c>
    </row>
    <row r="5324" spans="1:5">
      <c r="A5324" t="s">
        <v>7862</v>
      </c>
      <c r="B5324" t="s">
        <v>7863</v>
      </c>
      <c r="C5324" s="10">
        <v>1</v>
      </c>
      <c r="D5324" s="10">
        <v>1</v>
      </c>
      <c r="E5324" s="10">
        <v>0</v>
      </c>
    </row>
    <row r="5325" spans="1:5">
      <c r="A5325" t="s">
        <v>7490</v>
      </c>
      <c r="B5325" t="s">
        <v>7491</v>
      </c>
      <c r="C5325" s="10">
        <v>6</v>
      </c>
      <c r="D5325" s="10">
        <v>0.7</v>
      </c>
      <c r="E5325" s="10">
        <v>44</v>
      </c>
    </row>
    <row r="5326" spans="1:5">
      <c r="A5326" t="s">
        <v>7494</v>
      </c>
      <c r="B5326" t="s">
        <v>7495</v>
      </c>
      <c r="C5326" s="10">
        <v>6</v>
      </c>
      <c r="D5326" s="10">
        <v>0.7</v>
      </c>
      <c r="E5326" s="10">
        <v>35</v>
      </c>
    </row>
    <row r="5327" spans="1:5">
      <c r="A5327" t="s">
        <v>7722</v>
      </c>
      <c r="B5327" t="s">
        <v>7723</v>
      </c>
      <c r="C5327" s="10">
        <v>6</v>
      </c>
      <c r="D5327" s="10">
        <v>0.7</v>
      </c>
      <c r="E5327" s="10">
        <v>43</v>
      </c>
    </row>
    <row r="5328" spans="1:5">
      <c r="A5328" t="s">
        <v>7208</v>
      </c>
      <c r="B5328" t="s">
        <v>7209</v>
      </c>
      <c r="C5328" s="10">
        <v>6</v>
      </c>
      <c r="D5328" s="10">
        <v>2</v>
      </c>
      <c r="E5328" s="10">
        <v>40</v>
      </c>
    </row>
    <row r="5329" spans="1:5">
      <c r="A5329" t="s">
        <v>7865</v>
      </c>
      <c r="B5329" t="s">
        <v>1660</v>
      </c>
      <c r="C5329" s="10">
        <v>96</v>
      </c>
      <c r="D5329" s="10">
        <v>0.04</v>
      </c>
      <c r="E5329" s="10">
        <v>35</v>
      </c>
    </row>
    <row r="5330" spans="1:5">
      <c r="A5330" t="s">
        <v>7496</v>
      </c>
      <c r="B5330" t="s">
        <v>1660</v>
      </c>
      <c r="C5330" s="10">
        <v>6</v>
      </c>
      <c r="D5330" s="10">
        <v>0.7</v>
      </c>
      <c r="E5330" s="10">
        <v>35</v>
      </c>
    </row>
    <row r="5331" spans="1:5">
      <c r="A5331" t="s">
        <v>7278</v>
      </c>
      <c r="B5331" t="s">
        <v>7279</v>
      </c>
      <c r="C5331" s="10">
        <v>6</v>
      </c>
      <c r="D5331" s="10">
        <v>1</v>
      </c>
      <c r="E5331" s="10">
        <v>35</v>
      </c>
    </row>
    <row r="5332" spans="1:5">
      <c r="A5332" t="s">
        <v>7866</v>
      </c>
      <c r="B5332" t="s">
        <v>7867</v>
      </c>
      <c r="C5332" s="10">
        <v>1</v>
      </c>
      <c r="D5332" s="10">
        <v>1</v>
      </c>
      <c r="E5332" s="10">
        <v>0</v>
      </c>
    </row>
    <row r="5333" spans="1:5">
      <c r="A5333" t="s">
        <v>7868</v>
      </c>
      <c r="B5333" t="s">
        <v>7869</v>
      </c>
      <c r="C5333" s="10">
        <v>96</v>
      </c>
      <c r="D5333" s="10">
        <v>0.04</v>
      </c>
      <c r="E5333" s="10">
        <v>35</v>
      </c>
    </row>
    <row r="5334" spans="1:5">
      <c r="A5334" t="s">
        <v>7499</v>
      </c>
      <c r="B5334" t="s">
        <v>7500</v>
      </c>
      <c r="C5334" s="10">
        <v>6</v>
      </c>
      <c r="D5334" s="10">
        <v>0.7</v>
      </c>
      <c r="E5334" s="10">
        <v>25</v>
      </c>
    </row>
    <row r="5335" spans="1:5">
      <c r="A5335" t="s">
        <v>7071</v>
      </c>
      <c r="B5335" t="s">
        <v>7072</v>
      </c>
      <c r="C5335" s="10">
        <v>6</v>
      </c>
      <c r="D5335" s="10">
        <v>0.7</v>
      </c>
      <c r="E5335" s="10">
        <v>40</v>
      </c>
    </row>
    <row r="5336" spans="1:5">
      <c r="A5336" t="s">
        <v>7210</v>
      </c>
      <c r="B5336" t="s">
        <v>7211</v>
      </c>
      <c r="C5336" s="10">
        <v>6</v>
      </c>
      <c r="D5336" s="10">
        <v>0.6</v>
      </c>
      <c r="E5336" s="10">
        <v>40</v>
      </c>
    </row>
    <row r="5337" spans="1:5">
      <c r="A5337" t="s">
        <v>7182</v>
      </c>
      <c r="B5337" t="s">
        <v>7183</v>
      </c>
      <c r="C5337" s="10">
        <v>6</v>
      </c>
      <c r="D5337" s="10">
        <v>1</v>
      </c>
      <c r="E5337" s="10">
        <v>40</v>
      </c>
    </row>
    <row r="5338" spans="1:5">
      <c r="A5338" t="s">
        <v>7755</v>
      </c>
      <c r="B5338" t="s">
        <v>850</v>
      </c>
      <c r="C5338" s="10">
        <v>12</v>
      </c>
      <c r="D5338" s="10">
        <v>1</v>
      </c>
      <c r="E5338" s="10">
        <v>40</v>
      </c>
    </row>
    <row r="5339" spans="1:5">
      <c r="A5339" t="s">
        <v>7184</v>
      </c>
      <c r="B5339" t="s">
        <v>850</v>
      </c>
      <c r="C5339" s="10">
        <v>6</v>
      </c>
      <c r="D5339" s="10">
        <v>1</v>
      </c>
      <c r="E5339" s="10">
        <v>40</v>
      </c>
    </row>
    <row r="5340" spans="1:5">
      <c r="A5340" t="s">
        <v>7756</v>
      </c>
      <c r="B5340" t="s">
        <v>850</v>
      </c>
      <c r="C5340" s="10">
        <v>12</v>
      </c>
      <c r="D5340" s="10">
        <v>1</v>
      </c>
      <c r="E5340" s="10">
        <v>40</v>
      </c>
    </row>
    <row r="5341" spans="1:5">
      <c r="A5341" t="s">
        <v>7185</v>
      </c>
      <c r="B5341" t="s">
        <v>7186</v>
      </c>
      <c r="C5341" s="10">
        <v>6</v>
      </c>
      <c r="D5341" s="10">
        <v>1</v>
      </c>
      <c r="E5341" s="10">
        <v>40</v>
      </c>
    </row>
    <row r="5342" spans="1:5">
      <c r="A5342" t="s">
        <v>7875</v>
      </c>
      <c r="B5342" t="s">
        <v>6289</v>
      </c>
      <c r="C5342" s="10">
        <v>4</v>
      </c>
      <c r="D5342" s="10">
        <v>0.7</v>
      </c>
      <c r="E5342" s="10">
        <v>43</v>
      </c>
    </row>
    <row r="5343" spans="1:5">
      <c r="A5343" t="s">
        <v>7187</v>
      </c>
      <c r="B5343" t="s">
        <v>857</v>
      </c>
      <c r="C5343" s="10">
        <v>6</v>
      </c>
      <c r="D5343" s="10">
        <v>1</v>
      </c>
      <c r="E5343" s="10">
        <v>40</v>
      </c>
    </row>
    <row r="5344" spans="1:5">
      <c r="A5344" t="s">
        <v>7758</v>
      </c>
      <c r="B5344" t="s">
        <v>1478</v>
      </c>
      <c r="C5344" s="10">
        <v>12</v>
      </c>
      <c r="D5344" s="10">
        <v>1</v>
      </c>
      <c r="E5344" s="10">
        <v>40</v>
      </c>
    </row>
    <row r="5345" spans="1:5">
      <c r="A5345" t="s">
        <v>7075</v>
      </c>
      <c r="B5345" t="s">
        <v>7076</v>
      </c>
      <c r="C5345" s="10">
        <v>6</v>
      </c>
      <c r="D5345" s="10">
        <v>0.7</v>
      </c>
      <c r="E5345" s="10">
        <v>40</v>
      </c>
    </row>
    <row r="5346" spans="1:5">
      <c r="A5346" t="s">
        <v>7819</v>
      </c>
      <c r="B5346" t="s">
        <v>7820</v>
      </c>
      <c r="C5346" s="10">
        <v>4</v>
      </c>
      <c r="D5346" s="10">
        <v>0.7</v>
      </c>
      <c r="E5346" s="10">
        <v>40</v>
      </c>
    </row>
    <row r="5347" spans="1:5">
      <c r="A5347" t="s">
        <v>7078</v>
      </c>
      <c r="B5347" t="s">
        <v>7079</v>
      </c>
      <c r="C5347" s="10">
        <v>6</v>
      </c>
      <c r="D5347" s="10">
        <v>0.7</v>
      </c>
      <c r="E5347" s="10">
        <v>40</v>
      </c>
    </row>
    <row r="5348" spans="1:5">
      <c r="A5348" t="s">
        <v>7778</v>
      </c>
      <c r="B5348" t="s">
        <v>893</v>
      </c>
      <c r="C5348" s="10">
        <v>12</v>
      </c>
      <c r="D5348" s="10">
        <v>0.7</v>
      </c>
      <c r="E5348" s="10">
        <v>40</v>
      </c>
    </row>
    <row r="5349" spans="1:5">
      <c r="A5349" t="s">
        <v>7503</v>
      </c>
      <c r="B5349" t="s">
        <v>7504</v>
      </c>
      <c r="C5349" s="10">
        <v>6</v>
      </c>
      <c r="D5349" s="10">
        <v>0.7</v>
      </c>
      <c r="E5349" s="10">
        <v>53.2</v>
      </c>
    </row>
    <row r="5350" spans="1:5">
      <c r="A5350" t="s">
        <v>7082</v>
      </c>
      <c r="B5350" t="s">
        <v>7083</v>
      </c>
      <c r="C5350" s="10">
        <v>6</v>
      </c>
      <c r="D5350" s="10">
        <v>0.7</v>
      </c>
      <c r="E5350" s="10">
        <v>40</v>
      </c>
    </row>
    <row r="5351" spans="1:5">
      <c r="A5351" t="s">
        <v>7505</v>
      </c>
      <c r="B5351" t="s">
        <v>7506</v>
      </c>
      <c r="C5351" s="10">
        <v>6</v>
      </c>
      <c r="D5351" s="10">
        <v>0.7</v>
      </c>
      <c r="E5351" s="10">
        <v>57.8</v>
      </c>
    </row>
    <row r="5352" spans="1:5">
      <c r="A5352" t="s">
        <v>7084</v>
      </c>
      <c r="B5352" t="s">
        <v>5518</v>
      </c>
      <c r="C5352" s="10">
        <v>6</v>
      </c>
      <c r="D5352" s="10">
        <v>0.7</v>
      </c>
      <c r="E5352" s="10">
        <v>40</v>
      </c>
    </row>
    <row r="5353" spans="1:5">
      <c r="A5353" t="s">
        <v>7724</v>
      </c>
      <c r="B5353" t="s">
        <v>5520</v>
      </c>
      <c r="C5353" s="10">
        <v>6</v>
      </c>
      <c r="D5353" s="10">
        <v>0.7</v>
      </c>
      <c r="E5353" s="10">
        <v>43</v>
      </c>
    </row>
    <row r="5354" spans="1:5">
      <c r="A5354" t="s">
        <v>7188</v>
      </c>
      <c r="B5354" t="s">
        <v>7189</v>
      </c>
      <c r="C5354" s="10">
        <v>6</v>
      </c>
      <c r="D5354" s="10">
        <v>1</v>
      </c>
      <c r="E5354" s="10">
        <v>40</v>
      </c>
    </row>
    <row r="5355" spans="1:5">
      <c r="A5355" t="s">
        <v>7087</v>
      </c>
      <c r="B5355" t="s">
        <v>7088</v>
      </c>
      <c r="C5355" s="10">
        <v>6</v>
      </c>
      <c r="D5355" s="10">
        <v>0.7</v>
      </c>
      <c r="E5355" s="10">
        <v>40</v>
      </c>
    </row>
    <row r="5356" spans="1:5">
      <c r="A5356" t="s">
        <v>7089</v>
      </c>
      <c r="B5356" t="s">
        <v>7090</v>
      </c>
      <c r="C5356" s="10">
        <v>6</v>
      </c>
      <c r="D5356" s="10">
        <v>0.7</v>
      </c>
      <c r="E5356" s="10">
        <v>40</v>
      </c>
    </row>
    <row r="5357" spans="1:5">
      <c r="A5357" t="s">
        <v>7507</v>
      </c>
      <c r="B5357" t="s">
        <v>7508</v>
      </c>
      <c r="C5357" s="10">
        <v>6</v>
      </c>
      <c r="D5357" s="10">
        <v>0.7</v>
      </c>
      <c r="E5357" s="10">
        <v>50</v>
      </c>
    </row>
    <row r="5358" spans="1:5">
      <c r="A5358" t="s">
        <v>7727</v>
      </c>
      <c r="B5358" t="s">
        <v>7728</v>
      </c>
      <c r="C5358" s="10">
        <v>6</v>
      </c>
      <c r="D5358" s="10">
        <v>0.7</v>
      </c>
      <c r="E5358" s="10">
        <v>43</v>
      </c>
    </row>
    <row r="5359" spans="1:5">
      <c r="A5359" t="s">
        <v>7509</v>
      </c>
      <c r="B5359" t="s">
        <v>7510</v>
      </c>
      <c r="C5359" s="10">
        <v>6</v>
      </c>
      <c r="D5359" s="10">
        <v>0.7</v>
      </c>
      <c r="E5359" s="10">
        <v>55</v>
      </c>
    </row>
    <row r="5360" spans="1:5">
      <c r="A5360" t="s">
        <v>7688</v>
      </c>
      <c r="B5360" t="s">
        <v>7689</v>
      </c>
      <c r="C5360" s="10">
        <v>6</v>
      </c>
      <c r="D5360" s="10">
        <v>0.7</v>
      </c>
      <c r="E5360" s="10">
        <v>46</v>
      </c>
    </row>
    <row r="5361" spans="1:5">
      <c r="A5361" t="s">
        <v>7354</v>
      </c>
      <c r="B5361" t="s">
        <v>7355</v>
      </c>
      <c r="C5361" s="10">
        <v>6</v>
      </c>
      <c r="D5361" s="10">
        <v>0.75</v>
      </c>
      <c r="E5361" s="10">
        <v>12</v>
      </c>
    </row>
    <row r="5362" spans="1:5">
      <c r="A5362" t="s">
        <v>7318</v>
      </c>
      <c r="B5362" t="s">
        <v>7319</v>
      </c>
      <c r="C5362" s="10">
        <v>6</v>
      </c>
      <c r="D5362" s="10">
        <v>0.75</v>
      </c>
      <c r="E5362" s="10">
        <v>13</v>
      </c>
    </row>
    <row r="5363" spans="1:5">
      <c r="A5363" t="s">
        <v>7356</v>
      </c>
      <c r="B5363" t="s">
        <v>7357</v>
      </c>
      <c r="C5363" s="10">
        <v>6</v>
      </c>
      <c r="D5363" s="10">
        <v>0.75</v>
      </c>
      <c r="E5363" s="10">
        <v>12</v>
      </c>
    </row>
    <row r="5364" spans="1:5">
      <c r="A5364" t="s">
        <v>7878</v>
      </c>
      <c r="B5364" t="s">
        <v>7879</v>
      </c>
      <c r="C5364" s="10">
        <v>3</v>
      </c>
      <c r="D5364" s="10">
        <v>0.7</v>
      </c>
      <c r="E5364" s="10">
        <v>45</v>
      </c>
    </row>
    <row r="5365" spans="1:5">
      <c r="A5365" t="s">
        <v>7517</v>
      </c>
      <c r="B5365" t="s">
        <v>7518</v>
      </c>
      <c r="C5365" s="10">
        <v>6</v>
      </c>
      <c r="D5365" s="10">
        <v>0.7</v>
      </c>
      <c r="E5365" s="10">
        <v>31</v>
      </c>
    </row>
    <row r="5366" spans="1:5">
      <c r="A5366" t="s">
        <v>7521</v>
      </c>
      <c r="B5366" t="s">
        <v>6873</v>
      </c>
      <c r="C5366" s="10">
        <v>6</v>
      </c>
      <c r="D5366" s="10">
        <v>0.7</v>
      </c>
      <c r="E5366" s="10">
        <v>31</v>
      </c>
    </row>
    <row r="5367" spans="1:5">
      <c r="A5367" t="s">
        <v>7522</v>
      </c>
      <c r="B5367" t="s">
        <v>7523</v>
      </c>
      <c r="C5367" s="10">
        <v>6</v>
      </c>
      <c r="D5367" s="10">
        <v>0.7</v>
      </c>
      <c r="E5367" s="10">
        <v>30</v>
      </c>
    </row>
    <row r="5368" spans="1:5">
      <c r="A5368" t="s">
        <v>7386</v>
      </c>
      <c r="B5368" t="s">
        <v>7387</v>
      </c>
      <c r="C5368" s="10">
        <v>6</v>
      </c>
      <c r="D5368" s="10">
        <v>0.75</v>
      </c>
      <c r="E5368" s="10">
        <v>12.5</v>
      </c>
    </row>
    <row r="5369" spans="1:5">
      <c r="A5369" t="s">
        <v>7880</v>
      </c>
      <c r="B5369" t="s">
        <v>7881</v>
      </c>
      <c r="C5369" s="10">
        <v>3</v>
      </c>
      <c r="D5369" s="10">
        <v>0.75</v>
      </c>
      <c r="E5369" s="10">
        <v>12.5</v>
      </c>
    </row>
    <row r="5370" spans="1:5">
      <c r="A5370" t="s">
        <v>7390</v>
      </c>
      <c r="B5370" t="s">
        <v>7391</v>
      </c>
      <c r="C5370" s="10">
        <v>6</v>
      </c>
      <c r="D5370" s="10">
        <v>0.75</v>
      </c>
      <c r="E5370" s="10">
        <v>12.5</v>
      </c>
    </row>
    <row r="5371" spans="1:5">
      <c r="A5371" t="s">
        <v>7524</v>
      </c>
      <c r="B5371" t="s">
        <v>7525</v>
      </c>
      <c r="C5371" s="10">
        <v>6</v>
      </c>
      <c r="D5371" s="10">
        <v>0.7</v>
      </c>
      <c r="E5371" s="10">
        <v>42</v>
      </c>
    </row>
    <row r="5372" spans="1:5">
      <c r="A5372" t="s">
        <v>7729</v>
      </c>
      <c r="B5372" t="s">
        <v>7730</v>
      </c>
      <c r="C5372" s="10">
        <v>6</v>
      </c>
      <c r="D5372" s="10">
        <v>0.7</v>
      </c>
      <c r="E5372" s="10">
        <v>43</v>
      </c>
    </row>
    <row r="5373" spans="1:5">
      <c r="A5373" t="s">
        <v>7882</v>
      </c>
      <c r="B5373" t="s">
        <v>7883</v>
      </c>
      <c r="C5373" s="10">
        <v>10</v>
      </c>
      <c r="D5373" s="10">
        <v>0.8</v>
      </c>
      <c r="E5373" s="10">
        <v>42</v>
      </c>
    </row>
    <row r="5374" spans="1:5">
      <c r="A5374" t="s">
        <v>7884</v>
      </c>
      <c r="B5374" t="s">
        <v>7885</v>
      </c>
      <c r="C5374" s="10">
        <v>10</v>
      </c>
      <c r="D5374" s="10">
        <v>0.2</v>
      </c>
      <c r="E5374" s="10">
        <v>42</v>
      </c>
    </row>
    <row r="5375" spans="1:5">
      <c r="A5375" t="s">
        <v>7526</v>
      </c>
      <c r="B5375" t="s">
        <v>7527</v>
      </c>
      <c r="C5375" s="10">
        <v>6</v>
      </c>
      <c r="D5375" s="10">
        <v>0.7</v>
      </c>
      <c r="E5375" s="10">
        <v>42</v>
      </c>
    </row>
    <row r="5376" spans="1:5">
      <c r="A5376" t="s">
        <v>7528</v>
      </c>
      <c r="B5376" t="s">
        <v>7529</v>
      </c>
      <c r="C5376" s="10">
        <v>6</v>
      </c>
      <c r="D5376" s="10">
        <v>0.7</v>
      </c>
      <c r="E5376" s="10">
        <v>44</v>
      </c>
    </row>
    <row r="5377" spans="1:5">
      <c r="A5377" t="s">
        <v>7320</v>
      </c>
      <c r="B5377" t="s">
        <v>7321</v>
      </c>
      <c r="C5377" s="10">
        <v>6</v>
      </c>
      <c r="D5377" s="10">
        <v>0.75</v>
      </c>
      <c r="E5377" s="10">
        <v>13.5</v>
      </c>
    </row>
    <row r="5378" spans="1:5">
      <c r="A5378" t="s">
        <v>7322</v>
      </c>
      <c r="B5378" t="s">
        <v>7323</v>
      </c>
      <c r="C5378" s="10">
        <v>6</v>
      </c>
      <c r="D5378" s="10">
        <v>0.75</v>
      </c>
      <c r="E5378" s="10">
        <v>13</v>
      </c>
    </row>
    <row r="5379" spans="1:5">
      <c r="A5379" t="s">
        <v>7392</v>
      </c>
      <c r="B5379" t="s">
        <v>7393</v>
      </c>
      <c r="C5379" s="10">
        <v>6</v>
      </c>
      <c r="D5379" s="10">
        <v>0.75</v>
      </c>
      <c r="E5379" s="10">
        <v>12.5</v>
      </c>
    </row>
    <row r="5380" spans="1:5">
      <c r="A5380" t="s">
        <v>7394</v>
      </c>
      <c r="B5380" t="s">
        <v>7395</v>
      </c>
      <c r="C5380" s="10">
        <v>6</v>
      </c>
      <c r="D5380" s="10">
        <v>0.75</v>
      </c>
      <c r="E5380" s="10">
        <v>12.5</v>
      </c>
    </row>
    <row r="5381" spans="1:5">
      <c r="A5381" t="s">
        <v>7396</v>
      </c>
      <c r="B5381" t="s">
        <v>7397</v>
      </c>
      <c r="C5381" s="10">
        <v>6</v>
      </c>
      <c r="D5381" s="10">
        <v>0.75</v>
      </c>
      <c r="E5381" s="10">
        <v>12.5</v>
      </c>
    </row>
    <row r="5382" spans="1:5">
      <c r="A5382" t="s">
        <v>7530</v>
      </c>
      <c r="B5382" t="s">
        <v>7531</v>
      </c>
      <c r="C5382" s="10">
        <v>6</v>
      </c>
      <c r="D5382" s="10">
        <v>0.7</v>
      </c>
      <c r="E5382" s="10">
        <v>48.6</v>
      </c>
    </row>
    <row r="5383" spans="1:5">
      <c r="A5383" t="s">
        <v>7534</v>
      </c>
      <c r="B5383" t="s">
        <v>6349</v>
      </c>
      <c r="C5383" s="10">
        <v>6</v>
      </c>
      <c r="D5383" s="10">
        <v>0.7</v>
      </c>
      <c r="E5383" s="10">
        <v>46.1</v>
      </c>
    </row>
    <row r="5384" spans="1:5">
      <c r="A5384" t="s">
        <v>7886</v>
      </c>
      <c r="B5384" t="s">
        <v>4216</v>
      </c>
      <c r="C5384" s="10">
        <v>60</v>
      </c>
      <c r="D5384" s="10">
        <v>0.05</v>
      </c>
      <c r="E5384" s="10">
        <v>41</v>
      </c>
    </row>
    <row r="5385" spans="1:5">
      <c r="A5385" t="s">
        <v>7887</v>
      </c>
      <c r="B5385" t="s">
        <v>4218</v>
      </c>
      <c r="C5385" s="10">
        <v>60</v>
      </c>
      <c r="D5385" s="10">
        <v>0.05</v>
      </c>
      <c r="E5385" s="10">
        <v>41</v>
      </c>
    </row>
    <row r="5386" spans="1:5">
      <c r="A5386" t="s">
        <v>7888</v>
      </c>
      <c r="B5386" t="s">
        <v>4220</v>
      </c>
      <c r="C5386" s="10">
        <v>60</v>
      </c>
      <c r="D5386" s="10">
        <v>0.05</v>
      </c>
      <c r="E5386" s="10">
        <v>41</v>
      </c>
    </row>
    <row r="5387" spans="1:5">
      <c r="A5387" t="s">
        <v>7821</v>
      </c>
      <c r="B5387" t="s">
        <v>7822</v>
      </c>
      <c r="C5387" s="10">
        <v>3</v>
      </c>
      <c r="D5387" s="10">
        <v>0.7</v>
      </c>
      <c r="E5387" s="10">
        <v>40</v>
      </c>
    </row>
    <row r="5388" spans="1:5">
      <c r="A5388" t="s">
        <v>7280</v>
      </c>
      <c r="B5388" t="s">
        <v>7281</v>
      </c>
      <c r="C5388" s="10">
        <v>6</v>
      </c>
      <c r="D5388" s="10">
        <v>1</v>
      </c>
      <c r="E5388" s="10">
        <v>25</v>
      </c>
    </row>
    <row r="5389" spans="1:5">
      <c r="A5389" t="s">
        <v>7326</v>
      </c>
      <c r="B5389" t="s">
        <v>7327</v>
      </c>
      <c r="C5389" s="10">
        <v>6</v>
      </c>
      <c r="D5389" s="10">
        <v>0.75</v>
      </c>
      <c r="E5389" s="10">
        <v>15</v>
      </c>
    </row>
    <row r="5390" spans="1:5">
      <c r="A5390" t="s">
        <v>7781</v>
      </c>
      <c r="B5390" t="s">
        <v>7782</v>
      </c>
      <c r="C5390" s="10">
        <v>12</v>
      </c>
      <c r="D5390" s="10">
        <v>0.7</v>
      </c>
      <c r="E5390" s="10">
        <v>40</v>
      </c>
    </row>
    <row r="5391" spans="1:5">
      <c r="A5391" t="s">
        <v>7759</v>
      </c>
      <c r="B5391" t="s">
        <v>6049</v>
      </c>
      <c r="C5391" s="10">
        <v>12</v>
      </c>
      <c r="D5391" s="10">
        <v>1</v>
      </c>
      <c r="E5391" s="10">
        <v>40</v>
      </c>
    </row>
    <row r="5392" spans="1:5">
      <c r="A5392" t="s">
        <v>7536</v>
      </c>
      <c r="B5392" t="s">
        <v>7537</v>
      </c>
      <c r="C5392" s="10">
        <v>6</v>
      </c>
      <c r="D5392" s="10">
        <v>0.7</v>
      </c>
      <c r="E5392" s="10">
        <v>45.2</v>
      </c>
    </row>
    <row r="5393" spans="1:5">
      <c r="A5393" t="s">
        <v>7093</v>
      </c>
      <c r="B5393" t="s">
        <v>7094</v>
      </c>
      <c r="C5393" s="10">
        <v>6</v>
      </c>
      <c r="D5393" s="10">
        <v>0.7</v>
      </c>
      <c r="E5393" s="10">
        <v>40</v>
      </c>
    </row>
    <row r="5394" spans="1:5">
      <c r="A5394" t="s">
        <v>7095</v>
      </c>
      <c r="B5394" t="s">
        <v>7096</v>
      </c>
      <c r="C5394" s="10">
        <v>6</v>
      </c>
      <c r="D5394" s="10">
        <v>0.7</v>
      </c>
      <c r="E5394" s="10">
        <v>40</v>
      </c>
    </row>
    <row r="5395" spans="1:5">
      <c r="A5395" t="s">
        <v>7099</v>
      </c>
      <c r="B5395" t="s">
        <v>7100</v>
      </c>
      <c r="C5395" s="10">
        <v>6</v>
      </c>
      <c r="D5395" s="10">
        <v>0.7</v>
      </c>
      <c r="E5395" s="10">
        <v>40</v>
      </c>
    </row>
    <row r="5396" spans="1:5">
      <c r="A5396" t="s">
        <v>7783</v>
      </c>
      <c r="B5396" t="s">
        <v>7784</v>
      </c>
      <c r="C5396" s="10">
        <v>12</v>
      </c>
      <c r="D5396" s="10">
        <v>0.15</v>
      </c>
      <c r="E5396" s="10">
        <v>40</v>
      </c>
    </row>
    <row r="5397" spans="1:5">
      <c r="A5397" t="s">
        <v>7949</v>
      </c>
      <c r="B5397" t="s">
        <v>7950</v>
      </c>
      <c r="C5397" s="10">
        <v>12</v>
      </c>
      <c r="D5397" s="10">
        <v>0.05</v>
      </c>
      <c r="E5397" s="10">
        <v>38</v>
      </c>
    </row>
    <row r="5398" spans="1:5">
      <c r="A5398" t="s">
        <v>7102</v>
      </c>
      <c r="B5398" t="s">
        <v>7103</v>
      </c>
      <c r="C5398" s="10">
        <v>6</v>
      </c>
      <c r="D5398" s="10">
        <v>0.7</v>
      </c>
      <c r="E5398" s="10">
        <v>40</v>
      </c>
    </row>
    <row r="5399" spans="1:5">
      <c r="A5399" t="s">
        <v>7650</v>
      </c>
      <c r="B5399" t="s">
        <v>7651</v>
      </c>
      <c r="C5399" s="10">
        <v>6</v>
      </c>
      <c r="D5399" s="10">
        <v>0.7</v>
      </c>
      <c r="E5399" s="10">
        <v>38</v>
      </c>
    </row>
    <row r="5400" spans="1:5">
      <c r="A5400" t="s">
        <v>7785</v>
      </c>
      <c r="B5400" t="s">
        <v>977</v>
      </c>
      <c r="C5400" s="10">
        <v>12</v>
      </c>
      <c r="D5400" s="10">
        <v>0.7</v>
      </c>
      <c r="E5400" s="10">
        <v>40</v>
      </c>
    </row>
    <row r="5401" spans="1:5">
      <c r="A5401" t="s">
        <v>7760</v>
      </c>
      <c r="B5401" t="s">
        <v>977</v>
      </c>
      <c r="C5401" s="10">
        <v>12</v>
      </c>
      <c r="D5401" s="10">
        <v>1</v>
      </c>
      <c r="E5401" s="10">
        <v>40</v>
      </c>
    </row>
    <row r="5402" spans="1:5">
      <c r="A5402" t="s">
        <v>7761</v>
      </c>
      <c r="B5402" t="s">
        <v>987</v>
      </c>
      <c r="C5402" s="10">
        <v>12</v>
      </c>
      <c r="D5402" s="10">
        <v>1</v>
      </c>
      <c r="E5402" s="10">
        <v>40</v>
      </c>
    </row>
    <row r="5403" spans="1:5">
      <c r="A5403" t="s">
        <v>7360</v>
      </c>
      <c r="B5403" t="s">
        <v>7361</v>
      </c>
      <c r="C5403" s="10">
        <v>6</v>
      </c>
      <c r="D5403" s="10">
        <v>0.75</v>
      </c>
      <c r="E5403" s="10">
        <v>12</v>
      </c>
    </row>
    <row r="5404" spans="1:5">
      <c r="A5404" t="s">
        <v>7399</v>
      </c>
      <c r="B5404" t="s">
        <v>3054</v>
      </c>
      <c r="C5404" s="10">
        <v>6</v>
      </c>
      <c r="D5404" s="10">
        <v>0.75</v>
      </c>
      <c r="E5404" s="10">
        <v>12.5</v>
      </c>
    </row>
    <row r="5405" spans="1:5">
      <c r="A5405" t="s">
        <v>7893</v>
      </c>
      <c r="B5405" t="s">
        <v>7894</v>
      </c>
      <c r="C5405" s="10">
        <v>3</v>
      </c>
      <c r="D5405" s="10">
        <v>1.5</v>
      </c>
      <c r="E5405" s="10">
        <v>12</v>
      </c>
    </row>
    <row r="5406" spans="1:5">
      <c r="A5406" t="s">
        <v>7895</v>
      </c>
      <c r="B5406" t="s">
        <v>7896</v>
      </c>
      <c r="C5406" s="10">
        <v>3</v>
      </c>
      <c r="D5406" s="10">
        <v>1.5</v>
      </c>
      <c r="E5406" s="10">
        <v>12</v>
      </c>
    </row>
    <row r="5407" spans="1:5">
      <c r="A5407" t="s">
        <v>7897</v>
      </c>
      <c r="B5407" t="s">
        <v>6962</v>
      </c>
      <c r="C5407" s="10">
        <v>1</v>
      </c>
      <c r="D5407" s="10">
        <v>6</v>
      </c>
      <c r="E5407" s="10">
        <v>12</v>
      </c>
    </row>
    <row r="5408" spans="1:5">
      <c r="A5408" t="s">
        <v>7362</v>
      </c>
      <c r="B5408" t="s">
        <v>7363</v>
      </c>
      <c r="C5408" s="10">
        <v>6</v>
      </c>
      <c r="D5408" s="10">
        <v>0.75</v>
      </c>
      <c r="E5408" s="10">
        <v>12</v>
      </c>
    </row>
    <row r="5409" spans="1:5">
      <c r="A5409" t="s">
        <v>7731</v>
      </c>
      <c r="B5409" t="s">
        <v>7732</v>
      </c>
      <c r="C5409" s="10">
        <v>6</v>
      </c>
      <c r="D5409" s="10">
        <v>0.7</v>
      </c>
      <c r="E5409" s="10">
        <v>43</v>
      </c>
    </row>
    <row r="5410" spans="1:5">
      <c r="A5410" t="s">
        <v>7538</v>
      </c>
      <c r="B5410" t="s">
        <v>4267</v>
      </c>
      <c r="C5410" s="10">
        <v>6</v>
      </c>
      <c r="D5410" s="10">
        <v>0.7</v>
      </c>
      <c r="E5410" s="10">
        <v>0</v>
      </c>
    </row>
    <row r="5411" spans="1:5">
      <c r="A5411" t="s">
        <v>7539</v>
      </c>
      <c r="B5411" t="s">
        <v>4268</v>
      </c>
      <c r="C5411" s="10">
        <v>6</v>
      </c>
      <c r="D5411" s="10">
        <v>0.7</v>
      </c>
      <c r="E5411" s="10">
        <v>0</v>
      </c>
    </row>
    <row r="5412" spans="1:5">
      <c r="A5412" t="s">
        <v>7540</v>
      </c>
      <c r="B5412" t="s">
        <v>4269</v>
      </c>
      <c r="C5412" s="10">
        <v>6</v>
      </c>
      <c r="D5412" s="10">
        <v>0.7</v>
      </c>
      <c r="E5412" s="10">
        <v>0</v>
      </c>
    </row>
    <row r="5413" spans="1:5">
      <c r="A5413" t="s">
        <v>7541</v>
      </c>
      <c r="B5413" t="s">
        <v>4270</v>
      </c>
      <c r="C5413" s="10">
        <v>6</v>
      </c>
      <c r="D5413" s="10">
        <v>0.7</v>
      </c>
      <c r="E5413" s="10">
        <v>0</v>
      </c>
    </row>
    <row r="5414" spans="1:5">
      <c r="A5414" t="s">
        <v>7542</v>
      </c>
      <c r="B5414" t="s">
        <v>4271</v>
      </c>
      <c r="C5414" s="10">
        <v>6</v>
      </c>
      <c r="D5414" s="10">
        <v>0.7</v>
      </c>
      <c r="E5414" s="10">
        <v>0</v>
      </c>
    </row>
    <row r="5415" spans="1:5">
      <c r="A5415" t="s">
        <v>7543</v>
      </c>
      <c r="B5415" t="s">
        <v>4272</v>
      </c>
      <c r="C5415" s="10">
        <v>6</v>
      </c>
      <c r="D5415" s="10">
        <v>0.7</v>
      </c>
      <c r="E5415" s="10">
        <v>0</v>
      </c>
    </row>
    <row r="5416" spans="1:5">
      <c r="A5416" t="s">
        <v>7544</v>
      </c>
      <c r="B5416" t="s">
        <v>4273</v>
      </c>
      <c r="C5416" s="10">
        <v>6</v>
      </c>
      <c r="D5416" s="10">
        <v>0.7</v>
      </c>
      <c r="E5416" s="10">
        <v>0</v>
      </c>
    </row>
    <row r="5417" spans="1:5">
      <c r="A5417" t="s">
        <v>7545</v>
      </c>
      <c r="B5417" t="s">
        <v>4275</v>
      </c>
      <c r="C5417" s="10">
        <v>6</v>
      </c>
      <c r="D5417" s="10">
        <v>0.7</v>
      </c>
      <c r="E5417" s="10">
        <v>0</v>
      </c>
    </row>
    <row r="5418" spans="1:5">
      <c r="A5418" t="s">
        <v>7546</v>
      </c>
      <c r="B5418" t="s">
        <v>7547</v>
      </c>
      <c r="C5418" s="10">
        <v>6</v>
      </c>
      <c r="D5418" s="10">
        <v>0.7</v>
      </c>
      <c r="E5418" s="10">
        <v>0</v>
      </c>
    </row>
    <row r="5419" spans="1:5">
      <c r="A5419" t="s">
        <v>7548</v>
      </c>
      <c r="B5419" t="s">
        <v>7549</v>
      </c>
      <c r="C5419" s="10">
        <v>6</v>
      </c>
      <c r="D5419" s="10">
        <v>0.7</v>
      </c>
      <c r="E5419" s="10">
        <v>0</v>
      </c>
    </row>
    <row r="5420" spans="1:5">
      <c r="A5420" t="s">
        <v>7550</v>
      </c>
      <c r="B5420" t="s">
        <v>4276</v>
      </c>
      <c r="C5420" s="10">
        <v>6</v>
      </c>
      <c r="D5420" s="10">
        <v>0.7</v>
      </c>
      <c r="E5420" s="10">
        <v>0</v>
      </c>
    </row>
    <row r="5421" spans="1:5">
      <c r="A5421" t="s">
        <v>7551</v>
      </c>
      <c r="B5421" t="s">
        <v>7552</v>
      </c>
      <c r="C5421" s="10">
        <v>6</v>
      </c>
      <c r="D5421" s="10">
        <v>0.7</v>
      </c>
      <c r="E5421" s="10">
        <v>0</v>
      </c>
    </row>
    <row r="5422" spans="1:5">
      <c r="A5422" t="s">
        <v>7553</v>
      </c>
      <c r="B5422" t="s">
        <v>4277</v>
      </c>
      <c r="C5422" s="10">
        <v>6</v>
      </c>
      <c r="D5422" s="10">
        <v>0.7</v>
      </c>
      <c r="E5422" s="10">
        <v>0</v>
      </c>
    </row>
    <row r="5423" spans="1:5">
      <c r="A5423" t="s">
        <v>7554</v>
      </c>
      <c r="B5423" t="s">
        <v>4278</v>
      </c>
      <c r="C5423" s="10">
        <v>6</v>
      </c>
      <c r="D5423" s="10">
        <v>0.7</v>
      </c>
      <c r="E5423" s="10">
        <v>0</v>
      </c>
    </row>
    <row r="5424" spans="1:5">
      <c r="A5424" t="s">
        <v>7951</v>
      </c>
      <c r="B5424" t="s">
        <v>7952</v>
      </c>
      <c r="C5424" s="10">
        <v>12</v>
      </c>
      <c r="D5424" s="10">
        <v>0.44</v>
      </c>
      <c r="E5424" s="10">
        <v>5</v>
      </c>
    </row>
    <row r="5425" spans="1:5">
      <c r="A5425" t="s">
        <v>7249</v>
      </c>
      <c r="B5425" t="s">
        <v>7250</v>
      </c>
      <c r="C5425" s="10">
        <v>6</v>
      </c>
      <c r="D5425" s="10">
        <v>0.5</v>
      </c>
      <c r="E5425" s="10">
        <v>17</v>
      </c>
    </row>
    <row r="5426" spans="1:5">
      <c r="A5426" t="s">
        <v>7762</v>
      </c>
      <c r="B5426" t="s">
        <v>7763</v>
      </c>
      <c r="C5426" s="10">
        <v>12</v>
      </c>
      <c r="D5426" s="10">
        <v>1</v>
      </c>
      <c r="E5426" s="10">
        <v>40</v>
      </c>
    </row>
    <row r="5427" spans="1:5">
      <c r="A5427" t="s">
        <v>7364</v>
      </c>
      <c r="B5427" t="s">
        <v>7365</v>
      </c>
      <c r="C5427" s="10">
        <v>6</v>
      </c>
      <c r="D5427" s="10">
        <v>0.75</v>
      </c>
      <c r="E5427" s="10">
        <v>12</v>
      </c>
    </row>
    <row r="5428" spans="1:5">
      <c r="A5428" t="s">
        <v>7328</v>
      </c>
      <c r="B5428" t="s">
        <v>7329</v>
      </c>
      <c r="C5428" s="10">
        <v>6</v>
      </c>
      <c r="D5428" s="10">
        <v>0.75</v>
      </c>
      <c r="E5428" s="10">
        <v>13</v>
      </c>
    </row>
    <row r="5429" spans="1:5">
      <c r="A5429" t="s">
        <v>7106</v>
      </c>
      <c r="B5429" t="s">
        <v>1033</v>
      </c>
      <c r="C5429" s="10">
        <v>6</v>
      </c>
      <c r="D5429" s="10">
        <v>0.7</v>
      </c>
      <c r="E5429" s="10">
        <v>40</v>
      </c>
    </row>
    <row r="5430" spans="1:5">
      <c r="A5430" t="s">
        <v>7900</v>
      </c>
      <c r="B5430" t="s">
        <v>7901</v>
      </c>
      <c r="C5430" s="10">
        <v>3</v>
      </c>
      <c r="D5430" s="10">
        <v>0.7</v>
      </c>
      <c r="E5430" s="10">
        <v>41.3</v>
      </c>
    </row>
    <row r="5431" spans="1:5">
      <c r="A5431" t="s">
        <v>7557</v>
      </c>
      <c r="B5431" t="s">
        <v>7558</v>
      </c>
      <c r="C5431" s="10">
        <v>6</v>
      </c>
      <c r="D5431" s="10">
        <v>0.7</v>
      </c>
      <c r="E5431" s="10">
        <v>0</v>
      </c>
    </row>
    <row r="5432" spans="1:5">
      <c r="A5432" t="s">
        <v>7561</v>
      </c>
      <c r="B5432" t="s">
        <v>7562</v>
      </c>
      <c r="C5432" s="10">
        <v>6</v>
      </c>
      <c r="D5432" s="10">
        <v>0.7</v>
      </c>
      <c r="E5432" s="10">
        <v>41</v>
      </c>
    </row>
    <row r="5433" spans="1:5">
      <c r="A5433" t="s">
        <v>7795</v>
      </c>
      <c r="B5433" t="s">
        <v>1037</v>
      </c>
      <c r="C5433" s="10">
        <v>1</v>
      </c>
      <c r="D5433" s="10">
        <v>3</v>
      </c>
      <c r="E5433" s="10">
        <v>40</v>
      </c>
    </row>
    <row r="5434" spans="1:5">
      <c r="A5434" t="s">
        <v>7733</v>
      </c>
      <c r="B5434" t="s">
        <v>5251</v>
      </c>
      <c r="C5434" s="10">
        <v>6</v>
      </c>
      <c r="D5434" s="10">
        <v>0.7</v>
      </c>
      <c r="E5434" s="10">
        <v>43</v>
      </c>
    </row>
    <row r="5435" spans="1:5">
      <c r="A5435" t="s">
        <v>7690</v>
      </c>
      <c r="B5435" t="s">
        <v>7691</v>
      </c>
      <c r="C5435" s="10">
        <v>6</v>
      </c>
      <c r="D5435" s="10">
        <v>0.7</v>
      </c>
      <c r="E5435" s="10">
        <v>46</v>
      </c>
    </row>
    <row r="5436" spans="1:5">
      <c r="A5436" t="s">
        <v>7693</v>
      </c>
      <c r="B5436" t="s">
        <v>7694</v>
      </c>
      <c r="C5436" s="10">
        <v>6</v>
      </c>
      <c r="D5436" s="10">
        <v>0.7</v>
      </c>
      <c r="E5436" s="10">
        <v>46</v>
      </c>
    </row>
    <row r="5437" spans="1:5">
      <c r="A5437" t="s">
        <v>7734</v>
      </c>
      <c r="B5437" t="s">
        <v>7735</v>
      </c>
      <c r="C5437" s="10">
        <v>6</v>
      </c>
      <c r="D5437" s="10">
        <v>0.7</v>
      </c>
      <c r="E5437" s="10">
        <v>43</v>
      </c>
    </row>
    <row r="5438" spans="1:5">
      <c r="A5438" t="s">
        <v>7565</v>
      </c>
      <c r="B5438" t="s">
        <v>1893</v>
      </c>
      <c r="C5438" s="10">
        <v>6</v>
      </c>
      <c r="D5438" s="10">
        <v>0.7</v>
      </c>
      <c r="E5438" s="10">
        <v>26</v>
      </c>
    </row>
    <row r="5439" spans="1:5">
      <c r="A5439" t="s">
        <v>7282</v>
      </c>
      <c r="B5439" t="s">
        <v>1893</v>
      </c>
      <c r="C5439" s="10">
        <v>6</v>
      </c>
      <c r="D5439" s="10">
        <v>1</v>
      </c>
      <c r="E5439" s="10">
        <v>26</v>
      </c>
    </row>
    <row r="5440" spans="1:5">
      <c r="A5440" t="s">
        <v>7107</v>
      </c>
      <c r="B5440" t="s">
        <v>1606</v>
      </c>
      <c r="C5440" s="10">
        <v>6</v>
      </c>
      <c r="D5440" s="10">
        <v>0.7</v>
      </c>
      <c r="E5440" s="10">
        <v>40</v>
      </c>
    </row>
    <row r="5441" spans="1:5">
      <c r="A5441" t="s">
        <v>7953</v>
      </c>
      <c r="B5441" t="s">
        <v>7954</v>
      </c>
      <c r="C5441" s="10">
        <v>12</v>
      </c>
      <c r="D5441" s="10">
        <v>0.15</v>
      </c>
      <c r="E5441" s="10">
        <v>42.3</v>
      </c>
    </row>
    <row r="5442" spans="1:5">
      <c r="A5442" t="s">
        <v>7366</v>
      </c>
      <c r="B5442" t="s">
        <v>7367</v>
      </c>
      <c r="C5442" s="10">
        <v>6</v>
      </c>
      <c r="D5442" s="10">
        <v>0.75</v>
      </c>
      <c r="E5442" s="10">
        <v>12</v>
      </c>
    </row>
    <row r="5443" spans="1:5">
      <c r="A5443" t="s">
        <v>7903</v>
      </c>
      <c r="B5443" t="s">
        <v>3085</v>
      </c>
      <c r="C5443" s="10">
        <v>3</v>
      </c>
      <c r="D5443" s="10">
        <v>1.5</v>
      </c>
      <c r="E5443" s="10">
        <v>12</v>
      </c>
    </row>
    <row r="5444" spans="1:5">
      <c r="A5444" t="s">
        <v>7904</v>
      </c>
      <c r="B5444" t="s">
        <v>7905</v>
      </c>
      <c r="C5444" s="10">
        <v>3</v>
      </c>
      <c r="D5444" s="10">
        <v>0.75</v>
      </c>
      <c r="E5444" s="10">
        <v>12</v>
      </c>
    </row>
    <row r="5445" spans="1:5">
      <c r="A5445" t="s">
        <v>7906</v>
      </c>
      <c r="B5445" t="s">
        <v>7907</v>
      </c>
      <c r="C5445" s="10">
        <v>3</v>
      </c>
      <c r="D5445" s="10">
        <v>0.75</v>
      </c>
      <c r="E5445" s="10">
        <v>12</v>
      </c>
    </row>
    <row r="5446" spans="1:5">
      <c r="A5446" t="s">
        <v>7796</v>
      </c>
      <c r="B5446" t="s">
        <v>7797</v>
      </c>
      <c r="C5446" s="10">
        <v>3</v>
      </c>
      <c r="D5446" s="10">
        <v>1.75</v>
      </c>
      <c r="E5446" s="10">
        <v>40</v>
      </c>
    </row>
    <row r="5447" spans="1:5">
      <c r="A5447" t="s">
        <v>7955</v>
      </c>
      <c r="B5447" t="s">
        <v>1672</v>
      </c>
      <c r="C5447" s="10">
        <v>12</v>
      </c>
      <c r="D5447" s="10">
        <v>0.35</v>
      </c>
      <c r="E5447" s="10">
        <v>37.5</v>
      </c>
    </row>
    <row r="5448" spans="1:5">
      <c r="A5448" t="s">
        <v>7212</v>
      </c>
      <c r="B5448" t="s">
        <v>7213</v>
      </c>
      <c r="C5448" s="10">
        <v>6</v>
      </c>
      <c r="D5448" s="10">
        <v>0.5</v>
      </c>
      <c r="E5448" s="10">
        <v>40</v>
      </c>
    </row>
    <row r="5449" spans="1:5">
      <c r="A5449" t="s">
        <v>7566</v>
      </c>
      <c r="B5449" t="s">
        <v>7567</v>
      </c>
      <c r="C5449" s="10">
        <v>6</v>
      </c>
      <c r="D5449" s="10">
        <v>0.7</v>
      </c>
      <c r="E5449" s="10">
        <v>59.4</v>
      </c>
    </row>
    <row r="5450" spans="1:5">
      <c r="A5450" t="s">
        <v>7568</v>
      </c>
      <c r="B5450" t="s">
        <v>7569</v>
      </c>
      <c r="C5450" s="10">
        <v>6</v>
      </c>
      <c r="D5450" s="10">
        <v>0.7</v>
      </c>
      <c r="E5450" s="10">
        <v>40.700000000000003</v>
      </c>
    </row>
    <row r="5451" spans="1:5">
      <c r="A5451" t="s">
        <v>7108</v>
      </c>
      <c r="B5451" t="s">
        <v>7109</v>
      </c>
      <c r="C5451" s="10">
        <v>6</v>
      </c>
      <c r="D5451" s="10">
        <v>0.7</v>
      </c>
      <c r="E5451" s="10">
        <v>40</v>
      </c>
    </row>
    <row r="5452" spans="1:5">
      <c r="A5452" t="s">
        <v>7637</v>
      </c>
      <c r="B5452" t="s">
        <v>7638</v>
      </c>
      <c r="C5452" s="10">
        <v>6</v>
      </c>
      <c r="D5452" s="10">
        <v>0.7</v>
      </c>
      <c r="E5452" s="10">
        <v>37.5</v>
      </c>
    </row>
    <row r="5453" spans="1:5">
      <c r="A5453" t="s">
        <v>7110</v>
      </c>
      <c r="B5453" t="s">
        <v>7111</v>
      </c>
      <c r="C5453" s="10">
        <v>6</v>
      </c>
      <c r="D5453" s="10">
        <v>0.7</v>
      </c>
      <c r="E5453" s="10">
        <v>40</v>
      </c>
    </row>
    <row r="5454" spans="1:5">
      <c r="A5454" t="s">
        <v>7112</v>
      </c>
      <c r="B5454" t="s">
        <v>7113</v>
      </c>
      <c r="C5454" s="10">
        <v>6</v>
      </c>
      <c r="D5454" s="10">
        <v>0.7</v>
      </c>
      <c r="E5454" s="10">
        <v>40</v>
      </c>
    </row>
    <row r="5455" spans="1:5">
      <c r="A5455" t="s">
        <v>7114</v>
      </c>
      <c r="B5455" t="s">
        <v>7115</v>
      </c>
      <c r="C5455" s="10">
        <v>6</v>
      </c>
      <c r="D5455" s="10">
        <v>0.7</v>
      </c>
      <c r="E5455" s="10">
        <v>40</v>
      </c>
    </row>
    <row r="5456" spans="1:5">
      <c r="A5456" t="s">
        <v>7572</v>
      </c>
      <c r="B5456" t="s">
        <v>7573</v>
      </c>
      <c r="C5456" s="10">
        <v>6</v>
      </c>
      <c r="D5456" s="10">
        <v>0.7</v>
      </c>
      <c r="E5456" s="10">
        <v>45</v>
      </c>
    </row>
    <row r="5457" spans="1:5">
      <c r="A5457" t="s">
        <v>7908</v>
      </c>
      <c r="B5457" t="s">
        <v>7909</v>
      </c>
      <c r="C5457" s="10">
        <v>8</v>
      </c>
      <c r="D5457" s="10">
        <v>0.75</v>
      </c>
      <c r="E5457" s="10">
        <v>10</v>
      </c>
    </row>
    <row r="5458" spans="1:5">
      <c r="A5458" t="s">
        <v>7190</v>
      </c>
      <c r="B5458" t="s">
        <v>7191</v>
      </c>
      <c r="C5458" s="10">
        <v>6</v>
      </c>
      <c r="D5458" s="10">
        <v>1</v>
      </c>
      <c r="E5458" s="10">
        <v>40</v>
      </c>
    </row>
    <row r="5459" spans="1:5">
      <c r="A5459" t="s">
        <v>7823</v>
      </c>
      <c r="B5459" t="s">
        <v>5960</v>
      </c>
      <c r="C5459" s="10">
        <v>3</v>
      </c>
      <c r="D5459" s="10">
        <v>0.7</v>
      </c>
      <c r="E5459" s="10">
        <v>40</v>
      </c>
    </row>
    <row r="5460" spans="1:5">
      <c r="A5460" t="s">
        <v>7639</v>
      </c>
      <c r="B5460" t="s">
        <v>7640</v>
      </c>
      <c r="C5460" s="10">
        <v>6</v>
      </c>
      <c r="D5460" s="10">
        <v>0.7</v>
      </c>
      <c r="E5460" s="10">
        <v>37.5</v>
      </c>
    </row>
    <row r="5461" spans="1:5">
      <c r="A5461" t="s">
        <v>7956</v>
      </c>
      <c r="B5461" t="s">
        <v>2322</v>
      </c>
      <c r="C5461" s="10">
        <v>12</v>
      </c>
      <c r="D5461" s="10">
        <v>0.7</v>
      </c>
      <c r="E5461" s="10">
        <v>45</v>
      </c>
    </row>
    <row r="5462" spans="1:5">
      <c r="A5462" t="s">
        <v>7118</v>
      </c>
      <c r="B5462" t="s">
        <v>7119</v>
      </c>
      <c r="C5462" s="10">
        <v>6</v>
      </c>
      <c r="D5462" s="10">
        <v>0.7</v>
      </c>
      <c r="E5462" s="10">
        <v>40</v>
      </c>
    </row>
    <row r="5463" spans="1:5">
      <c r="A5463" t="s">
        <v>7824</v>
      </c>
      <c r="B5463" t="s">
        <v>7825</v>
      </c>
      <c r="C5463" s="10">
        <v>3</v>
      </c>
      <c r="D5463" s="10">
        <v>0.7</v>
      </c>
      <c r="E5463" s="10">
        <v>40</v>
      </c>
    </row>
    <row r="5464" spans="1:5">
      <c r="A5464" t="s">
        <v>7120</v>
      </c>
      <c r="B5464" t="s">
        <v>7121</v>
      </c>
      <c r="C5464" s="10">
        <v>6</v>
      </c>
      <c r="D5464" s="10">
        <v>0.7</v>
      </c>
      <c r="E5464" s="10">
        <v>40</v>
      </c>
    </row>
    <row r="5465" spans="1:5">
      <c r="A5465" t="s">
        <v>7223</v>
      </c>
      <c r="B5465" t="s">
        <v>7224</v>
      </c>
      <c r="C5465" s="10">
        <v>6</v>
      </c>
      <c r="D5465" s="10">
        <v>0.48</v>
      </c>
      <c r="E5465" s="10">
        <v>42.9</v>
      </c>
    </row>
    <row r="5466" spans="1:5">
      <c r="A5466" t="s">
        <v>7764</v>
      </c>
      <c r="B5466" t="s">
        <v>1195</v>
      </c>
      <c r="C5466" s="10">
        <v>12</v>
      </c>
      <c r="D5466" s="10">
        <v>1</v>
      </c>
      <c r="E5466" s="10">
        <v>40</v>
      </c>
    </row>
    <row r="5467" spans="1:5">
      <c r="A5467" t="s">
        <v>7910</v>
      </c>
      <c r="B5467" t="s">
        <v>7911</v>
      </c>
      <c r="C5467" s="10">
        <v>1</v>
      </c>
      <c r="D5467" s="10">
        <v>5</v>
      </c>
      <c r="E5467" s="10">
        <v>13.5</v>
      </c>
    </row>
    <row r="5468" spans="1:5">
      <c r="A5468" t="s">
        <v>7330</v>
      </c>
      <c r="B5468" t="s">
        <v>7331</v>
      </c>
      <c r="C5468" s="10">
        <v>6</v>
      </c>
      <c r="D5468" s="10">
        <v>0.75</v>
      </c>
      <c r="E5468" s="10">
        <v>13.5</v>
      </c>
    </row>
    <row r="5469" spans="1:5">
      <c r="A5469" t="s">
        <v>7798</v>
      </c>
      <c r="B5469" t="s">
        <v>1209</v>
      </c>
      <c r="C5469" s="10">
        <v>24</v>
      </c>
      <c r="D5469" s="10">
        <v>0.2</v>
      </c>
      <c r="E5469" s="10">
        <v>40</v>
      </c>
    </row>
    <row r="5470" spans="1:5">
      <c r="A5470" t="s">
        <v>7799</v>
      </c>
      <c r="B5470" t="s">
        <v>1211</v>
      </c>
      <c r="C5470" s="10">
        <v>24</v>
      </c>
      <c r="D5470" s="10">
        <v>0.2</v>
      </c>
      <c r="E5470" s="10">
        <v>40</v>
      </c>
    </row>
    <row r="5471" spans="1:5">
      <c r="A5471" t="s">
        <v>7334</v>
      </c>
      <c r="B5471" t="s">
        <v>7335</v>
      </c>
      <c r="C5471" s="10">
        <v>6</v>
      </c>
      <c r="D5471" s="10">
        <v>0.75</v>
      </c>
      <c r="E5471" s="10">
        <v>13</v>
      </c>
    </row>
    <row r="5472" spans="1:5">
      <c r="A5472" t="s">
        <v>7336</v>
      </c>
      <c r="B5472" t="s">
        <v>7337</v>
      </c>
      <c r="C5472" s="10">
        <v>6</v>
      </c>
      <c r="D5472" s="10">
        <v>0.75</v>
      </c>
      <c r="E5472" s="10">
        <v>13.5</v>
      </c>
    </row>
    <row r="5473" spans="1:5">
      <c r="A5473" t="s">
        <v>7338</v>
      </c>
      <c r="B5473" t="s">
        <v>7339</v>
      </c>
      <c r="C5473" s="10">
        <v>6</v>
      </c>
      <c r="D5473" s="10">
        <v>0.75</v>
      </c>
      <c r="E5473" s="10">
        <v>14</v>
      </c>
    </row>
    <row r="5474" spans="1:5">
      <c r="A5474" t="s">
        <v>7340</v>
      </c>
      <c r="B5474" t="s">
        <v>7341</v>
      </c>
      <c r="C5474" s="10">
        <v>6</v>
      </c>
      <c r="D5474" s="10">
        <v>0.75</v>
      </c>
      <c r="E5474" s="10">
        <v>14</v>
      </c>
    </row>
    <row r="5475" spans="1:5">
      <c r="A5475" t="s">
        <v>7255</v>
      </c>
      <c r="B5475" t="s">
        <v>7256</v>
      </c>
      <c r="C5475" s="10">
        <v>6</v>
      </c>
      <c r="D5475" s="10">
        <v>0.5</v>
      </c>
      <c r="E5475" s="10">
        <v>14</v>
      </c>
    </row>
    <row r="5476" spans="1:5">
      <c r="A5476" t="s">
        <v>7342</v>
      </c>
      <c r="B5476" t="s">
        <v>7343</v>
      </c>
      <c r="C5476" s="10">
        <v>6</v>
      </c>
      <c r="D5476" s="10">
        <v>0.75</v>
      </c>
      <c r="E5476" s="10">
        <v>20</v>
      </c>
    </row>
    <row r="5477" spans="1:5">
      <c r="A5477" t="s">
        <v>7576</v>
      </c>
      <c r="B5477" t="s">
        <v>7577</v>
      </c>
      <c r="C5477" s="10">
        <v>6</v>
      </c>
      <c r="D5477" s="10">
        <v>0.7</v>
      </c>
      <c r="E5477" s="10">
        <v>45</v>
      </c>
    </row>
    <row r="5478" spans="1:5">
      <c r="A5478" t="s">
        <v>7697</v>
      </c>
      <c r="B5478" t="s">
        <v>7698</v>
      </c>
      <c r="C5478" s="10">
        <v>6</v>
      </c>
      <c r="D5478" s="10">
        <v>0.7</v>
      </c>
      <c r="E5478" s="10">
        <v>46</v>
      </c>
    </row>
    <row r="5479" spans="1:5">
      <c r="A5479" t="s">
        <v>7578</v>
      </c>
      <c r="B5479" t="s">
        <v>7579</v>
      </c>
      <c r="C5479" s="10">
        <v>6</v>
      </c>
      <c r="D5479" s="10">
        <v>0.7</v>
      </c>
      <c r="E5479" s="10">
        <v>57</v>
      </c>
    </row>
    <row r="5480" spans="1:5">
      <c r="A5480" t="s">
        <v>7699</v>
      </c>
      <c r="B5480" t="s">
        <v>7700</v>
      </c>
      <c r="C5480" s="10">
        <v>6</v>
      </c>
      <c r="D5480" s="10">
        <v>0.7</v>
      </c>
      <c r="E5480" s="10">
        <v>46</v>
      </c>
    </row>
    <row r="5481" spans="1:5">
      <c r="A5481" t="s">
        <v>7641</v>
      </c>
      <c r="B5481" t="s">
        <v>7642</v>
      </c>
      <c r="C5481" s="10">
        <v>6</v>
      </c>
      <c r="D5481" s="10">
        <v>0.7</v>
      </c>
      <c r="E5481" s="10">
        <v>37.5</v>
      </c>
    </row>
    <row r="5482" spans="1:5">
      <c r="A5482" t="s">
        <v>7643</v>
      </c>
      <c r="B5482" t="s">
        <v>7644</v>
      </c>
      <c r="C5482" s="10">
        <v>6</v>
      </c>
      <c r="D5482" s="10">
        <v>0.7</v>
      </c>
      <c r="E5482" s="10">
        <v>37.5</v>
      </c>
    </row>
    <row r="5483" spans="1:5">
      <c r="A5483" t="s">
        <v>7957</v>
      </c>
      <c r="B5483" t="s">
        <v>7958</v>
      </c>
      <c r="C5483" s="10">
        <v>12</v>
      </c>
      <c r="D5483" s="10">
        <v>0.7</v>
      </c>
      <c r="E5483" s="10">
        <v>43</v>
      </c>
    </row>
    <row r="5484" spans="1:5">
      <c r="A5484" t="s">
        <v>7959</v>
      </c>
      <c r="B5484" t="s">
        <v>7960</v>
      </c>
      <c r="C5484" s="10">
        <v>12</v>
      </c>
      <c r="D5484" s="10">
        <v>0.05</v>
      </c>
      <c r="E5484" s="10">
        <v>38</v>
      </c>
    </row>
    <row r="5485" spans="1:5">
      <c r="A5485" t="s">
        <v>7122</v>
      </c>
      <c r="B5485" t="s">
        <v>7123</v>
      </c>
      <c r="C5485" s="10">
        <v>6</v>
      </c>
      <c r="D5485" s="10">
        <v>0.7</v>
      </c>
      <c r="E5485" s="10">
        <v>40</v>
      </c>
    </row>
    <row r="5486" spans="1:5">
      <c r="A5486" t="s">
        <v>7124</v>
      </c>
      <c r="B5486" t="s">
        <v>6069</v>
      </c>
      <c r="C5486" s="10">
        <v>6</v>
      </c>
      <c r="D5486" s="10">
        <v>0.7</v>
      </c>
      <c r="E5486" s="10">
        <v>40</v>
      </c>
    </row>
    <row r="5487" spans="1:5">
      <c r="A5487" t="s">
        <v>7582</v>
      </c>
      <c r="B5487" t="s">
        <v>7583</v>
      </c>
      <c r="C5487" s="10">
        <v>6</v>
      </c>
      <c r="D5487" s="10">
        <v>0.7</v>
      </c>
      <c r="E5487" s="10">
        <v>43.4</v>
      </c>
    </row>
    <row r="5488" spans="1:5">
      <c r="A5488" t="s">
        <v>7912</v>
      </c>
      <c r="B5488" t="s">
        <v>9356</v>
      </c>
      <c r="C5488" s="10">
        <v>24</v>
      </c>
      <c r="D5488" s="10">
        <v>275</v>
      </c>
      <c r="E5488" s="10">
        <v>4</v>
      </c>
    </row>
    <row r="5489" spans="1:5">
      <c r="A5489" t="s">
        <v>7800</v>
      </c>
      <c r="B5489" t="s">
        <v>1684</v>
      </c>
      <c r="C5489" s="10">
        <v>4</v>
      </c>
      <c r="D5489" s="10">
        <v>3</v>
      </c>
      <c r="E5489" s="10">
        <v>40</v>
      </c>
    </row>
    <row r="5490" spans="1:5">
      <c r="A5490" t="s">
        <v>7736</v>
      </c>
      <c r="B5490" t="s">
        <v>6957</v>
      </c>
      <c r="C5490" s="10">
        <v>6</v>
      </c>
      <c r="D5490" s="10">
        <v>0.7</v>
      </c>
      <c r="E5490" s="10">
        <v>43</v>
      </c>
    </row>
    <row r="5491" spans="1:5">
      <c r="A5491" t="s">
        <v>7584</v>
      </c>
      <c r="B5491" t="s">
        <v>7585</v>
      </c>
      <c r="C5491" s="10">
        <v>6</v>
      </c>
      <c r="D5491" s="10">
        <v>0.7</v>
      </c>
      <c r="E5491" s="10">
        <v>58</v>
      </c>
    </row>
    <row r="5492" spans="1:5">
      <c r="A5492" t="s">
        <v>7981</v>
      </c>
      <c r="B5492" t="s">
        <v>2356</v>
      </c>
      <c r="C5492" s="10">
        <v>12</v>
      </c>
      <c r="D5492" s="10">
        <v>1</v>
      </c>
      <c r="E5492" s="10">
        <v>30</v>
      </c>
    </row>
    <row r="5493" spans="1:5">
      <c r="A5493" t="s">
        <v>7586</v>
      </c>
      <c r="B5493" t="s">
        <v>7587</v>
      </c>
      <c r="C5493" s="10">
        <v>6</v>
      </c>
      <c r="D5493" s="10">
        <v>0.7</v>
      </c>
      <c r="E5493" s="10">
        <v>15</v>
      </c>
    </row>
    <row r="5494" spans="1:5">
      <c r="A5494" t="s">
        <v>7125</v>
      </c>
      <c r="B5494" t="s">
        <v>7126</v>
      </c>
      <c r="C5494" s="10">
        <v>6</v>
      </c>
      <c r="D5494" s="10">
        <v>0.7</v>
      </c>
      <c r="E5494" s="10">
        <v>40</v>
      </c>
    </row>
    <row r="5495" spans="1:5">
      <c r="A5495" t="s">
        <v>7127</v>
      </c>
      <c r="B5495" t="s">
        <v>7128</v>
      </c>
      <c r="C5495" s="10">
        <v>6</v>
      </c>
      <c r="D5495" s="10">
        <v>0.7</v>
      </c>
      <c r="E5495" s="10">
        <v>40</v>
      </c>
    </row>
    <row r="5496" spans="1:5">
      <c r="A5496" t="s">
        <v>7129</v>
      </c>
      <c r="B5496" t="s">
        <v>7130</v>
      </c>
      <c r="C5496" s="10">
        <v>6</v>
      </c>
      <c r="D5496" s="10">
        <v>0.7</v>
      </c>
      <c r="E5496" s="10">
        <v>40</v>
      </c>
    </row>
    <row r="5497" spans="1:5">
      <c r="A5497" t="s">
        <v>7403</v>
      </c>
      <c r="B5497" t="s">
        <v>7404</v>
      </c>
      <c r="C5497" s="10">
        <v>6</v>
      </c>
      <c r="D5497" s="10">
        <v>0.75</v>
      </c>
      <c r="E5497" s="10">
        <v>12.5</v>
      </c>
    </row>
    <row r="5498" spans="1:5">
      <c r="A5498" t="s">
        <v>7406</v>
      </c>
      <c r="B5498" t="s">
        <v>3217</v>
      </c>
      <c r="C5498" s="10">
        <v>6</v>
      </c>
      <c r="D5498" s="10">
        <v>0.75</v>
      </c>
      <c r="E5498" s="10">
        <v>12.5</v>
      </c>
    </row>
    <row r="5499" spans="1:5">
      <c r="A5499" t="s">
        <v>7131</v>
      </c>
      <c r="B5499" t="s">
        <v>7132</v>
      </c>
      <c r="C5499" s="10">
        <v>6</v>
      </c>
      <c r="D5499" s="10">
        <v>0.7</v>
      </c>
      <c r="E5499" s="10">
        <v>40</v>
      </c>
    </row>
    <row r="5500" spans="1:5">
      <c r="A5500" t="s">
        <v>7133</v>
      </c>
      <c r="B5500" t="s">
        <v>7134</v>
      </c>
      <c r="C5500" s="10">
        <v>6</v>
      </c>
      <c r="D5500" s="10">
        <v>0.7</v>
      </c>
      <c r="E5500" s="10">
        <v>40</v>
      </c>
    </row>
    <row r="5501" spans="1:5">
      <c r="A5501" t="s">
        <v>7344</v>
      </c>
      <c r="B5501" t="s">
        <v>7345</v>
      </c>
      <c r="C5501" s="10">
        <v>6</v>
      </c>
      <c r="D5501" s="10">
        <v>0.75</v>
      </c>
      <c r="E5501" s="10">
        <v>20</v>
      </c>
    </row>
    <row r="5502" spans="1:5">
      <c r="A5502" t="s">
        <v>7135</v>
      </c>
      <c r="B5502" t="s">
        <v>7136</v>
      </c>
      <c r="C5502" s="10">
        <v>6</v>
      </c>
      <c r="D5502" s="10">
        <v>0.7</v>
      </c>
      <c r="E5502" s="10">
        <v>40</v>
      </c>
    </row>
    <row r="5503" spans="1:5">
      <c r="A5503" t="s">
        <v>7961</v>
      </c>
      <c r="B5503" t="s">
        <v>7962</v>
      </c>
      <c r="C5503" s="10">
        <v>12</v>
      </c>
      <c r="D5503" s="10">
        <v>0.7</v>
      </c>
      <c r="E5503" s="10">
        <v>43</v>
      </c>
    </row>
    <row r="5504" spans="1:5">
      <c r="A5504" t="s">
        <v>7139</v>
      </c>
      <c r="B5504" t="s">
        <v>1279</v>
      </c>
      <c r="C5504" s="10">
        <v>6</v>
      </c>
      <c r="D5504" s="10">
        <v>0.7</v>
      </c>
      <c r="E5504" s="10">
        <v>40</v>
      </c>
    </row>
    <row r="5505" spans="1:5">
      <c r="A5505" t="s">
        <v>7283</v>
      </c>
      <c r="B5505" t="s">
        <v>7284</v>
      </c>
      <c r="C5505" s="10">
        <v>6</v>
      </c>
      <c r="D5505" s="10">
        <v>1</v>
      </c>
      <c r="E5505" s="10">
        <v>41.5</v>
      </c>
    </row>
    <row r="5506" spans="1:5">
      <c r="A5506" t="s">
        <v>7192</v>
      </c>
      <c r="B5506" t="s">
        <v>7193</v>
      </c>
      <c r="C5506" s="10">
        <v>6</v>
      </c>
      <c r="D5506" s="10">
        <v>1</v>
      </c>
      <c r="E5506" s="10">
        <v>40</v>
      </c>
    </row>
    <row r="5507" spans="1:5">
      <c r="A5507" t="s">
        <v>7590</v>
      </c>
      <c r="B5507" t="s">
        <v>7591</v>
      </c>
      <c r="C5507" s="10">
        <v>6</v>
      </c>
      <c r="D5507" s="10">
        <v>0.7</v>
      </c>
      <c r="E5507" s="10">
        <v>41</v>
      </c>
    </row>
    <row r="5508" spans="1:5">
      <c r="A5508" t="s">
        <v>7140</v>
      </c>
      <c r="B5508" t="s">
        <v>7141</v>
      </c>
      <c r="C5508" s="10">
        <v>6</v>
      </c>
      <c r="D5508" s="10">
        <v>0.7</v>
      </c>
      <c r="E5508" s="10">
        <v>40</v>
      </c>
    </row>
    <row r="5509" spans="1:5">
      <c r="A5509" t="s">
        <v>7142</v>
      </c>
      <c r="B5509" t="s">
        <v>7143</v>
      </c>
      <c r="C5509" s="10">
        <v>6</v>
      </c>
      <c r="D5509" s="10">
        <v>0.7</v>
      </c>
      <c r="E5509" s="10">
        <v>40</v>
      </c>
    </row>
    <row r="5510" spans="1:5">
      <c r="A5510" t="s">
        <v>7144</v>
      </c>
      <c r="B5510" t="s">
        <v>1285</v>
      </c>
      <c r="C5510" s="10">
        <v>6</v>
      </c>
      <c r="D5510" s="10">
        <v>0.7</v>
      </c>
      <c r="E5510" s="10">
        <v>40</v>
      </c>
    </row>
    <row r="5511" spans="1:5">
      <c r="A5511" t="s">
        <v>7592</v>
      </c>
      <c r="B5511" t="s">
        <v>7593</v>
      </c>
      <c r="C5511" s="10">
        <v>6</v>
      </c>
      <c r="D5511" s="10">
        <v>0.7</v>
      </c>
      <c r="E5511" s="10">
        <v>42</v>
      </c>
    </row>
    <row r="5512" spans="1:5">
      <c r="A5512" t="s">
        <v>7594</v>
      </c>
      <c r="B5512" t="s">
        <v>7595</v>
      </c>
      <c r="C5512" s="10">
        <v>6</v>
      </c>
      <c r="D5512" s="10">
        <v>0.7</v>
      </c>
      <c r="E5512" s="10">
        <v>61</v>
      </c>
    </row>
    <row r="5513" spans="1:5">
      <c r="A5513" t="s">
        <v>7596</v>
      </c>
      <c r="B5513" t="s">
        <v>7597</v>
      </c>
      <c r="C5513" s="10">
        <v>6</v>
      </c>
      <c r="D5513" s="10">
        <v>0.7</v>
      </c>
      <c r="E5513" s="10">
        <v>58.2</v>
      </c>
    </row>
    <row r="5514" spans="1:5">
      <c r="A5514" t="s">
        <v>7598</v>
      </c>
      <c r="B5514" t="s">
        <v>7599</v>
      </c>
      <c r="C5514" s="10">
        <v>6</v>
      </c>
      <c r="D5514" s="10">
        <v>0.7</v>
      </c>
      <c r="E5514" s="10">
        <v>59.4</v>
      </c>
    </row>
    <row r="5515" spans="1:5">
      <c r="A5515" t="s">
        <v>7826</v>
      </c>
      <c r="B5515" t="s">
        <v>1296</v>
      </c>
      <c r="C5515" s="10">
        <v>3</v>
      </c>
      <c r="D5515" s="10">
        <v>0.7</v>
      </c>
      <c r="E5515" s="10">
        <v>40</v>
      </c>
    </row>
    <row r="5516" spans="1:5">
      <c r="A5516" t="s">
        <v>7259</v>
      </c>
      <c r="B5516" t="s">
        <v>7260</v>
      </c>
      <c r="C5516" s="10">
        <v>6</v>
      </c>
      <c r="D5516" s="10">
        <v>0.5</v>
      </c>
      <c r="E5516" s="10">
        <v>45</v>
      </c>
    </row>
    <row r="5517" spans="1:5">
      <c r="A5517" t="s">
        <v>7737</v>
      </c>
      <c r="B5517" t="s">
        <v>7738</v>
      </c>
      <c r="C5517" s="10">
        <v>6</v>
      </c>
      <c r="D5517" s="10">
        <v>0.7</v>
      </c>
      <c r="E5517" s="10">
        <v>43</v>
      </c>
    </row>
    <row r="5518" spans="1:5">
      <c r="A5518" t="s">
        <v>7600</v>
      </c>
      <c r="B5518" t="s">
        <v>7601</v>
      </c>
      <c r="C5518" s="10">
        <v>6</v>
      </c>
      <c r="D5518" s="10">
        <v>0.7</v>
      </c>
      <c r="E5518" s="10">
        <v>44.2</v>
      </c>
    </row>
    <row r="5519" spans="1:5">
      <c r="A5519" t="s">
        <v>7602</v>
      </c>
      <c r="B5519" t="s">
        <v>7603</v>
      </c>
      <c r="C5519" s="10">
        <v>6</v>
      </c>
      <c r="D5519" s="10">
        <v>0.7</v>
      </c>
      <c r="E5519" s="10">
        <v>43.7</v>
      </c>
    </row>
    <row r="5520" spans="1:5">
      <c r="A5520" t="s">
        <v>7604</v>
      </c>
      <c r="B5520" t="s">
        <v>7605</v>
      </c>
      <c r="C5520" s="10">
        <v>6</v>
      </c>
      <c r="D5520" s="10">
        <v>0.7</v>
      </c>
      <c r="E5520" s="10">
        <v>43.7</v>
      </c>
    </row>
    <row r="5521" spans="1:5">
      <c r="A5521" t="s">
        <v>7606</v>
      </c>
      <c r="B5521" t="s">
        <v>7607</v>
      </c>
      <c r="C5521" s="10">
        <v>6</v>
      </c>
      <c r="D5521" s="10">
        <v>0.7</v>
      </c>
      <c r="E5521" s="10">
        <v>43.7</v>
      </c>
    </row>
    <row r="5522" spans="1:5">
      <c r="A5522" t="s">
        <v>7145</v>
      </c>
      <c r="B5522" t="s">
        <v>7146</v>
      </c>
      <c r="C5522" s="10">
        <v>6</v>
      </c>
      <c r="D5522" s="10">
        <v>0.7</v>
      </c>
      <c r="E5522" s="10">
        <v>40</v>
      </c>
    </row>
    <row r="5523" spans="1:5">
      <c r="A5523" t="s">
        <v>7261</v>
      </c>
      <c r="B5523" t="s">
        <v>7262</v>
      </c>
      <c r="C5523" s="10">
        <v>6</v>
      </c>
      <c r="D5523" s="10">
        <v>0.5</v>
      </c>
      <c r="E5523" s="10">
        <v>41.4</v>
      </c>
    </row>
    <row r="5524" spans="1:5">
      <c r="A5524" t="s">
        <v>7147</v>
      </c>
      <c r="B5524" t="s">
        <v>7148</v>
      </c>
      <c r="C5524" s="10">
        <v>6</v>
      </c>
      <c r="D5524" s="10">
        <v>0.7</v>
      </c>
      <c r="E5524" s="10">
        <v>40</v>
      </c>
    </row>
    <row r="5525" spans="1:5">
      <c r="A5525" t="s">
        <v>7608</v>
      </c>
      <c r="B5525" t="s">
        <v>7609</v>
      </c>
      <c r="C5525" s="10">
        <v>6</v>
      </c>
      <c r="D5525" s="10">
        <v>0.7</v>
      </c>
      <c r="E5525" s="10">
        <v>58</v>
      </c>
    </row>
    <row r="5526" spans="1:5">
      <c r="A5526" t="s">
        <v>7915</v>
      </c>
      <c r="B5526" t="s">
        <v>2999</v>
      </c>
      <c r="C5526" s="10">
        <v>3</v>
      </c>
      <c r="D5526" s="10">
        <v>1.5</v>
      </c>
      <c r="E5526" s="10">
        <v>13</v>
      </c>
    </row>
    <row r="5527" spans="1:5">
      <c r="A5527" t="s">
        <v>7151</v>
      </c>
      <c r="B5527" t="s">
        <v>7152</v>
      </c>
      <c r="C5527" s="10">
        <v>6</v>
      </c>
      <c r="D5527" s="10">
        <v>0.7</v>
      </c>
      <c r="E5527" s="10">
        <v>40</v>
      </c>
    </row>
    <row r="5528" spans="1:5">
      <c r="A5528" t="s">
        <v>7614</v>
      </c>
      <c r="B5528" t="s">
        <v>7615</v>
      </c>
      <c r="C5528" s="10">
        <v>6</v>
      </c>
      <c r="D5528" s="10">
        <v>0.7</v>
      </c>
      <c r="E5528" s="10">
        <v>50</v>
      </c>
    </row>
    <row r="5529" spans="1:5">
      <c r="A5529" t="s">
        <v>7616</v>
      </c>
      <c r="B5529" t="s">
        <v>7617</v>
      </c>
      <c r="C5529" s="10">
        <v>6</v>
      </c>
      <c r="D5529" s="10">
        <v>0.7</v>
      </c>
      <c r="E5529" s="10">
        <v>46.5</v>
      </c>
    </row>
    <row r="5530" spans="1:5">
      <c r="A5530" t="s">
        <v>7916</v>
      </c>
      <c r="B5530" t="s">
        <v>6537</v>
      </c>
      <c r="C5530" s="10">
        <v>120</v>
      </c>
      <c r="D5530" s="10">
        <v>0.02</v>
      </c>
      <c r="E5530" s="10">
        <v>44</v>
      </c>
    </row>
    <row r="5531" spans="1:5">
      <c r="A5531" t="s">
        <v>7917</v>
      </c>
      <c r="B5531" t="s">
        <v>6537</v>
      </c>
      <c r="C5531" s="10">
        <v>120</v>
      </c>
      <c r="D5531" s="10">
        <v>0.02</v>
      </c>
      <c r="E5531" s="10">
        <v>44</v>
      </c>
    </row>
    <row r="5532" spans="1:5">
      <c r="A5532" t="s">
        <v>7801</v>
      </c>
      <c r="B5532" t="s">
        <v>7802</v>
      </c>
      <c r="C5532" s="10">
        <v>24</v>
      </c>
      <c r="D5532" s="10">
        <v>0.04</v>
      </c>
      <c r="E5532" s="10">
        <v>40</v>
      </c>
    </row>
    <row r="5533" spans="1:5">
      <c r="A5533" t="s">
        <v>7407</v>
      </c>
      <c r="B5533" t="s">
        <v>3106</v>
      </c>
      <c r="C5533" s="10">
        <v>6</v>
      </c>
      <c r="D5533" s="10">
        <v>0.75</v>
      </c>
      <c r="E5533" s="10">
        <v>12.5</v>
      </c>
    </row>
    <row r="5534" spans="1:5">
      <c r="A5534" t="s">
        <v>7408</v>
      </c>
      <c r="B5534" t="s">
        <v>7409</v>
      </c>
      <c r="C5534" s="10">
        <v>6</v>
      </c>
      <c r="D5534" s="10">
        <v>0.75</v>
      </c>
      <c r="E5534" s="10">
        <v>12.5</v>
      </c>
    </row>
    <row r="5535" spans="1:5">
      <c r="A5535" t="s">
        <v>7618</v>
      </c>
      <c r="B5535" t="s">
        <v>7619</v>
      </c>
      <c r="C5535" s="10">
        <v>6</v>
      </c>
      <c r="D5535" s="10">
        <v>0.7</v>
      </c>
      <c r="E5535" s="10">
        <v>30</v>
      </c>
    </row>
    <row r="5536" spans="1:5">
      <c r="A5536" t="s">
        <v>7921</v>
      </c>
      <c r="B5536" t="s">
        <v>7922</v>
      </c>
      <c r="C5536" s="10">
        <v>1</v>
      </c>
      <c r="D5536" s="10">
        <v>0.48</v>
      </c>
      <c r="E5536" s="10">
        <v>42.2</v>
      </c>
    </row>
    <row r="5537" spans="1:5">
      <c r="A5537" t="s">
        <v>7153</v>
      </c>
      <c r="B5537" t="s">
        <v>1377</v>
      </c>
      <c r="C5537" s="10">
        <v>6</v>
      </c>
      <c r="D5537" s="10">
        <v>0.7</v>
      </c>
      <c r="E5537" s="10">
        <v>40</v>
      </c>
    </row>
    <row r="5538" spans="1:5">
      <c r="A5538" t="s">
        <v>7620</v>
      </c>
      <c r="B5538" t="s">
        <v>7621</v>
      </c>
      <c r="C5538" s="10">
        <v>6</v>
      </c>
      <c r="D5538" s="10">
        <v>0.7</v>
      </c>
      <c r="E5538" s="10">
        <v>45</v>
      </c>
    </row>
    <row r="5539" spans="1:5">
      <c r="A5539" t="s">
        <v>7622</v>
      </c>
      <c r="B5539" t="s">
        <v>7623</v>
      </c>
      <c r="C5539" s="10">
        <v>6</v>
      </c>
      <c r="D5539" s="10">
        <v>0.7</v>
      </c>
      <c r="E5539" s="10">
        <v>50</v>
      </c>
    </row>
    <row r="5540" spans="1:5">
      <c r="A5540" t="s">
        <v>7624</v>
      </c>
      <c r="B5540" t="s">
        <v>5659</v>
      </c>
      <c r="C5540" s="10">
        <v>6</v>
      </c>
      <c r="D5540" s="10">
        <v>0.7</v>
      </c>
      <c r="E5540" s="10">
        <v>41.3</v>
      </c>
    </row>
    <row r="5541" spans="1:5">
      <c r="A5541" t="s">
        <v>7625</v>
      </c>
      <c r="B5541" t="s">
        <v>5660</v>
      </c>
      <c r="C5541" s="10">
        <v>6</v>
      </c>
      <c r="D5541" s="10">
        <v>0.7</v>
      </c>
      <c r="E5541" s="10">
        <v>41.3</v>
      </c>
    </row>
    <row r="5542" spans="1:5">
      <c r="A5542" t="s">
        <v>7786</v>
      </c>
      <c r="B5542" t="s">
        <v>1384</v>
      </c>
      <c r="C5542" s="10">
        <v>12</v>
      </c>
      <c r="D5542" s="10">
        <v>0.7</v>
      </c>
      <c r="E5542" s="10">
        <v>40</v>
      </c>
    </row>
    <row r="5543" spans="1:5">
      <c r="A5543" t="s">
        <v>7935</v>
      </c>
      <c r="B5543" t="s">
        <v>6551</v>
      </c>
      <c r="C5543" s="10">
        <v>24</v>
      </c>
      <c r="D5543" s="10">
        <v>275</v>
      </c>
      <c r="E5543" s="10">
        <v>3.4</v>
      </c>
    </row>
    <row r="5544" spans="1:5">
      <c r="A5544" t="s">
        <v>7285</v>
      </c>
      <c r="B5544" t="s">
        <v>2418</v>
      </c>
      <c r="C5544" s="10">
        <v>6</v>
      </c>
      <c r="D5544" s="10">
        <v>1</v>
      </c>
      <c r="E5544" s="10">
        <v>45.2</v>
      </c>
    </row>
    <row r="5545" spans="1:5">
      <c r="A5545" t="s">
        <v>7286</v>
      </c>
      <c r="B5545" t="s">
        <v>7287</v>
      </c>
      <c r="C5545" s="10">
        <v>6</v>
      </c>
      <c r="D5545" s="10">
        <v>1</v>
      </c>
      <c r="E5545" s="10">
        <v>45.2</v>
      </c>
    </row>
    <row r="5546" spans="1:5">
      <c r="A5546" t="s">
        <v>7288</v>
      </c>
      <c r="B5546" t="s">
        <v>7289</v>
      </c>
      <c r="C5546" s="10">
        <v>6</v>
      </c>
      <c r="D5546" s="10">
        <v>1</v>
      </c>
      <c r="E5546" s="10">
        <v>54.5</v>
      </c>
    </row>
    <row r="5547" spans="1:5">
      <c r="A5547" t="s">
        <v>7156</v>
      </c>
      <c r="B5547" t="s">
        <v>7157</v>
      </c>
      <c r="C5547" s="10">
        <v>6</v>
      </c>
      <c r="D5547" s="10">
        <v>0.7</v>
      </c>
      <c r="E5547" s="10">
        <v>40</v>
      </c>
    </row>
    <row r="5548" spans="1:5">
      <c r="A5548" t="s">
        <v>7158</v>
      </c>
      <c r="B5548" t="s">
        <v>1622</v>
      </c>
      <c r="C5548" s="10">
        <v>6</v>
      </c>
      <c r="D5548" s="10">
        <v>0.7</v>
      </c>
      <c r="E5548" s="10">
        <v>40</v>
      </c>
    </row>
    <row r="5549" spans="1:5">
      <c r="A5549" t="s">
        <v>7194</v>
      </c>
      <c r="B5549" t="s">
        <v>7195</v>
      </c>
      <c r="C5549" s="10">
        <v>6</v>
      </c>
      <c r="D5549" s="10">
        <v>1</v>
      </c>
      <c r="E5549" s="10">
        <v>40</v>
      </c>
    </row>
    <row r="5550" spans="1:5">
      <c r="A5550" t="s">
        <v>7827</v>
      </c>
      <c r="B5550" t="s">
        <v>7828</v>
      </c>
      <c r="C5550" s="10">
        <v>3</v>
      </c>
      <c r="D5550" s="10">
        <v>0.7</v>
      </c>
      <c r="E5550" s="10">
        <v>40</v>
      </c>
    </row>
    <row r="5551" spans="1:5">
      <c r="A5551" t="s">
        <v>7161</v>
      </c>
      <c r="B5551" t="s">
        <v>7162</v>
      </c>
      <c r="C5551" s="10">
        <v>6</v>
      </c>
      <c r="D5551" s="10">
        <v>0.7</v>
      </c>
      <c r="E5551" s="10">
        <v>40</v>
      </c>
    </row>
    <row r="5552" spans="1:5">
      <c r="A5552" t="s">
        <v>10588</v>
      </c>
      <c r="B5552" t="s">
        <v>9357</v>
      </c>
      <c r="C5552" s="10">
        <v>6</v>
      </c>
      <c r="D5552" s="10">
        <v>0.7</v>
      </c>
      <c r="E5552" s="10">
        <v>46</v>
      </c>
    </row>
    <row r="5553" spans="1:5">
      <c r="A5553" t="s">
        <v>10589</v>
      </c>
      <c r="B5553" t="s">
        <v>9358</v>
      </c>
      <c r="C5553" s="10">
        <v>6</v>
      </c>
      <c r="D5553" s="10">
        <v>0.7</v>
      </c>
      <c r="E5553" s="10">
        <v>48.7</v>
      </c>
    </row>
    <row r="5554" spans="1:5">
      <c r="A5554" t="s">
        <v>10590</v>
      </c>
      <c r="B5554" t="s">
        <v>9359</v>
      </c>
      <c r="C5554" s="10">
        <v>6</v>
      </c>
      <c r="D5554" s="10">
        <v>0.75</v>
      </c>
      <c r="E5554" s="10">
        <v>12</v>
      </c>
    </row>
    <row r="5555" spans="1:5">
      <c r="A5555" t="s">
        <v>10591</v>
      </c>
      <c r="B5555" t="s">
        <v>9288</v>
      </c>
      <c r="C5555" s="10">
        <v>6</v>
      </c>
      <c r="D5555" s="10">
        <v>0.75</v>
      </c>
      <c r="E5555" s="10">
        <v>12</v>
      </c>
    </row>
    <row r="5556" spans="1:5">
      <c r="A5556" t="s">
        <v>10592</v>
      </c>
      <c r="B5556" t="s">
        <v>9360</v>
      </c>
      <c r="C5556" s="10">
        <v>6</v>
      </c>
      <c r="D5556" s="10">
        <v>0.7</v>
      </c>
      <c r="E5556" s="10">
        <v>40</v>
      </c>
    </row>
    <row r="5557" spans="1:5">
      <c r="A5557" t="s">
        <v>10593</v>
      </c>
      <c r="B5557" t="s">
        <v>9361</v>
      </c>
      <c r="C5557" s="10">
        <v>6</v>
      </c>
      <c r="D5557" s="10">
        <v>0.7</v>
      </c>
      <c r="E5557" s="10">
        <v>28</v>
      </c>
    </row>
    <row r="5558" spans="1:5">
      <c r="A5558" t="s">
        <v>10594</v>
      </c>
      <c r="B5558" t="s">
        <v>9362</v>
      </c>
      <c r="C5558" s="10">
        <v>6</v>
      </c>
      <c r="D5558" s="10">
        <v>1</v>
      </c>
      <c r="E5558" s="10">
        <v>50</v>
      </c>
    </row>
    <row r="5559" spans="1:5">
      <c r="A5559" t="s">
        <v>10595</v>
      </c>
      <c r="B5559" t="s">
        <v>3129</v>
      </c>
      <c r="C5559" s="10">
        <v>3</v>
      </c>
      <c r="D5559" s="10">
        <v>1.5</v>
      </c>
      <c r="E5559" s="10">
        <v>12.5</v>
      </c>
    </row>
    <row r="5560" spans="1:5">
      <c r="A5560" t="s">
        <v>10596</v>
      </c>
      <c r="B5560" t="s">
        <v>5385</v>
      </c>
      <c r="C5560" s="10">
        <v>6</v>
      </c>
      <c r="D5560" s="10">
        <v>0.35</v>
      </c>
      <c r="E5560" s="10">
        <v>43</v>
      </c>
    </row>
    <row r="5561" spans="1:5">
      <c r="A5561" t="s">
        <v>10597</v>
      </c>
      <c r="B5561" t="s">
        <v>9363</v>
      </c>
      <c r="C5561" s="10">
        <v>6</v>
      </c>
      <c r="D5561" s="10">
        <v>0.7</v>
      </c>
      <c r="E5561" s="10">
        <v>50</v>
      </c>
    </row>
    <row r="5562" spans="1:5">
      <c r="A5562" t="s">
        <v>10598</v>
      </c>
      <c r="B5562" t="s">
        <v>9364</v>
      </c>
      <c r="C5562" s="10">
        <v>6</v>
      </c>
      <c r="D5562" s="10">
        <v>0.7</v>
      </c>
      <c r="E5562" s="10">
        <v>15</v>
      </c>
    </row>
    <row r="5563" spans="1:5">
      <c r="A5563" t="s">
        <v>10599</v>
      </c>
      <c r="B5563" t="s">
        <v>6157</v>
      </c>
      <c r="C5563" s="10">
        <v>6</v>
      </c>
      <c r="D5563" s="10">
        <v>0.75</v>
      </c>
      <c r="E5563" s="10">
        <v>12.5</v>
      </c>
    </row>
    <row r="5564" spans="1:5">
      <c r="A5564" t="s">
        <v>10600</v>
      </c>
      <c r="B5564" t="s">
        <v>9365</v>
      </c>
      <c r="C5564" s="10">
        <v>12</v>
      </c>
      <c r="D5564" s="10">
        <v>1</v>
      </c>
      <c r="E5564" s="10">
        <v>0</v>
      </c>
    </row>
    <row r="5565" spans="1:5">
      <c r="A5565" t="s">
        <v>10601</v>
      </c>
      <c r="B5565" t="s">
        <v>9366</v>
      </c>
      <c r="C5565" s="10">
        <v>96</v>
      </c>
      <c r="D5565" s="10">
        <v>0.05</v>
      </c>
      <c r="E5565" s="10">
        <v>40</v>
      </c>
    </row>
    <row r="5566" spans="1:5">
      <c r="A5566" t="s">
        <v>10602</v>
      </c>
      <c r="B5566" t="s">
        <v>9367</v>
      </c>
      <c r="C5566" s="10">
        <v>6</v>
      </c>
      <c r="D5566" s="10">
        <v>0.7</v>
      </c>
      <c r="E5566" s="10">
        <v>40</v>
      </c>
    </row>
    <row r="5567" spans="1:5">
      <c r="A5567" t="s">
        <v>10603</v>
      </c>
      <c r="B5567" t="s">
        <v>9368</v>
      </c>
      <c r="C5567" s="10">
        <v>6</v>
      </c>
      <c r="D5567" s="10">
        <v>0.7</v>
      </c>
      <c r="E5567" s="10">
        <v>40</v>
      </c>
    </row>
    <row r="5568" spans="1:5">
      <c r="A5568" t="s">
        <v>10604</v>
      </c>
      <c r="B5568" t="s">
        <v>8706</v>
      </c>
      <c r="C5568" s="10">
        <v>3</v>
      </c>
      <c r="D5568" s="10">
        <v>0.7</v>
      </c>
      <c r="E5568" s="10">
        <v>40</v>
      </c>
    </row>
    <row r="5569" spans="1:5">
      <c r="A5569" t="s">
        <v>10605</v>
      </c>
      <c r="B5569" t="s">
        <v>5721</v>
      </c>
      <c r="C5569" s="10">
        <v>12</v>
      </c>
      <c r="D5569" s="10">
        <v>0.7</v>
      </c>
      <c r="E5569" s="10">
        <v>40</v>
      </c>
    </row>
    <row r="5570" spans="1:5">
      <c r="A5570" t="s">
        <v>10606</v>
      </c>
      <c r="B5570" t="s">
        <v>9369</v>
      </c>
      <c r="C5570" s="10">
        <v>6</v>
      </c>
      <c r="D5570" s="10">
        <v>0.7</v>
      </c>
      <c r="E5570" s="10">
        <v>45</v>
      </c>
    </row>
    <row r="5571" spans="1:5">
      <c r="A5571" t="s">
        <v>10607</v>
      </c>
      <c r="B5571" t="s">
        <v>8866</v>
      </c>
      <c r="C5571" s="10">
        <v>1</v>
      </c>
      <c r="D5571" s="10">
        <v>1.5</v>
      </c>
      <c r="E5571" s="10">
        <v>12.5</v>
      </c>
    </row>
    <row r="5572" spans="1:5">
      <c r="A5572" t="s">
        <v>10608</v>
      </c>
      <c r="B5572" t="s">
        <v>9370</v>
      </c>
      <c r="C5572" s="10">
        <v>6</v>
      </c>
      <c r="D5572" s="10">
        <v>0.7</v>
      </c>
      <c r="E5572" s="10">
        <v>40</v>
      </c>
    </row>
    <row r="5573" spans="1:5">
      <c r="A5573" t="s">
        <v>10609</v>
      </c>
      <c r="B5573" t="s">
        <v>9371</v>
      </c>
      <c r="C5573" s="10">
        <v>6</v>
      </c>
      <c r="D5573" s="10">
        <v>0.7</v>
      </c>
      <c r="E5573" s="10">
        <v>40</v>
      </c>
    </row>
    <row r="5574" spans="1:5">
      <c r="A5574" t="s">
        <v>10610</v>
      </c>
      <c r="B5574" t="s">
        <v>9372</v>
      </c>
      <c r="C5574" s="10">
        <v>6</v>
      </c>
      <c r="D5574" s="10">
        <v>0.7</v>
      </c>
      <c r="E5574" s="10">
        <v>40</v>
      </c>
    </row>
    <row r="5575" spans="1:5">
      <c r="A5575" t="s">
        <v>10611</v>
      </c>
      <c r="B5575" t="s">
        <v>9373</v>
      </c>
      <c r="C5575" s="10">
        <v>6</v>
      </c>
      <c r="D5575" s="10">
        <v>0.7</v>
      </c>
      <c r="E5575" s="10">
        <v>40</v>
      </c>
    </row>
    <row r="5576" spans="1:5">
      <c r="A5576" t="s">
        <v>10612</v>
      </c>
      <c r="B5576" t="s">
        <v>9374</v>
      </c>
      <c r="C5576" s="10">
        <v>6</v>
      </c>
      <c r="D5576" s="10">
        <v>0.7</v>
      </c>
      <c r="E5576" s="10">
        <v>40</v>
      </c>
    </row>
    <row r="5577" spans="1:5">
      <c r="A5577" t="s">
        <v>10613</v>
      </c>
      <c r="B5577" t="s">
        <v>9375</v>
      </c>
      <c r="C5577" s="10">
        <v>6</v>
      </c>
      <c r="D5577" s="10">
        <v>0.7</v>
      </c>
      <c r="E5577" s="10">
        <v>40</v>
      </c>
    </row>
    <row r="5578" spans="1:5">
      <c r="A5578" t="s">
        <v>10614</v>
      </c>
      <c r="B5578" t="s">
        <v>8902</v>
      </c>
      <c r="C5578" s="10">
        <v>6</v>
      </c>
      <c r="D5578" s="10">
        <v>0.7</v>
      </c>
      <c r="E5578" s="10">
        <v>40</v>
      </c>
    </row>
    <row r="5579" spans="1:5">
      <c r="A5579" t="s">
        <v>10615</v>
      </c>
      <c r="B5579" t="s">
        <v>9376</v>
      </c>
      <c r="C5579" s="10">
        <v>3</v>
      </c>
      <c r="D5579" s="10">
        <v>0.7</v>
      </c>
      <c r="E5579" s="10">
        <v>40</v>
      </c>
    </row>
    <row r="5580" spans="1:5">
      <c r="A5580" t="s">
        <v>10616</v>
      </c>
      <c r="B5580" t="s">
        <v>3205</v>
      </c>
      <c r="C5580" s="10">
        <v>3</v>
      </c>
      <c r="D5580" s="10">
        <v>1.5</v>
      </c>
      <c r="E5580" s="10">
        <v>12.5</v>
      </c>
    </row>
    <row r="5581" spans="1:5">
      <c r="A5581" t="s">
        <v>10617</v>
      </c>
      <c r="B5581" t="s">
        <v>9377</v>
      </c>
      <c r="C5581" s="10">
        <v>6</v>
      </c>
      <c r="D5581" s="10">
        <v>0.75</v>
      </c>
      <c r="E5581" s="10">
        <v>14</v>
      </c>
    </row>
    <row r="5582" spans="1:5">
      <c r="A5582" t="s">
        <v>10618</v>
      </c>
      <c r="B5582" t="s">
        <v>9378</v>
      </c>
      <c r="C5582" s="10">
        <v>6</v>
      </c>
      <c r="D5582" s="10">
        <v>0.75</v>
      </c>
      <c r="E5582" s="10">
        <v>15</v>
      </c>
    </row>
    <row r="5583" spans="1:5">
      <c r="A5583" t="s">
        <v>10619</v>
      </c>
      <c r="B5583" t="s">
        <v>9379</v>
      </c>
      <c r="C5583" s="10">
        <v>6</v>
      </c>
      <c r="D5583" s="10">
        <v>0.7</v>
      </c>
      <c r="E5583" s="10">
        <v>33</v>
      </c>
    </row>
    <row r="5584" spans="1:5">
      <c r="A5584" t="s">
        <v>10620</v>
      </c>
      <c r="B5584" t="s">
        <v>9380</v>
      </c>
      <c r="C5584" s="10">
        <v>6</v>
      </c>
      <c r="D5584" s="10">
        <v>0.7</v>
      </c>
      <c r="E5584" s="10">
        <v>40</v>
      </c>
    </row>
    <row r="5585" spans="1:5">
      <c r="A5585" t="s">
        <v>10621</v>
      </c>
      <c r="B5585" t="s">
        <v>9138</v>
      </c>
      <c r="C5585" s="10">
        <v>8</v>
      </c>
      <c r="D5585" s="10">
        <v>0.2</v>
      </c>
      <c r="E5585" s="10">
        <v>43.25</v>
      </c>
    </row>
    <row r="5586" spans="1:5">
      <c r="A5586" t="s">
        <v>10622</v>
      </c>
      <c r="B5586" t="s">
        <v>9381</v>
      </c>
      <c r="C5586" s="10">
        <v>1</v>
      </c>
      <c r="D5586" s="10">
        <v>0.7</v>
      </c>
      <c r="E5586" s="10">
        <v>43</v>
      </c>
    </row>
    <row r="5587" spans="1:5">
      <c r="A5587" t="s">
        <v>10623</v>
      </c>
      <c r="B5587" t="s">
        <v>9382</v>
      </c>
      <c r="C5587" s="10">
        <v>6</v>
      </c>
      <c r="D5587" s="10">
        <v>0.7</v>
      </c>
      <c r="E5587" s="10">
        <v>43</v>
      </c>
    </row>
    <row r="5588" spans="1:5">
      <c r="A5588" t="s">
        <v>10624</v>
      </c>
      <c r="B5588" t="s">
        <v>9383</v>
      </c>
      <c r="C5588" s="10">
        <v>6</v>
      </c>
      <c r="D5588" s="10">
        <v>0.7</v>
      </c>
      <c r="E5588" s="10">
        <v>43.7</v>
      </c>
    </row>
    <row r="5589" spans="1:5">
      <c r="A5589" t="s">
        <v>10625</v>
      </c>
      <c r="B5589" t="s">
        <v>9384</v>
      </c>
      <c r="C5589" s="10">
        <v>6</v>
      </c>
      <c r="D5589" s="10">
        <v>0.7</v>
      </c>
      <c r="E5589" s="10">
        <v>43</v>
      </c>
    </row>
    <row r="5590" spans="1:5">
      <c r="C5590"/>
      <c r="D5590"/>
      <c r="E5590"/>
    </row>
    <row r="5591" spans="1:5">
      <c r="C5591"/>
      <c r="D5591"/>
      <c r="E5591"/>
    </row>
    <row r="5592" spans="1:5">
      <c r="C5592"/>
      <c r="D5592"/>
      <c r="E5592"/>
    </row>
    <row r="5593" spans="1:5">
      <c r="C5593"/>
      <c r="D5593"/>
      <c r="E5593"/>
    </row>
    <row r="5594" spans="1:5">
      <c r="C5594"/>
      <c r="D5594"/>
      <c r="E5594"/>
    </row>
    <row r="5595" spans="1:5">
      <c r="C5595"/>
      <c r="D5595"/>
      <c r="E5595"/>
    </row>
    <row r="5596" spans="1:5">
      <c r="C5596"/>
      <c r="D5596"/>
      <c r="E5596"/>
    </row>
    <row r="5597" spans="1:5">
      <c r="C5597"/>
      <c r="D5597"/>
      <c r="E5597"/>
    </row>
    <row r="5598" spans="1:5">
      <c r="C5598"/>
      <c r="D5598"/>
      <c r="E5598"/>
    </row>
    <row r="5599" spans="1:5">
      <c r="C5599"/>
      <c r="D5599"/>
      <c r="E5599"/>
    </row>
    <row r="5600" spans="1:5">
      <c r="C5600"/>
      <c r="D5600"/>
      <c r="E5600"/>
    </row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5"/>
  <dimension ref="A1:D182"/>
  <sheetViews>
    <sheetView workbookViewId="0">
      <selection activeCell="A29" sqref="A29"/>
    </sheetView>
  </sheetViews>
  <sheetFormatPr defaultRowHeight="15"/>
  <cols>
    <col min="1" max="1" width="45.28515625" style="6" customWidth="1"/>
    <col min="2" max="3" width="9.42578125" customWidth="1"/>
    <col min="4" max="4" width="46.42578125" customWidth="1"/>
    <col min="5" max="5" width="9.42578125" customWidth="1"/>
  </cols>
  <sheetData>
    <row r="1" spans="1:4">
      <c r="A1" s="6" t="s">
        <v>8165</v>
      </c>
    </row>
    <row r="2" spans="1:4">
      <c r="A2" s="6" t="s">
        <v>8166</v>
      </c>
    </row>
    <row r="3" spans="1:4">
      <c r="A3" s="6" t="s">
        <v>8167</v>
      </c>
    </row>
    <row r="5" spans="1:4">
      <c r="A5" s="6" t="s">
        <v>8168</v>
      </c>
    </row>
    <row r="6" spans="1:4">
      <c r="A6" s="6" t="s">
        <v>8169</v>
      </c>
    </row>
    <row r="7" spans="1:4">
      <c r="A7" s="6" t="s">
        <v>8170</v>
      </c>
    </row>
    <row r="9" spans="1:4">
      <c r="A9" s="6" t="s">
        <v>8171</v>
      </c>
    </row>
    <row r="10" spans="1:4">
      <c r="A10" s="6" t="s">
        <v>8172</v>
      </c>
    </row>
    <row r="11" spans="1:4">
      <c r="A11" s="6" t="s">
        <v>8173</v>
      </c>
    </row>
    <row r="14" spans="1:4">
      <c r="A14" s="6" t="s">
        <v>8174</v>
      </c>
    </row>
    <row r="15" spans="1:4">
      <c r="A15" s="6" t="s">
        <v>8175</v>
      </c>
    </row>
    <row r="16" spans="1:4">
      <c r="A16" s="6" t="s">
        <v>8176</v>
      </c>
      <c r="D16" s="25"/>
    </row>
    <row r="17" spans="1:4">
      <c r="D17" s="25"/>
    </row>
    <row r="18" spans="1:4">
      <c r="A18" s="6" t="s">
        <v>8177</v>
      </c>
      <c r="D18" s="25"/>
    </row>
    <row r="19" spans="1:4">
      <c r="A19" s="6" t="s">
        <v>8178</v>
      </c>
      <c r="D19" s="25"/>
    </row>
    <row r="20" spans="1:4">
      <c r="A20" s="6" t="s">
        <v>8179</v>
      </c>
      <c r="D20" s="25"/>
    </row>
    <row r="21" spans="1:4">
      <c r="A21" s="6" t="s">
        <v>8180</v>
      </c>
    </row>
    <row r="23" spans="1:4">
      <c r="A23" s="6" t="s">
        <v>8181</v>
      </c>
    </row>
    <row r="24" spans="1:4">
      <c r="A24" s="6" t="s">
        <v>8182</v>
      </c>
    </row>
    <row r="25" spans="1:4">
      <c r="A25" s="6" t="s">
        <v>8183</v>
      </c>
    </row>
    <row r="27" spans="1:4">
      <c r="A27" s="6" t="s">
        <v>8184</v>
      </c>
    </row>
    <row r="28" spans="1:4">
      <c r="A28" s="6" t="s">
        <v>8185</v>
      </c>
    </row>
    <row r="29" spans="1:4">
      <c r="A29" s="6" t="s">
        <v>8186</v>
      </c>
    </row>
    <row r="31" spans="1:4">
      <c r="A31" s="6" t="s">
        <v>25</v>
      </c>
    </row>
    <row r="32" spans="1:4">
      <c r="A32" s="6" t="s">
        <v>26</v>
      </c>
    </row>
    <row r="33" spans="1:1">
      <c r="A33" s="6" t="s">
        <v>27</v>
      </c>
    </row>
    <row r="35" spans="1:1">
      <c r="A35" s="6" t="s">
        <v>8187</v>
      </c>
    </row>
    <row r="36" spans="1:1">
      <c r="A36" s="6" t="s">
        <v>8188</v>
      </c>
    </row>
    <row r="37" spans="1:1">
      <c r="A37" s="6" t="s">
        <v>8189</v>
      </c>
    </row>
    <row r="39" spans="1:1">
      <c r="A39" s="6" t="s">
        <v>8190</v>
      </c>
    </row>
    <row r="40" spans="1:1">
      <c r="A40" s="6" t="s">
        <v>8191</v>
      </c>
    </row>
    <row r="41" spans="1:1">
      <c r="A41" s="6" t="s">
        <v>8192</v>
      </c>
    </row>
    <row r="42" spans="1:1">
      <c r="A42" s="6" t="s">
        <v>8193</v>
      </c>
    </row>
    <row r="44" spans="1:1">
      <c r="A44" s="6" t="s">
        <v>8194</v>
      </c>
    </row>
    <row r="45" spans="1:1">
      <c r="A45" s="6" t="s">
        <v>8195</v>
      </c>
    </row>
    <row r="46" spans="1:1">
      <c r="A46" s="6" t="s">
        <v>8196</v>
      </c>
    </row>
    <row r="48" spans="1:1">
      <c r="A48" s="6" t="s">
        <v>8197</v>
      </c>
    </row>
    <row r="49" spans="1:1">
      <c r="A49" s="6" t="s">
        <v>8198</v>
      </c>
    </row>
    <row r="50" spans="1:1">
      <c r="A50" s="6" t="s">
        <v>8199</v>
      </c>
    </row>
    <row r="51" spans="1:1" ht="14.1" customHeight="1"/>
    <row r="53" spans="1:1">
      <c r="A53" s="6" t="s">
        <v>8200</v>
      </c>
    </row>
    <row r="54" spans="1:1">
      <c r="A54" s="6" t="s">
        <v>8201</v>
      </c>
    </row>
    <row r="55" spans="1:1">
      <c r="A55" s="6" t="s">
        <v>8202</v>
      </c>
    </row>
    <row r="57" spans="1:1">
      <c r="A57" s="6" t="s">
        <v>8203</v>
      </c>
    </row>
    <row r="58" spans="1:1">
      <c r="A58" s="6" t="s">
        <v>8204</v>
      </c>
    </row>
    <row r="60" spans="1:1">
      <c r="A60" s="6" t="s">
        <v>8205</v>
      </c>
    </row>
    <row r="61" spans="1:1">
      <c r="A61" s="6" t="s">
        <v>8206</v>
      </c>
    </row>
    <row r="63" spans="1:1">
      <c r="A63" s="6" t="s">
        <v>8207</v>
      </c>
    </row>
    <row r="64" spans="1:1">
      <c r="A64" s="6" t="s">
        <v>8208</v>
      </c>
    </row>
    <row r="66" spans="1:1">
      <c r="A66" s="6" t="s">
        <v>8209</v>
      </c>
    </row>
    <row r="67" spans="1:1">
      <c r="A67" s="6" t="s">
        <v>8210</v>
      </c>
    </row>
    <row r="68" spans="1:1">
      <c r="A68" s="6" t="s">
        <v>8211</v>
      </c>
    </row>
    <row r="70" spans="1:1">
      <c r="A70" s="6" t="s">
        <v>8212</v>
      </c>
    </row>
    <row r="71" spans="1:1">
      <c r="A71" s="6" t="s">
        <v>8213</v>
      </c>
    </row>
    <row r="72" spans="1:1">
      <c r="A72" s="6" t="s">
        <v>8214</v>
      </c>
    </row>
    <row r="74" spans="1:1">
      <c r="A74" s="6" t="s">
        <v>8215</v>
      </c>
    </row>
    <row r="75" spans="1:1">
      <c r="A75" s="6" t="s">
        <v>8216</v>
      </c>
    </row>
    <row r="76" spans="1:1">
      <c r="A76" s="6" t="s">
        <v>8217</v>
      </c>
    </row>
    <row r="78" spans="1:1">
      <c r="A78" s="6" t="s">
        <v>8218</v>
      </c>
    </row>
    <row r="79" spans="1:1">
      <c r="A79" s="6" t="s">
        <v>8219</v>
      </c>
    </row>
    <row r="81" spans="1:1">
      <c r="A81" s="6" t="s">
        <v>8220</v>
      </c>
    </row>
    <row r="82" spans="1:1">
      <c r="A82" s="6" t="s">
        <v>8221</v>
      </c>
    </row>
    <row r="83" spans="1:1">
      <c r="A83" s="6" t="s">
        <v>8222</v>
      </c>
    </row>
    <row r="85" spans="1:1">
      <c r="A85" s="6" t="s">
        <v>8223</v>
      </c>
    </row>
    <row r="86" spans="1:1">
      <c r="A86" s="6" t="s">
        <v>8224</v>
      </c>
    </row>
    <row r="87" spans="1:1">
      <c r="A87" s="6" t="s">
        <v>8196</v>
      </c>
    </row>
    <row r="89" spans="1:1">
      <c r="A89" s="6" t="s">
        <v>8225</v>
      </c>
    </row>
    <row r="90" spans="1:1">
      <c r="A90" s="6" t="s">
        <v>8226</v>
      </c>
    </row>
    <row r="91" spans="1:1">
      <c r="A91" s="6" t="s">
        <v>8227</v>
      </c>
    </row>
    <row r="93" spans="1:1">
      <c r="A93" s="6" t="s">
        <v>8228</v>
      </c>
    </row>
    <row r="94" spans="1:1">
      <c r="A94" s="6" t="s">
        <v>8229</v>
      </c>
    </row>
    <row r="95" spans="1:1">
      <c r="A95" s="6" t="s">
        <v>8230</v>
      </c>
    </row>
    <row r="97" spans="1:1">
      <c r="A97" s="6" t="s">
        <v>8231</v>
      </c>
    </row>
    <row r="98" spans="1:1">
      <c r="A98" s="6" t="s">
        <v>8232</v>
      </c>
    </row>
    <row r="99" spans="1:1">
      <c r="A99" s="6" t="s">
        <v>8233</v>
      </c>
    </row>
    <row r="100" spans="1:1">
      <c r="A100" s="6" t="s">
        <v>8234</v>
      </c>
    </row>
    <row r="102" spans="1:1">
      <c r="A102" s="6" t="s">
        <v>8235</v>
      </c>
    </row>
    <row r="103" spans="1:1">
      <c r="A103" s="6" t="s">
        <v>8236</v>
      </c>
    </row>
    <row r="104" spans="1:1">
      <c r="A104" s="26" t="s">
        <v>8193</v>
      </c>
    </row>
    <row r="106" spans="1:1">
      <c r="A106" s="6" t="s">
        <v>8237</v>
      </c>
    </row>
    <row r="107" spans="1:1">
      <c r="A107" s="6" t="s">
        <v>8238</v>
      </c>
    </row>
    <row r="108" spans="1:1">
      <c r="A108" s="6" t="s">
        <v>8239</v>
      </c>
    </row>
    <row r="110" spans="1:1">
      <c r="A110" s="6" t="s">
        <v>8240</v>
      </c>
    </row>
    <row r="111" spans="1:1">
      <c r="A111" s="6" t="s">
        <v>8241</v>
      </c>
    </row>
    <row r="112" spans="1:1">
      <c r="A112" s="6" t="s">
        <v>8242</v>
      </c>
    </row>
    <row r="114" spans="1:1">
      <c r="A114" s="6" t="s">
        <v>8243</v>
      </c>
    </row>
    <row r="115" spans="1:1">
      <c r="A115" s="6" t="s">
        <v>8244</v>
      </c>
    </row>
    <row r="116" spans="1:1">
      <c r="A116" s="6" t="s">
        <v>8245</v>
      </c>
    </row>
    <row r="118" spans="1:1">
      <c r="A118" s="6" t="s">
        <v>8246</v>
      </c>
    </row>
    <row r="119" spans="1:1">
      <c r="A119" s="6" t="s">
        <v>8247</v>
      </c>
    </row>
    <row r="120" spans="1:1">
      <c r="A120" s="6" t="s">
        <v>8248</v>
      </c>
    </row>
    <row r="122" spans="1:1">
      <c r="A122" s="6" t="s">
        <v>8249</v>
      </c>
    </row>
    <row r="123" spans="1:1">
      <c r="A123" s="6" t="s">
        <v>8250</v>
      </c>
    </row>
    <row r="124" spans="1:1">
      <c r="A124" s="6" t="s">
        <v>8251</v>
      </c>
    </row>
    <row r="126" spans="1:1">
      <c r="A126" s="6" t="s">
        <v>8252</v>
      </c>
    </row>
    <row r="127" spans="1:1">
      <c r="A127" s="6" t="s">
        <v>8253</v>
      </c>
    </row>
    <row r="128" spans="1:1">
      <c r="A128" s="6" t="s">
        <v>8254</v>
      </c>
    </row>
    <row r="130" spans="1:1">
      <c r="A130" s="6" t="s">
        <v>8255</v>
      </c>
    </row>
    <row r="131" spans="1:1">
      <c r="A131" s="6" t="s">
        <v>8256</v>
      </c>
    </row>
    <row r="133" spans="1:1">
      <c r="A133" s="6" t="s">
        <v>8257</v>
      </c>
    </row>
    <row r="134" spans="1:1">
      <c r="A134" s="6" t="s">
        <v>8258</v>
      </c>
    </row>
    <row r="135" spans="1:1">
      <c r="A135" s="6" t="s">
        <v>8259</v>
      </c>
    </row>
    <row r="137" spans="1:1">
      <c r="A137" s="6" t="s">
        <v>8260</v>
      </c>
    </row>
    <row r="138" spans="1:1">
      <c r="A138" s="6" t="s">
        <v>8261</v>
      </c>
    </row>
    <row r="139" spans="1:1">
      <c r="A139" s="6" t="s">
        <v>8262</v>
      </c>
    </row>
    <row r="141" spans="1:1">
      <c r="A141" s="6" t="s">
        <v>8263</v>
      </c>
    </row>
    <row r="142" spans="1:1">
      <c r="A142" s="6" t="s">
        <v>8264</v>
      </c>
    </row>
    <row r="143" spans="1:1">
      <c r="A143" s="6" t="s">
        <v>8265</v>
      </c>
    </row>
    <row r="145" spans="1:1">
      <c r="A145" s="6" t="s">
        <v>8266</v>
      </c>
    </row>
    <row r="146" spans="1:1">
      <c r="A146" s="6" t="s">
        <v>8267</v>
      </c>
    </row>
    <row r="147" spans="1:1">
      <c r="A147" s="6" t="s">
        <v>8268</v>
      </c>
    </row>
    <row r="149" spans="1:1">
      <c r="A149" s="6" t="s">
        <v>8269</v>
      </c>
    </row>
    <row r="150" spans="1:1">
      <c r="A150" s="6" t="s">
        <v>8270</v>
      </c>
    </row>
    <row r="151" spans="1:1">
      <c r="A151" s="6" t="s">
        <v>8271</v>
      </c>
    </row>
    <row r="153" spans="1:1">
      <c r="A153" s="6" t="s">
        <v>8272</v>
      </c>
    </row>
    <row r="154" spans="1:1">
      <c r="A154" s="6" t="s">
        <v>8273</v>
      </c>
    </row>
    <row r="155" spans="1:1">
      <c r="A155" s="6" t="s">
        <v>8274</v>
      </c>
    </row>
    <row r="157" spans="1:1">
      <c r="A157" t="s">
        <v>8275</v>
      </c>
    </row>
    <row r="158" spans="1:1">
      <c r="A158" t="s">
        <v>8276</v>
      </c>
    </row>
    <row r="159" spans="1:1">
      <c r="A159" t="s">
        <v>8277</v>
      </c>
    </row>
    <row r="161" spans="1:1">
      <c r="A161" s="6" t="s">
        <v>8278</v>
      </c>
    </row>
    <row r="162" spans="1:1">
      <c r="A162" s="6" t="s">
        <v>8279</v>
      </c>
    </row>
    <row r="163" spans="1:1">
      <c r="A163" s="6" t="s">
        <v>8280</v>
      </c>
    </row>
    <row r="165" spans="1:1">
      <c r="A165" s="6" t="s">
        <v>8281</v>
      </c>
    </row>
    <row r="166" spans="1:1">
      <c r="A166" s="6" t="s">
        <v>8282</v>
      </c>
    </row>
    <row r="167" spans="1:1">
      <c r="A167" s="6" t="s">
        <v>8283</v>
      </c>
    </row>
    <row r="169" spans="1:1">
      <c r="A169" s="6" t="s">
        <v>8284</v>
      </c>
    </row>
    <row r="170" spans="1:1">
      <c r="A170" s="6" t="s">
        <v>8285</v>
      </c>
    </row>
    <row r="171" spans="1:1">
      <c r="A171" s="6" t="s">
        <v>8286</v>
      </c>
    </row>
    <row r="173" spans="1:1">
      <c r="A173" s="6" t="s">
        <v>8287</v>
      </c>
    </row>
    <row r="174" spans="1:1">
      <c r="A174" s="6" t="s">
        <v>8288</v>
      </c>
    </row>
    <row r="175" spans="1:1">
      <c r="A175" s="6" t="s">
        <v>8289</v>
      </c>
    </row>
    <row r="177" spans="1:1">
      <c r="A177" s="6" t="s">
        <v>8290</v>
      </c>
    </row>
    <row r="178" spans="1:1">
      <c r="A178" s="6" t="s">
        <v>8291</v>
      </c>
    </row>
    <row r="179" spans="1:1">
      <c r="A179" s="6" t="s">
        <v>8292</v>
      </c>
    </row>
    <row r="181" spans="1:1">
      <c r="A181" s="6" t="s">
        <v>8293</v>
      </c>
    </row>
    <row r="182" spans="1:1">
      <c r="A182" s="6" t="s">
        <v>8294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2"/>
  <dimension ref="B2:S42"/>
  <sheetViews>
    <sheetView tabSelected="1" zoomScaleNormal="100" workbookViewId="0">
      <selection activeCell="H9" sqref="H9"/>
    </sheetView>
  </sheetViews>
  <sheetFormatPr defaultRowHeight="15"/>
  <cols>
    <col min="1" max="1" width="1.85546875" customWidth="1"/>
    <col min="2" max="2" width="50.42578125" customWidth="1"/>
    <col min="3" max="4" width="7.28515625" style="27" customWidth="1"/>
    <col min="5" max="6" width="10.7109375" style="33" customWidth="1"/>
    <col min="7" max="7" width="3.140625" customWidth="1"/>
    <col min="8" max="8" width="9.85546875" style="33" customWidth="1"/>
    <col min="9" max="9" width="9.85546875" style="37" customWidth="1"/>
    <col min="10" max="10" width="9.7109375" style="33" customWidth="1"/>
    <col min="11" max="11" width="9.28515625" style="33" customWidth="1"/>
    <col min="12" max="12" width="8.7109375" customWidth="1"/>
    <col min="13" max="13" width="8.7109375" style="33" customWidth="1"/>
    <col min="14" max="14" width="4.85546875" customWidth="1"/>
    <col min="15" max="15" width="5.5703125" customWidth="1"/>
    <col min="16" max="16" width="9.7109375" customWidth="1"/>
    <col min="17" max="17" width="9.140625" customWidth="1"/>
    <col min="18" max="18" width="2.85546875" customWidth="1"/>
    <col min="19" max="19" width="20.5703125" customWidth="1"/>
    <col min="20" max="20" width="4.85546875" customWidth="1"/>
  </cols>
  <sheetData>
    <row r="2" spans="2:19">
      <c r="L2" s="18" t="s">
        <v>0</v>
      </c>
      <c r="M2" s="40"/>
      <c r="N2" s="15"/>
      <c r="O2" s="15"/>
      <c r="P2" s="19"/>
      <c r="S2" s="14" t="s">
        <v>8046</v>
      </c>
    </row>
    <row r="3" spans="2:19" ht="15.75">
      <c r="L3" s="20"/>
      <c r="P3" s="21"/>
    </row>
    <row r="4" spans="2:19" ht="15.75">
      <c r="L4" s="20"/>
      <c r="M4" s="41" t="s">
        <v>1</v>
      </c>
      <c r="P4" s="21"/>
    </row>
    <row r="5" spans="2:19" ht="15.75">
      <c r="L5" s="20"/>
      <c r="M5" s="49" t="s">
        <v>2</v>
      </c>
      <c r="N5" s="49"/>
      <c r="O5" s="49"/>
      <c r="P5" s="21"/>
    </row>
    <row r="6" spans="2:19" ht="15.75">
      <c r="L6" s="20"/>
      <c r="M6" s="49" t="s">
        <v>3</v>
      </c>
      <c r="N6" s="49"/>
      <c r="O6" s="49"/>
      <c r="P6" s="21"/>
    </row>
    <row r="7" spans="2:19" ht="15.75">
      <c r="L7" s="20"/>
      <c r="M7" s="49" t="s">
        <v>4</v>
      </c>
      <c r="N7" s="49"/>
      <c r="O7" s="49"/>
      <c r="P7" s="21"/>
    </row>
    <row r="8" spans="2:19">
      <c r="L8" s="22"/>
      <c r="M8" s="42"/>
      <c r="N8" s="23"/>
      <c r="O8" s="23"/>
      <c r="P8" s="24"/>
    </row>
    <row r="11" spans="2:19">
      <c r="B11" s="16" t="s">
        <v>5</v>
      </c>
      <c r="C11" s="32">
        <v>8</v>
      </c>
      <c r="D11" s="28"/>
      <c r="E11" s="34" t="s">
        <v>6</v>
      </c>
      <c r="F11" s="67">
        <v>45307</v>
      </c>
      <c r="G11" s="17"/>
      <c r="H11" s="51" t="s">
        <v>8296</v>
      </c>
      <c r="I11" s="51"/>
      <c r="J11" s="50" t="s">
        <v>8298</v>
      </c>
      <c r="K11" s="50"/>
    </row>
    <row r="13" spans="2:19">
      <c r="B13" s="52" t="s">
        <v>8295</v>
      </c>
      <c r="C13" s="53" t="s">
        <v>7987</v>
      </c>
      <c r="D13" s="53" t="s">
        <v>7988</v>
      </c>
      <c r="E13" s="54" t="s">
        <v>9</v>
      </c>
      <c r="F13" s="54" t="s">
        <v>10</v>
      </c>
      <c r="G13" s="55" t="s">
        <v>11</v>
      </c>
      <c r="H13" s="54" t="s">
        <v>10627</v>
      </c>
      <c r="I13" s="56" t="s">
        <v>12</v>
      </c>
      <c r="J13" s="54" t="s">
        <v>10628</v>
      </c>
      <c r="K13" s="54" t="s">
        <v>14</v>
      </c>
      <c r="L13" s="55" t="s">
        <v>15</v>
      </c>
      <c r="M13" s="54" t="s">
        <v>16</v>
      </c>
      <c r="N13" s="55" t="s">
        <v>17</v>
      </c>
      <c r="O13" s="55" t="s">
        <v>18</v>
      </c>
      <c r="P13" s="55" t="s">
        <v>7989</v>
      </c>
    </row>
    <row r="14" spans="2:19" s="48" customFormat="1">
      <c r="B14" s="57" t="s">
        <v>31</v>
      </c>
      <c r="C14" s="58">
        <v>760</v>
      </c>
      <c r="D14" s="58">
        <f>C14*VLOOKUP(daa_import!A2,db_birre!$A$2:$I$40,3,FALSE)</f>
        <v>4560</v>
      </c>
      <c r="E14" s="59">
        <v>4598.3</v>
      </c>
      <c r="F14" s="59">
        <v>7052</v>
      </c>
      <c r="G14" s="60">
        <v>0</v>
      </c>
      <c r="H14" s="59">
        <f>D14*M14</f>
        <v>4560</v>
      </c>
      <c r="I14" s="61">
        <f>ROUND(H14*J14/100,3)</f>
        <v>487.92</v>
      </c>
      <c r="J14" s="59">
        <v>10.7</v>
      </c>
      <c r="K14" s="59">
        <f>ROUND(I14*L14,2)</f>
        <v>1458.88</v>
      </c>
      <c r="L14" s="60">
        <v>2.99</v>
      </c>
      <c r="M14" s="59">
        <f>VLOOKUP(daa_import!A2,db_birre!$A$2:$I$40,8,FALSE)</f>
        <v>1</v>
      </c>
      <c r="N14" s="60"/>
      <c r="O14" s="60" t="s">
        <v>10626</v>
      </c>
      <c r="P14" s="60">
        <v>22030001</v>
      </c>
    </row>
    <row r="15" spans="2:19" s="48" customFormat="1">
      <c r="B15" s="57" t="s">
        <v>32</v>
      </c>
      <c r="C15" s="58">
        <v>60</v>
      </c>
      <c r="D15" s="58">
        <f>C15*VLOOKUP(daa_import!A3,db_birre!$A$2:$I$40,3,FALSE)</f>
        <v>60</v>
      </c>
      <c r="E15" s="59">
        <v>1217.4000000000001</v>
      </c>
      <c r="F15" s="59">
        <v>1648.94</v>
      </c>
      <c r="G15" s="60">
        <v>0</v>
      </c>
      <c r="H15" s="59">
        <f>D15*M15</f>
        <v>1200</v>
      </c>
      <c r="I15" s="61">
        <f>ROUND(H15*J15/100,3)</f>
        <v>128.4</v>
      </c>
      <c r="J15" s="59">
        <v>10.7</v>
      </c>
      <c r="K15" s="59">
        <f>ROUND(I15*L15,2)</f>
        <v>383.92</v>
      </c>
      <c r="L15" s="60">
        <v>2.99</v>
      </c>
      <c r="M15" s="59">
        <f>VLOOKUP(daa_import!A3,db_birre!$A$2:$I$40,8,FALSE)</f>
        <v>20</v>
      </c>
      <c r="N15" s="60"/>
      <c r="O15" s="60" t="s">
        <v>10626</v>
      </c>
      <c r="P15" s="60">
        <v>22030010</v>
      </c>
    </row>
    <row r="16" spans="2:19" s="48" customFormat="1">
      <c r="B16" s="57" t="s">
        <v>33</v>
      </c>
      <c r="C16" s="58">
        <v>486</v>
      </c>
      <c r="D16" s="58">
        <f>C16*VLOOKUP(daa_import!A4,db_birre!$A$2:$I$40,3,FALSE)</f>
        <v>11664</v>
      </c>
      <c r="E16" s="59">
        <v>3889.92</v>
      </c>
      <c r="F16" s="59">
        <v>7059.13</v>
      </c>
      <c r="G16" s="60">
        <v>0</v>
      </c>
      <c r="H16" s="59">
        <f>D16*M16</f>
        <v>3849.1200000000003</v>
      </c>
      <c r="I16" s="61">
        <f>ROUND(H16*J16/100,3)</f>
        <v>504.23500000000001</v>
      </c>
      <c r="J16" s="59">
        <v>13.1</v>
      </c>
      <c r="K16" s="59">
        <f>ROUND(I16*L16,2)</f>
        <v>1507.66</v>
      </c>
      <c r="L16" s="60">
        <v>2.99</v>
      </c>
      <c r="M16" s="59">
        <f>VLOOKUP(daa_import!A4,db_birre!$A$2:$I$40,8,FALSE)</f>
        <v>0.33</v>
      </c>
      <c r="N16" s="60"/>
      <c r="O16" s="60" t="s">
        <v>10626</v>
      </c>
      <c r="P16" s="60">
        <v>22030001</v>
      </c>
    </row>
    <row r="17" spans="2:16" s="48" customFormat="1">
      <c r="B17" s="57" t="s">
        <v>34</v>
      </c>
      <c r="C17" s="58">
        <v>72</v>
      </c>
      <c r="D17" s="58">
        <f>C17*VLOOKUP(daa_import!A5,db_birre!$A$2:$I$40,3,FALSE)</f>
        <v>432</v>
      </c>
      <c r="E17" s="59">
        <v>327.43</v>
      </c>
      <c r="F17" s="59">
        <v>620.58000000000004</v>
      </c>
      <c r="G17" s="60">
        <v>0</v>
      </c>
      <c r="H17" s="59">
        <f>D17*M17</f>
        <v>324</v>
      </c>
      <c r="I17" s="61">
        <f>ROUND(H17*J17/100,3)</f>
        <v>37.26</v>
      </c>
      <c r="J17" s="59">
        <v>11.5</v>
      </c>
      <c r="K17" s="59">
        <f>ROUND(I17*L17,2)</f>
        <v>111.41</v>
      </c>
      <c r="L17" s="60">
        <v>2.99</v>
      </c>
      <c r="M17" s="59">
        <f>VLOOKUP(daa_import!A5,db_birre!$A$2:$I$40,8,FALSE)</f>
        <v>0.75</v>
      </c>
      <c r="N17" s="60"/>
      <c r="O17" s="60" t="s">
        <v>10626</v>
      </c>
      <c r="P17" s="60">
        <v>22030001</v>
      </c>
    </row>
    <row r="18" spans="2:16" s="48" customFormat="1">
      <c r="B18" s="57"/>
      <c r="C18" s="58"/>
      <c r="D18" s="58"/>
      <c r="E18" s="59"/>
      <c r="F18" s="59"/>
      <c r="G18" s="60"/>
      <c r="H18" s="59"/>
      <c r="I18" s="61"/>
      <c r="J18" s="59"/>
      <c r="K18" s="59"/>
      <c r="L18" s="60"/>
      <c r="M18" s="59"/>
      <c r="N18" s="60"/>
      <c r="O18" s="60"/>
      <c r="P18" s="60"/>
    </row>
    <row r="19" spans="2:16" s="48" customFormat="1">
      <c r="B19" s="57"/>
      <c r="C19" s="58"/>
      <c r="D19" s="58"/>
      <c r="E19" s="59"/>
      <c r="F19" s="59"/>
      <c r="G19" s="60"/>
      <c r="H19" s="59"/>
      <c r="I19" s="61"/>
      <c r="J19" s="59"/>
      <c r="K19" s="59"/>
      <c r="L19" s="60"/>
      <c r="M19" s="59"/>
      <c r="N19" s="60"/>
      <c r="O19" s="60"/>
      <c r="P19" s="60"/>
    </row>
    <row r="20" spans="2:16" s="48" customFormat="1">
      <c r="B20" s="57"/>
      <c r="C20" s="58"/>
      <c r="D20" s="58"/>
      <c r="E20" s="59"/>
      <c r="F20" s="59"/>
      <c r="G20" s="60"/>
      <c r="H20" s="59"/>
      <c r="I20" s="61"/>
      <c r="J20" s="59"/>
      <c r="K20" s="59"/>
      <c r="L20" s="60"/>
      <c r="M20" s="59"/>
      <c r="N20" s="60"/>
      <c r="O20" s="60"/>
      <c r="P20" s="60"/>
    </row>
    <row r="21" spans="2:16" s="48" customFormat="1">
      <c r="B21" s="57"/>
      <c r="C21" s="58"/>
      <c r="D21" s="58"/>
      <c r="E21" s="59"/>
      <c r="F21" s="59"/>
      <c r="G21" s="60"/>
      <c r="H21" s="59"/>
      <c r="I21" s="61"/>
      <c r="J21" s="59"/>
      <c r="K21" s="59"/>
      <c r="L21" s="60"/>
      <c r="M21" s="59"/>
      <c r="N21" s="60"/>
      <c r="O21" s="60"/>
      <c r="P21" s="60"/>
    </row>
    <row r="22" spans="2:16" s="48" customFormat="1">
      <c r="B22" s="57"/>
      <c r="C22" s="58"/>
      <c r="D22" s="58"/>
      <c r="E22" s="59"/>
      <c r="F22" s="59"/>
      <c r="G22" s="60"/>
      <c r="H22" s="59"/>
      <c r="I22" s="61"/>
      <c r="J22" s="59"/>
      <c r="K22" s="59"/>
      <c r="L22" s="60"/>
      <c r="M22" s="59"/>
      <c r="N22" s="60"/>
      <c r="O22" s="60"/>
      <c r="P22" s="60"/>
    </row>
    <row r="23" spans="2:16" s="48" customFormat="1">
      <c r="B23" s="57"/>
      <c r="C23" s="58"/>
      <c r="D23" s="58"/>
      <c r="E23" s="59"/>
      <c r="F23" s="59"/>
      <c r="G23" s="60"/>
      <c r="H23" s="59"/>
      <c r="I23" s="61"/>
      <c r="J23" s="59"/>
      <c r="K23" s="59"/>
      <c r="L23" s="60"/>
      <c r="M23" s="59"/>
      <c r="N23" s="60"/>
      <c r="O23" s="60"/>
      <c r="P23" s="60"/>
    </row>
    <row r="24" spans="2:16" s="48" customFormat="1">
      <c r="B24" s="57"/>
      <c r="C24" s="58"/>
      <c r="D24" s="58"/>
      <c r="E24" s="59"/>
      <c r="F24" s="59"/>
      <c r="G24" s="60"/>
      <c r="H24" s="59"/>
      <c r="I24" s="61"/>
      <c r="J24" s="59"/>
      <c r="K24" s="59"/>
      <c r="L24" s="60"/>
      <c r="M24" s="59"/>
      <c r="N24" s="60"/>
      <c r="O24" s="60"/>
      <c r="P24" s="60"/>
    </row>
    <row r="25" spans="2:16" s="48" customFormat="1">
      <c r="B25" s="57"/>
      <c r="C25" s="58"/>
      <c r="D25" s="58"/>
      <c r="E25" s="59"/>
      <c r="F25" s="59"/>
      <c r="G25" s="60"/>
      <c r="H25" s="59"/>
      <c r="I25" s="61"/>
      <c r="J25" s="59"/>
      <c r="K25" s="59"/>
      <c r="L25" s="60"/>
      <c r="M25" s="59"/>
      <c r="N25" s="60"/>
      <c r="O25" s="60"/>
      <c r="P25" s="60"/>
    </row>
    <row r="26" spans="2:16" s="48" customFormat="1">
      <c r="B26" s="57"/>
      <c r="C26" s="58"/>
      <c r="D26" s="58"/>
      <c r="E26" s="59"/>
      <c r="F26" s="59"/>
      <c r="G26" s="60"/>
      <c r="H26" s="59"/>
      <c r="I26" s="61"/>
      <c r="J26" s="59"/>
      <c r="K26" s="59"/>
      <c r="L26" s="60"/>
      <c r="M26" s="59"/>
      <c r="N26" s="60"/>
      <c r="O26" s="60"/>
      <c r="P26" s="60"/>
    </row>
    <row r="27" spans="2:16" s="48" customFormat="1">
      <c r="B27" s="57"/>
      <c r="C27" s="58"/>
      <c r="D27" s="58"/>
      <c r="E27" s="59"/>
      <c r="F27" s="59"/>
      <c r="G27" s="60"/>
      <c r="H27" s="59"/>
      <c r="I27" s="61"/>
      <c r="J27" s="59"/>
      <c r="K27" s="59"/>
      <c r="L27" s="60"/>
      <c r="M27" s="59"/>
      <c r="N27" s="60"/>
      <c r="O27" s="60"/>
      <c r="P27" s="60"/>
    </row>
    <row r="28" spans="2:16" s="48" customFormat="1">
      <c r="B28" s="57"/>
      <c r="C28" s="58"/>
      <c r="D28" s="58"/>
      <c r="E28" s="59"/>
      <c r="F28" s="59"/>
      <c r="G28" s="60"/>
      <c r="H28" s="59"/>
      <c r="I28" s="61"/>
      <c r="J28" s="59"/>
      <c r="K28" s="59"/>
      <c r="L28" s="60"/>
      <c r="M28" s="59"/>
      <c r="N28" s="60"/>
      <c r="O28" s="60"/>
      <c r="P28" s="60"/>
    </row>
    <row r="29" spans="2:16" s="48" customFormat="1">
      <c r="B29" s="62"/>
      <c r="C29" s="63"/>
      <c r="D29" s="63"/>
      <c r="E29" s="64"/>
      <c r="F29" s="64"/>
      <c r="G29" s="65"/>
      <c r="H29" s="64"/>
      <c r="I29" s="66"/>
      <c r="J29" s="64"/>
      <c r="K29" s="64"/>
      <c r="L29" s="65"/>
      <c r="M29" s="64"/>
      <c r="N29" s="65"/>
      <c r="O29" s="65"/>
      <c r="P29" s="65"/>
    </row>
    <row r="30" spans="2:16">
      <c r="B30" s="13" t="s">
        <v>35</v>
      </c>
      <c r="C30" s="43">
        <f>SUM(C14:C17)</f>
        <v>1378</v>
      </c>
      <c r="D30" s="43">
        <f>SUM(D14:D17)</f>
        <v>16716</v>
      </c>
      <c r="E30" s="44">
        <f>SUM(E14:E17)</f>
        <v>10033.050000000001</v>
      </c>
      <c r="F30" s="44">
        <f>SUM(F14:F17)</f>
        <v>16380.65</v>
      </c>
      <c r="G30" s="45"/>
      <c r="H30" s="44">
        <f>SUM(H14:H17)</f>
        <v>9933.1200000000008</v>
      </c>
      <c r="I30" s="46">
        <f>SUM(I14:I17)</f>
        <v>1157.8150000000001</v>
      </c>
      <c r="J30" s="47"/>
      <c r="K30" s="44">
        <f>SUM(K14:K17)</f>
        <v>3461.87</v>
      </c>
      <c r="L30" s="45"/>
      <c r="M30" s="47"/>
      <c r="N30" s="45"/>
      <c r="O30" s="45"/>
      <c r="P30" s="45"/>
    </row>
    <row r="32" spans="2:16">
      <c r="B32" s="4" t="s">
        <v>20</v>
      </c>
      <c r="C32" s="29"/>
      <c r="D32" s="29"/>
      <c r="E32" s="35"/>
      <c r="F32" s="35"/>
      <c r="G32" s="1"/>
      <c r="H32" s="35"/>
      <c r="I32" s="38"/>
      <c r="J32" s="35"/>
      <c r="K32" s="35"/>
    </row>
    <row r="33" spans="2:10">
      <c r="B33" s="2" t="str">
        <f>IFERROR(VLOOKUP(S2,indirizzi[],2,FALSE),"-")</f>
        <v>EREDI PEIRANO SAS C/O CAGNOLO TRASPORTI</v>
      </c>
      <c r="C33" s="30"/>
      <c r="D33" s="30"/>
      <c r="E33" s="35"/>
      <c r="F33" s="35"/>
      <c r="G33" s="1"/>
      <c r="H33" s="35"/>
      <c r="I33" s="38"/>
      <c r="J33" s="35"/>
    </row>
    <row r="34" spans="2:10">
      <c r="B34" s="2" t="str">
        <f>IFERROR(VLOOKUP(S2,indirizzi[],3,FALSE),"-")</f>
        <v>VIA BENESSA, 14 - 17035 CISANO SUL NEVA (SV)</v>
      </c>
      <c r="C34" s="30"/>
      <c r="D34" s="30"/>
      <c r="E34" s="35"/>
      <c r="F34" s="35"/>
      <c r="G34" s="1"/>
      <c r="H34" s="35"/>
      <c r="I34" s="38"/>
      <c r="J34" s="35"/>
    </row>
    <row r="35" spans="2:10">
      <c r="B35" s="4"/>
      <c r="C35" s="29"/>
      <c r="D35" s="29"/>
      <c r="E35" s="35"/>
      <c r="F35" s="35"/>
      <c r="G35" s="1"/>
      <c r="H35" s="35"/>
      <c r="I35" s="38"/>
      <c r="J35" s="35"/>
    </row>
    <row r="36" spans="2:10">
      <c r="B36" s="3" t="s">
        <v>23</v>
      </c>
      <c r="G36" t="s">
        <v>24</v>
      </c>
    </row>
    <row r="37" spans="2:10">
      <c r="B37" s="6" t="s">
        <v>25</v>
      </c>
    </row>
    <row r="38" spans="2:10">
      <c r="B38" s="6" t="s">
        <v>26</v>
      </c>
    </row>
    <row r="39" spans="2:10">
      <c r="B39" s="6" t="s">
        <v>27</v>
      </c>
      <c r="G39" s="5" t="s">
        <v>28</v>
      </c>
    </row>
    <row r="40" spans="2:10">
      <c r="B40" t="s">
        <v>29</v>
      </c>
    </row>
    <row r="42" spans="2:10">
      <c r="B42" t="s">
        <v>30</v>
      </c>
      <c r="D42" s="31" t="s">
        <v>6967</v>
      </c>
      <c r="E42" s="36"/>
    </row>
  </sheetData>
  <mergeCells count="5">
    <mergeCell ref="M5:O5"/>
    <mergeCell ref="M6:O6"/>
    <mergeCell ref="M7:O7"/>
    <mergeCell ref="J11:K11"/>
    <mergeCell ref="H11:I11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85" orientation="landscape" horizontalDpi="360" verticalDpi="360" r:id="rId1"/>
  <drawing r:id="rId2"/>
  <legacyDrawing r:id="rId3"/>
  <controls>
    <control shapeId="1025" r:id="rId4" name="listAddress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A0D222-3751-4ACE-8339-C8DDCEE04A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2</vt:i4>
      </vt:variant>
    </vt:vector>
  </HeadingPairs>
  <TitlesOfParts>
    <vt:vector size="8" baseType="lpstr">
      <vt:lpstr>indirizzi</vt:lpstr>
      <vt:lpstr>daa_import</vt:lpstr>
      <vt:lpstr>db_birre</vt:lpstr>
      <vt:lpstr>db_malti</vt:lpstr>
      <vt:lpstr>VETTORI</vt:lpstr>
      <vt:lpstr>daa_creator</vt:lpstr>
      <vt:lpstr>daa_creator!Area_stampa</vt:lpstr>
      <vt:lpstr>daa_creator!Titoli_stampa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</dc:creator>
  <cp:lastModifiedBy>Cecilia</cp:lastModifiedBy>
  <cp:lastPrinted>2024-01-19T09:49:55Z</cp:lastPrinted>
  <dcterms:created xsi:type="dcterms:W3CDTF">2023-12-19T14:08:07Z</dcterms:created>
  <dcterms:modified xsi:type="dcterms:W3CDTF">2024-01-19T09:54:20Z</dcterms:modified>
</cp:coreProperties>
</file>